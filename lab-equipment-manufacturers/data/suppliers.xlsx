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'Suppliers'!$A$1:$AP$1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50" customWidth="1" min="15" max="15"/>
    <col width="10" customWidth="1" min="16" max="16"/>
    <col width="8" customWidth="1" min="17" max="17"/>
    <col width="9" customWidth="1" min="18" max="18"/>
    <col width="9" customWidth="1" min="19" max="19"/>
    <col width="14" customWidth="1" min="20" max="20"/>
    <col width="7" customWidth="1" min="21" max="21"/>
    <col width="7" customWidth="1" min="22" max="22"/>
    <col width="9" customWidth="1" min="23" max="23"/>
    <col width="9" customWidth="1" min="24" max="24"/>
    <col width="10" customWidth="1" min="25" max="25"/>
    <col width="28" customWidth="1" min="26" max="26"/>
    <col width="28" customWidth="1" min="27" max="27"/>
    <col width="28" customWidth="1" min="28" max="28"/>
    <col width="10" customWidth="1" min="29" max="29"/>
    <col width="20" customWidth="1" min="30" max="30"/>
    <col width="14" customWidth="1" min="31" max="31"/>
    <col width="8" customWidth="1" min="32" max="32"/>
    <col width="40" customWidth="1" min="33" max="33"/>
    <col width="50" customWidth="1" min="34" max="34"/>
    <col width="40" customWidth="1" min="35" max="35"/>
    <col width="16" customWidth="1" min="36" max="36"/>
    <col width="24" customWidth="1" min="37" max="37"/>
    <col width="36" customWidth="1" min="38" max="38"/>
    <col width="30" customWidth="1" min="39" max="39"/>
    <col width="20" customWidth="1" min="40" max="40"/>
    <col width="10" customWidth="1" min="41" max="41"/>
    <col width="60" customWidth="1" min="42" max="42"/>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תיאור</t>
        </is>
      </c>
      <c r="P1" s="1" t="inlineStr">
        <is>
          <t>עובדים</t>
        </is>
      </c>
      <c r="Q1" s="1" t="inlineStr">
        <is>
          <t>שנת נתון</t>
        </is>
      </c>
      <c r="R1" s="1" t="inlineStr">
        <is>
          <t>היקף</t>
        </is>
      </c>
      <c r="S1" s="1" t="inlineStr">
        <is>
          <t>מקור</t>
        </is>
      </c>
      <c r="T1" s="1" t="inlineStr">
        <is>
          <t>הכנסות (מיליוני $)</t>
        </is>
      </c>
      <c r="U1" s="1" t="inlineStr">
        <is>
          <t>הכנסות (מקור)</t>
        </is>
      </c>
      <c r="V1" s="1" t="inlineStr">
        <is>
          <t>שנה</t>
        </is>
      </c>
      <c r="W1" s="1" t="inlineStr">
        <is>
          <t>היקף</t>
        </is>
      </c>
      <c r="X1" s="1" t="inlineStr">
        <is>
          <t>מקור</t>
        </is>
      </c>
      <c r="Y1" s="1" t="inlineStr">
        <is>
          <t>בסיס הגודל</t>
        </is>
      </c>
      <c r="Z1" s="1" t="inlineStr">
        <is>
          <t>מוצר 1</t>
        </is>
      </c>
      <c r="AA1" s="1" t="inlineStr">
        <is>
          <t>מוצר 2</t>
        </is>
      </c>
      <c r="AB1" s="1" t="inlineStr">
        <is>
          <t>מוצר 3</t>
        </is>
      </c>
      <c r="AC1" s="1" t="inlineStr">
        <is>
          <t>מקור המוצרים</t>
        </is>
      </c>
      <c r="AD1" s="1" t="inlineStr">
        <is>
          <t>ייצוג בישראל</t>
        </is>
      </c>
      <c r="AE1" s="1" t="inlineStr">
        <is>
          <t>סטטוס בדיקה</t>
        </is>
      </c>
      <c r="AF1" s="1" t="inlineStr">
        <is>
          <t>שנת ראיה</t>
        </is>
      </c>
      <c r="AG1" s="1" t="inlineStr">
        <is>
          <t>נציגים בישראל</t>
        </is>
      </c>
      <c r="AH1" s="1" t="inlineStr">
        <is>
          <t>אנשי קשר – נציגים</t>
        </is>
      </c>
      <c r="AI1" s="1" t="inlineStr">
        <is>
          <t>הערה (ישראל)</t>
        </is>
      </c>
      <c r="AJ1" s="1" t="inlineStr">
        <is>
          <t>טלפון</t>
        </is>
      </c>
      <c r="AK1" s="1" t="inlineStr">
        <is>
          <t>דוא"ל</t>
        </is>
      </c>
      <c r="AL1" s="1" t="inlineStr">
        <is>
          <t>כתובת</t>
        </is>
      </c>
      <c r="AM1" s="1" t="inlineStr">
        <is>
          <t>דף יצירת קשר</t>
        </is>
      </c>
      <c r="AN1" s="1" t="inlineStr">
        <is>
          <t>מקור אנשי קשר</t>
        </is>
      </c>
      <c r="AO1" s="1" t="inlineStr">
        <is>
          <t>Wikidata</t>
        </is>
      </c>
      <c r="AP1" s="1" t="inlineStr">
        <is>
          <t>מקורות</t>
        </is>
      </c>
    </row>
    <row r="2">
      <c r="A2" t="n">
        <v>1</v>
      </c>
      <c r="B2" t="inlineStr">
        <is>
          <t>1PlusChem</t>
        </is>
      </c>
      <c r="C2" t="inlineStr">
        <is>
          <t>Q</t>
        </is>
      </c>
      <c r="F2" t="inlineStr">
        <is>
          <t>yes</t>
        </is>
      </c>
      <c r="H2" t="inlineStr">
        <is>
          <t>https://pluschem.com</t>
        </is>
      </c>
      <c r="I2" t="inlineStr">
        <is>
          <t>clearbit</t>
        </is>
      </c>
      <c r="J2" t="inlineStr"/>
      <c r="Y2" t="inlineStr">
        <is>
          <t>unknown</t>
        </is>
      </c>
      <c r="Z2" t="inlineStr"/>
      <c r="AA2" t="inlineStr"/>
      <c r="AB2" t="inlineStr"/>
      <c r="AC2" t="inlineStr"/>
      <c r="AD2" t="inlineStr">
        <is>
          <t>לא נמצא בסריקת המפיצים</t>
        </is>
      </c>
      <c r="AE2" t="inlineStr">
        <is>
          <t>סריקת אתרי מפיצים</t>
        </is>
      </c>
      <c r="AG2" t="inlineStr"/>
      <c r="AH2" t="inlineStr"/>
      <c r="AJ2" t="inlineStr"/>
      <c r="AP2" t="inlineStr">
        <is>
          <t>https://www.quartzy.com/suppliers</t>
        </is>
      </c>
    </row>
    <row r="3">
      <c r="A3" t="n">
        <v>2</v>
      </c>
      <c r="B3" t="inlineStr">
        <is>
          <t>2 Mag</t>
        </is>
      </c>
      <c r="C3" t="inlineStr">
        <is>
          <t>D</t>
        </is>
      </c>
      <c r="D3" t="inlineStr">
        <is>
          <t>https://www.dutscher.com/search?initialFilters=brand:2+Mag</t>
        </is>
      </c>
      <c r="F3" t="inlineStr"/>
      <c r="J3" t="inlineStr"/>
      <c r="Y3" t="inlineStr">
        <is>
          <t>unknown</t>
        </is>
      </c>
      <c r="Z3" t="inlineStr"/>
      <c r="AA3" t="inlineStr"/>
      <c r="AB3" t="inlineStr"/>
      <c r="AC3" t="inlineStr"/>
      <c r="AD3" t="inlineStr">
        <is>
          <t>לא נמצא בסריקת המפיצים</t>
        </is>
      </c>
      <c r="AE3" t="inlineStr">
        <is>
          <t>סריקת אתרי מפיצים</t>
        </is>
      </c>
      <c r="AG3" t="inlineStr"/>
      <c r="AH3" t="inlineStr"/>
      <c r="AJ3" t="inlineStr"/>
      <c r="AP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occupational safety, consumer goods industry, mining industry</t>
        </is>
      </c>
      <c r="O4" t="inlineStr">
        <is>
          <t>American multinational corporation</t>
        </is>
      </c>
      <c r="P4" t="n">
        <v>94987</v>
      </c>
      <c r="Q4" t="inlineStr">
        <is>
          <t>2020</t>
        </is>
      </c>
      <c r="R4" t="inlineStr">
        <is>
          <t>company</t>
        </is>
      </c>
      <c r="S4" t="inlineStr">
        <is>
          <t>wikidata</t>
        </is>
      </c>
      <c r="T4" t="n">
        <v>34229</v>
      </c>
      <c r="U4" t="inlineStr">
        <is>
          <t>USD 34,229.0 m</t>
        </is>
      </c>
      <c r="V4" t="inlineStr">
        <is>
          <t>2022</t>
        </is>
      </c>
      <c r="W4" t="inlineStr">
        <is>
          <t>company</t>
        </is>
      </c>
      <c r="X4" t="inlineStr">
        <is>
          <t>wikidata</t>
        </is>
      </c>
      <c r="Y4" t="inlineStr">
        <is>
          <t>reported</t>
        </is>
      </c>
      <c r="Z4" t="inlineStr">
        <is>
          <t>3M HEAD HARNESS ASSEMBLY FOR 6000 SERIES</t>
        </is>
      </c>
      <c r="AA4" t="inlineStr">
        <is>
          <t>Comply™ Lead Free Steam Indicator Tape</t>
        </is>
      </c>
      <c r="AB4" t="inlineStr">
        <is>
          <t>3M™ SecureFit™, Protective Eyewear, SF201AF, Clear Lens</t>
        </is>
      </c>
      <c r="AC4" t="inlineStr">
        <is>
          <t>thomassci</t>
        </is>
      </c>
      <c r="AD4" t="inlineStr">
        <is>
          <t>לא נמצא בסריקת המפיצים</t>
        </is>
      </c>
      <c r="AE4" t="inlineStr">
        <is>
          <t>סריקת אתרי מפיצים</t>
        </is>
      </c>
      <c r="AG4" t="inlineStr"/>
      <c r="AH4" t="inlineStr"/>
      <c r="AJ4" t="inlineStr"/>
      <c r="AL4" t="inlineStr">
        <is>
          <t>Maplewood</t>
        </is>
      </c>
      <c r="AO4" t="inlineStr">
        <is>
          <t>Q159433</t>
        </is>
      </c>
      <c r="AP4" t="inlineStr">
        <is>
          <t>https://www.dutscher.com/search?initialFilters=brand:3M | https://www.thomassci.com/browse-by/suppliers/3m | https://www.wikidata.org/wiki/Q159433</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Y5" t="inlineStr">
        <is>
          <t>unknown</t>
        </is>
      </c>
      <c r="Z5" t="inlineStr"/>
      <c r="AA5" t="inlineStr"/>
      <c r="AB5" t="inlineStr"/>
      <c r="AC5" t="inlineStr"/>
      <c r="AD5" t="inlineStr">
        <is>
          <t>לא נמצא בסריקת המפיצים</t>
        </is>
      </c>
      <c r="AE5" t="inlineStr">
        <is>
          <t>סריקת אתרי מפיצים</t>
        </is>
      </c>
      <c r="AG5" t="inlineStr"/>
      <c r="AH5" t="inlineStr"/>
      <c r="AJ5" t="inlineStr"/>
      <c r="AP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https://msafety.nl</t>
        </is>
      </c>
      <c r="I6" t="inlineStr">
        <is>
          <t>clearbit</t>
        </is>
      </c>
      <c r="J6" t="inlineStr"/>
      <c r="Y6" t="inlineStr">
        <is>
          <t>unknown</t>
        </is>
      </c>
      <c r="Z6" t="inlineStr"/>
      <c r="AA6" t="inlineStr"/>
      <c r="AB6" t="inlineStr"/>
      <c r="AC6" t="inlineStr"/>
      <c r="AD6" t="inlineStr">
        <is>
          <t>לא נמצא בסריקת המפיצים</t>
        </is>
      </c>
      <c r="AE6" t="inlineStr">
        <is>
          <t>סריקת אתרי מפיצים</t>
        </is>
      </c>
      <c r="AG6" t="inlineStr"/>
      <c r="AH6" t="inlineStr"/>
      <c r="AJ6" t="inlineStr"/>
      <c r="AP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https://4titude.com.au</t>
        </is>
      </c>
      <c r="I7" t="inlineStr">
        <is>
          <t>clearbit</t>
        </is>
      </c>
      <c r="J7" t="inlineStr"/>
      <c r="Y7" t="inlineStr">
        <is>
          <t>unknown</t>
        </is>
      </c>
      <c r="Z7" t="inlineStr"/>
      <c r="AA7" t="inlineStr"/>
      <c r="AB7" t="inlineStr"/>
      <c r="AC7" t="inlineStr"/>
      <c r="AD7" t="inlineStr">
        <is>
          <t>לא נמצא בסריקת המפיצים</t>
        </is>
      </c>
      <c r="AE7" t="inlineStr">
        <is>
          <t>סריקת אתרי מפיצים</t>
        </is>
      </c>
      <c r="AG7" t="inlineStr"/>
      <c r="AH7" t="inlineStr"/>
      <c r="AJ7" t="inlineStr"/>
      <c r="AP7" t="inlineStr">
        <is>
          <t>https://www.dutscher.com/search?initialFilters=brand:4Titude | https://www.thomassci.com/browse-by/suppliers/4titude</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P8" t="n">
        <v>2438</v>
      </c>
      <c r="Q8" t="n">
        <v>2025</v>
      </c>
      <c r="R8" t="inlineStr">
        <is>
          <t>company</t>
        </is>
      </c>
      <c r="S8" t="inlineStr">
        <is>
          <t>prior</t>
        </is>
      </c>
      <c r="T8" t="n">
        <v>464.5</v>
      </c>
      <c r="U8" t="inlineStr">
        <is>
          <t>JPY 69,326 million</t>
        </is>
      </c>
      <c r="V8" t="inlineStr">
        <is>
          <t>FY ending Mar-2026</t>
        </is>
      </c>
      <c r="W8" t="inlineStr">
        <is>
          <t>company</t>
        </is>
      </c>
      <c r="X8" t="inlineStr">
        <is>
          <t>prior</t>
        </is>
      </c>
      <c r="Y8" t="inlineStr">
        <is>
          <t>reported</t>
        </is>
      </c>
      <c r="Z8" t="inlineStr">
        <is>
          <t>Apollo GX-A / GF-A series</t>
        </is>
      </c>
      <c r="AA8" t="inlineStr">
        <is>
          <t>HR-A / HR-AZ series</t>
        </is>
      </c>
      <c r="AB8" t="inlineStr">
        <is>
          <t>MX-50 / MS-70 moisture analyzers</t>
        </is>
      </c>
      <c r="AC8" t="inlineStr">
        <is>
          <t>prior</t>
        </is>
      </c>
      <c r="AD8" t="inlineStr">
        <is>
          <t>לא נמצא ערוץ ישראלי</t>
        </is>
      </c>
      <c r="AE8" t="inlineStr">
        <is>
          <t>חיפוש חלקי</t>
        </is>
      </c>
      <c r="AG8" t="inlineStr"/>
      <c r="AH8" t="inlineStr"/>
      <c r="AI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8" t="inlineStr">
        <is>
          <t>+81 3-5391-6132</t>
        </is>
      </c>
      <c r="AL8" t="inlineStr">
        <is>
          <t>3-23-14 Higashi-Ikebukuro, Toshima-ku, Tokyo 170-0013, Japan</t>
        </is>
      </c>
      <c r="AM8" t="inlineStr">
        <is>
          <t>https://aandd.jp/company/contact_us.html</t>
        </is>
      </c>
      <c r="AN8" t="inlineStr">
        <is>
          <t>https://aandd.jp/company/contact_us.html</t>
        </is>
      </c>
      <c r="AP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9">
      <c r="A9" t="n">
        <v>8</v>
      </c>
      <c r="B9" t="inlineStr">
        <is>
          <t>A&amp;D Engineering</t>
        </is>
      </c>
      <c r="C9" t="inlineStr">
        <is>
          <t>T</t>
        </is>
      </c>
      <c r="E9" t="inlineStr">
        <is>
          <t>https://www.thomassci.com/browse-by/suppliers/a-and-d-engineering</t>
        </is>
      </c>
      <c r="F9" t="inlineStr"/>
      <c r="H9" t="inlineStr">
        <is>
          <t>https://www.aandd.jp</t>
        </is>
      </c>
      <c r="I9" t="inlineStr">
        <is>
          <t>prior</t>
        </is>
      </c>
      <c r="J9" t="inlineStr">
        <is>
          <t>יפן</t>
        </is>
      </c>
      <c r="K9" t="inlineStr">
        <is>
          <t>Toshima-ku, Tokyo</t>
        </is>
      </c>
      <c r="M9" t="n">
        <v>1977</v>
      </c>
      <c r="N9" t="inlineStr">
        <is>
          <t>Lab balances &amp; weighing</t>
        </is>
      </c>
      <c r="P9" t="n">
        <v>2438</v>
      </c>
      <c r="Q9" t="n">
        <v>2025</v>
      </c>
      <c r="R9" t="inlineStr">
        <is>
          <t>company</t>
        </is>
      </c>
      <c r="S9" t="inlineStr">
        <is>
          <t>prior</t>
        </is>
      </c>
      <c r="T9" t="n">
        <v>464.5</v>
      </c>
      <c r="U9" t="inlineStr">
        <is>
          <t>JPY 69,326 million</t>
        </is>
      </c>
      <c r="V9" t="inlineStr">
        <is>
          <t>FY ending Mar-2026</t>
        </is>
      </c>
      <c r="W9" t="inlineStr">
        <is>
          <t>company</t>
        </is>
      </c>
      <c r="X9" t="inlineStr">
        <is>
          <t>prior</t>
        </is>
      </c>
      <c r="Y9" t="inlineStr">
        <is>
          <t>reported</t>
        </is>
      </c>
      <c r="Z9" t="inlineStr">
        <is>
          <t>Apollo GX-A / GF-A series</t>
        </is>
      </c>
      <c r="AA9" t="inlineStr">
        <is>
          <t>HR-A / HR-AZ series</t>
        </is>
      </c>
      <c r="AB9" t="inlineStr">
        <is>
          <t>MX-50 / MS-70 moisture analyzers</t>
        </is>
      </c>
      <c r="AC9" t="inlineStr">
        <is>
          <t>prior</t>
        </is>
      </c>
      <c r="AD9" t="inlineStr">
        <is>
          <t>לא נמצא ערוץ ישראלי</t>
        </is>
      </c>
      <c r="AE9" t="inlineStr">
        <is>
          <t>חיפוש חלקי</t>
        </is>
      </c>
      <c r="AG9" t="inlineStr"/>
      <c r="AH9" t="inlineStr"/>
      <c r="AI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9" t="inlineStr">
        <is>
          <t>+81 3-5391-6132</t>
        </is>
      </c>
      <c r="AL9" t="inlineStr">
        <is>
          <t>3-23-14 Higashi-Ikebukuro, Toshima-ku, Tokyo 170-0013, Japan</t>
        </is>
      </c>
      <c r="AM9" t="inlineStr">
        <is>
          <t>https://aandd.jp/company/contact_us.html</t>
        </is>
      </c>
      <c r="AN9" t="inlineStr">
        <is>
          <t>https://aandd.jp/company/contact_us.html</t>
        </is>
      </c>
      <c r="AP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P10" t="n">
        <v>2438</v>
      </c>
      <c r="Q10" t="n">
        <v>2025</v>
      </c>
      <c r="R10" t="inlineStr">
        <is>
          <t>company</t>
        </is>
      </c>
      <c r="S10" t="inlineStr">
        <is>
          <t>prior</t>
        </is>
      </c>
      <c r="T10" t="n">
        <v>464.5</v>
      </c>
      <c r="U10" t="inlineStr">
        <is>
          <t>JPY 69,326 million</t>
        </is>
      </c>
      <c r="V10" t="inlineStr">
        <is>
          <t>FY ending Mar-2026</t>
        </is>
      </c>
      <c r="W10" t="inlineStr">
        <is>
          <t>company</t>
        </is>
      </c>
      <c r="X10" t="inlineStr">
        <is>
          <t>prior</t>
        </is>
      </c>
      <c r="Y10" t="inlineStr">
        <is>
          <t>reported</t>
        </is>
      </c>
      <c r="Z10" t="inlineStr">
        <is>
          <t>Apollo GX-A / GF-A series</t>
        </is>
      </c>
      <c r="AA10" t="inlineStr">
        <is>
          <t>HR-A / HR-AZ series</t>
        </is>
      </c>
      <c r="AB10" t="inlineStr">
        <is>
          <t>MX-50 / MS-70 moisture analyzers</t>
        </is>
      </c>
      <c r="AC10" t="inlineStr">
        <is>
          <t>prior</t>
        </is>
      </c>
      <c r="AD10" t="inlineStr">
        <is>
          <t>לא נמצא ערוץ ישראלי</t>
        </is>
      </c>
      <c r="AE10" t="inlineStr">
        <is>
          <t>חיפוש חלקי</t>
        </is>
      </c>
      <c r="AG10" t="inlineStr"/>
      <c r="AH10" t="inlineStr"/>
      <c r="AI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0" t="inlineStr">
        <is>
          <t>+81 3-5391-6132</t>
        </is>
      </c>
      <c r="AL10" t="inlineStr">
        <is>
          <t>3-23-14 Higashi-Ikebukuro, Toshima-ku, Tokyo 170-0013, Japan</t>
        </is>
      </c>
      <c r="AM10" t="inlineStr">
        <is>
          <t>https://aandd.jp/company/contact_us.html</t>
        </is>
      </c>
      <c r="AN10" t="inlineStr">
        <is>
          <t>https://aandd.jp/company/contact_us.html</t>
        </is>
      </c>
      <c r="AP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P11" t="n">
        <v>2438</v>
      </c>
      <c r="Q11" t="n">
        <v>2025</v>
      </c>
      <c r="R11" t="inlineStr">
        <is>
          <t>company</t>
        </is>
      </c>
      <c r="S11" t="inlineStr">
        <is>
          <t>prior</t>
        </is>
      </c>
      <c r="T11" t="n">
        <v>464.5</v>
      </c>
      <c r="U11" t="inlineStr">
        <is>
          <t>JPY 69,326 million</t>
        </is>
      </c>
      <c r="V11" t="inlineStr">
        <is>
          <t>FY ending Mar-2026</t>
        </is>
      </c>
      <c r="W11" t="inlineStr">
        <is>
          <t>company</t>
        </is>
      </c>
      <c r="X11" t="inlineStr">
        <is>
          <t>prior</t>
        </is>
      </c>
      <c r="Y11" t="inlineStr">
        <is>
          <t>reported</t>
        </is>
      </c>
      <c r="Z11" t="inlineStr">
        <is>
          <t>Apollo GX-A / GF-A series</t>
        </is>
      </c>
      <c r="AA11" t="inlineStr">
        <is>
          <t>HR-A / HR-AZ series</t>
        </is>
      </c>
      <c r="AB11" t="inlineStr">
        <is>
          <t>MX-50 / MS-70 moisture analyzers</t>
        </is>
      </c>
      <c r="AC11" t="inlineStr">
        <is>
          <t>prior</t>
        </is>
      </c>
      <c r="AD11" t="inlineStr">
        <is>
          <t>לא נמצא ערוץ ישראלי</t>
        </is>
      </c>
      <c r="AE11" t="inlineStr">
        <is>
          <t>חיפוש חלקי</t>
        </is>
      </c>
      <c r="AG11" t="inlineStr"/>
      <c r="AH11" t="inlineStr"/>
      <c r="AI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1" t="inlineStr">
        <is>
          <t>+81 3-5391-6132</t>
        </is>
      </c>
      <c r="AL11" t="inlineStr">
        <is>
          <t>3-23-14 Higashi-Ikebukuro, Toshima-ku, Tokyo 170-0013, Japan</t>
        </is>
      </c>
      <c r="AM11" t="inlineStr">
        <is>
          <t>https://aandd.jp/company/contact_us.html</t>
        </is>
      </c>
      <c r="AN11" t="inlineStr">
        <is>
          <t>https://aandd.jp/company/contact_us.html</t>
        </is>
      </c>
      <c r="AP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2">
      <c r="A12" t="n">
        <v>11</v>
      </c>
      <c r="B12" t="inlineStr">
        <is>
          <t>A-M Systems, Inc.</t>
        </is>
      </c>
      <c r="C12" t="inlineStr">
        <is>
          <t>Q</t>
        </is>
      </c>
      <c r="F12" t="inlineStr">
        <is>
          <t>yes</t>
        </is>
      </c>
      <c r="J12" t="inlineStr"/>
      <c r="Y12" t="inlineStr">
        <is>
          <t>unknown</t>
        </is>
      </c>
      <c r="Z12" t="inlineStr"/>
      <c r="AA12" t="inlineStr"/>
      <c r="AB12" t="inlineStr"/>
      <c r="AC12" t="inlineStr"/>
      <c r="AD12" t="inlineStr">
        <is>
          <t>לא נמצא בסריקת המפיצים</t>
        </is>
      </c>
      <c r="AE12" t="inlineStr">
        <is>
          <t>סריקת אתרי מפיצים</t>
        </is>
      </c>
      <c r="AG12" t="inlineStr"/>
      <c r="AH12" t="inlineStr"/>
      <c r="AJ12" t="inlineStr"/>
      <c r="AP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Y13" t="inlineStr">
        <is>
          <t>unknown</t>
        </is>
      </c>
      <c r="Z13" t="inlineStr"/>
      <c r="AA13" t="inlineStr"/>
      <c r="AB13" t="inlineStr"/>
      <c r="AC13" t="inlineStr"/>
      <c r="AD13" t="inlineStr">
        <is>
          <t>לא נמצא בסריקת המפיצים</t>
        </is>
      </c>
      <c r="AE13" t="inlineStr">
        <is>
          <t>סריקת אתרי מפיצים</t>
        </is>
      </c>
      <c r="AG13" t="inlineStr"/>
      <c r="AH13" t="inlineStr"/>
      <c r="AJ13" t="inlineStr"/>
      <c r="AP13" t="inlineStr">
        <is>
          <t>https://www.quartzy.com/suppliers</t>
        </is>
      </c>
    </row>
    <row r="14">
      <c r="A14" t="n">
        <v>13</v>
      </c>
      <c r="B14" t="inlineStr">
        <is>
          <t>Aaron Chemicals</t>
        </is>
      </c>
      <c r="C14" t="inlineStr">
        <is>
          <t>Q+Q+</t>
        </is>
      </c>
      <c r="F14" t="inlineStr">
        <is>
          <t>yes +new</t>
        </is>
      </c>
      <c r="J14" t="inlineStr"/>
      <c r="O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Y14" t="inlineStr">
        <is>
          <t>unknown</t>
        </is>
      </c>
      <c r="Z14" t="inlineStr"/>
      <c r="AA14" t="inlineStr"/>
      <c r="AB14" t="inlineStr"/>
      <c r="AC14" t="inlineStr"/>
      <c r="AD14" t="inlineStr">
        <is>
          <t>לא נמצא בסריקת המפיצים</t>
        </is>
      </c>
      <c r="AE14" t="inlineStr">
        <is>
          <t>סריקת אתרי מפיצים</t>
        </is>
      </c>
      <c r="AG14" t="inlineStr"/>
      <c r="AH14" t="inlineStr"/>
      <c r="AJ14" t="inlineStr"/>
      <c r="AP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t>
        </is>
      </c>
      <c r="J15" t="inlineStr"/>
      <c r="Y15" t="inlineStr">
        <is>
          <t>unknown</t>
        </is>
      </c>
      <c r="Z15" t="inlineStr"/>
      <c r="AA15" t="inlineStr"/>
      <c r="AB15" t="inlineStr"/>
      <c r="AC15" t="inlineStr"/>
      <c r="AD15" t="inlineStr">
        <is>
          <t>לא נמצא בסריקת המפיצים</t>
        </is>
      </c>
      <c r="AE15" t="inlineStr">
        <is>
          <t>סריקת אתרי מפיצים</t>
        </is>
      </c>
      <c r="AG15" t="inlineStr"/>
      <c r="AH15" t="inlineStr"/>
      <c r="AJ15" t="inlineStr"/>
      <c r="AP15" t="inlineStr">
        <is>
          <t>https://www.quartzy.com/suppliers</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O16" t="inlineStr">
        <is>
          <t>UK business</t>
        </is>
      </c>
      <c r="Y16" t="inlineStr">
        <is>
          <t>unknown</t>
        </is>
      </c>
      <c r="Z16" t="inlineStr"/>
      <c r="AA16" t="inlineStr"/>
      <c r="AB16" t="inlineStr"/>
      <c r="AC16" t="inlineStr"/>
      <c r="AD16" t="inlineStr">
        <is>
          <t>לא נמצא בסריקת המפיצים</t>
        </is>
      </c>
      <c r="AE16" t="inlineStr">
        <is>
          <t>סריקת אתרי מפיצים</t>
        </is>
      </c>
      <c r="AG16" t="inlineStr"/>
      <c r="AH16" t="inlineStr"/>
      <c r="AJ16" t="inlineStr"/>
      <c r="AL16" t="inlineStr">
        <is>
          <t>Cambridge</t>
        </is>
      </c>
      <c r="AO16" t="inlineStr">
        <is>
          <t>Q4664502</t>
        </is>
      </c>
      <c r="AP16" t="inlineStr">
        <is>
          <t>https://www.quartzy.com/suppliers | https://www.wikidata.org/wiki/Q4664502</t>
        </is>
      </c>
    </row>
    <row r="17">
      <c r="A17" t="n">
        <v>16</v>
      </c>
      <c r="B17" t="inlineStr">
        <is>
          <t>ABclonal</t>
        </is>
      </c>
      <c r="C17" t="inlineStr">
        <is>
          <t>Q</t>
        </is>
      </c>
      <c r="F17" t="inlineStr">
        <is>
          <t>yes</t>
        </is>
      </c>
      <c r="J17" t="inlineStr"/>
      <c r="Y17" t="inlineStr">
        <is>
          <t>unknown</t>
        </is>
      </c>
      <c r="Z17" t="inlineStr"/>
      <c r="AA17" t="inlineStr"/>
      <c r="AB17" t="inlineStr"/>
      <c r="AC17" t="inlineStr"/>
      <c r="AD17" t="inlineStr">
        <is>
          <t>לא נמצא בסריקת המפיצים</t>
        </is>
      </c>
      <c r="AE17" t="inlineStr">
        <is>
          <t>סריקת אתרי מפיצים</t>
        </is>
      </c>
      <c r="AG17" t="inlineStr"/>
      <c r="AH17" t="inlineStr"/>
      <c r="AJ17" t="inlineStr"/>
      <c r="AP17" t="inlineStr">
        <is>
          <t>https://www.quartzy.com/suppliers</t>
        </is>
      </c>
    </row>
    <row r="18">
      <c r="A18" t="n">
        <v>17</v>
      </c>
      <c r="B18" t="inlineStr">
        <is>
          <t>Abgene</t>
        </is>
      </c>
      <c r="C18" t="inlineStr">
        <is>
          <t>D</t>
        </is>
      </c>
      <c r="D18" t="inlineStr">
        <is>
          <t>https://www.dutscher.com/search?initialFilters=brand:Abgene</t>
        </is>
      </c>
      <c r="F18" t="inlineStr"/>
      <c r="H18" t="inlineStr">
        <is>
          <t>https://abgenex.com</t>
        </is>
      </c>
      <c r="I18" t="inlineStr">
        <is>
          <t>clearbit</t>
        </is>
      </c>
      <c r="J18" t="inlineStr"/>
      <c r="Y18" t="inlineStr">
        <is>
          <t>unknown</t>
        </is>
      </c>
      <c r="Z18" t="inlineStr"/>
      <c r="AA18" t="inlineStr"/>
      <c r="AB18" t="inlineStr"/>
      <c r="AC18" t="inlineStr"/>
      <c r="AD18" t="inlineStr">
        <is>
          <t>לא נמצא בסריקת המפיצים</t>
        </is>
      </c>
      <c r="AE18" t="inlineStr">
        <is>
          <t>סריקת אתרי מפיצים</t>
        </is>
      </c>
      <c r="AG18" t="inlineStr"/>
      <c r="AH18" t="inlineStr"/>
      <c r="AJ18" t="inlineStr"/>
      <c r="AP18" t="inlineStr">
        <is>
          <t>https://www.dutscher.com/search?initialFilters=brand:Abgene</t>
        </is>
      </c>
    </row>
    <row r="19">
      <c r="A19" t="n">
        <v>18</v>
      </c>
      <c r="B19" t="inlineStr">
        <is>
          <t>Abraxis</t>
        </is>
      </c>
      <c r="C19" t="inlineStr">
        <is>
          <t>T</t>
        </is>
      </c>
      <c r="E19" t="inlineStr">
        <is>
          <t>https://www.thomassci.com/browse-by/suppliers/abraxis</t>
        </is>
      </c>
      <c r="F19" t="inlineStr"/>
      <c r="H19" t="inlineStr">
        <is>
          <t>https://abraxisartglass.com</t>
        </is>
      </c>
      <c r="I19" t="inlineStr">
        <is>
          <t>clearbit</t>
        </is>
      </c>
      <c r="J19" t="inlineStr"/>
      <c r="Y19" t="inlineStr">
        <is>
          <t>unknown</t>
        </is>
      </c>
      <c r="Z19" t="inlineStr"/>
      <c r="AA19" t="inlineStr"/>
      <c r="AB19" t="inlineStr"/>
      <c r="AC19" t="inlineStr"/>
      <c r="AD19" t="inlineStr">
        <is>
          <t>לא נמצא בסריקת המפיצים</t>
        </is>
      </c>
      <c r="AE19" t="inlineStr">
        <is>
          <t>סריקת אתרי מפיצים</t>
        </is>
      </c>
      <c r="AG19" t="inlineStr"/>
      <c r="AH19" t="inlineStr"/>
      <c r="AJ19" t="inlineStr"/>
      <c r="AP19" t="inlineStr">
        <is>
          <t>https://www.thomassci.com/browse-by/suppliers/abraxis</t>
        </is>
      </c>
    </row>
    <row r="20">
      <c r="A20" t="n">
        <v>19</v>
      </c>
      <c r="B20" t="inlineStr">
        <is>
          <t>Accegen Biotechnology</t>
        </is>
      </c>
      <c r="C20" t="inlineStr">
        <is>
          <t>Q</t>
        </is>
      </c>
      <c r="F20" t="inlineStr">
        <is>
          <t>yes</t>
        </is>
      </c>
      <c r="J20" t="inlineStr"/>
      <c r="Y20" t="inlineStr">
        <is>
          <t>unknown</t>
        </is>
      </c>
      <c r="Z20" t="inlineStr"/>
      <c r="AA20" t="inlineStr"/>
      <c r="AB20" t="inlineStr"/>
      <c r="AC20" t="inlineStr"/>
      <c r="AD20" t="inlineStr">
        <is>
          <t>לא נמצא בסריקת המפיצים</t>
        </is>
      </c>
      <c r="AE20" t="inlineStr">
        <is>
          <t>סריקת אתרי מפיצים</t>
        </is>
      </c>
      <c r="AG20" t="inlineStr"/>
      <c r="AH20" t="inlineStr"/>
      <c r="AJ20" t="inlineStr"/>
      <c r="AP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Y21" t="inlineStr">
        <is>
          <t>unknown</t>
        </is>
      </c>
      <c r="Z21" t="inlineStr"/>
      <c r="AA21" t="inlineStr"/>
      <c r="AB21" t="inlineStr"/>
      <c r="AC21" t="inlineStr"/>
      <c r="AD21" t="inlineStr">
        <is>
          <t>לא נמצא בסריקת המפיצים</t>
        </is>
      </c>
      <c r="AE21" t="inlineStr">
        <is>
          <t>סריקת אתרי מפיצים</t>
        </is>
      </c>
      <c r="AG21" t="inlineStr"/>
      <c r="AH21" t="inlineStr"/>
      <c r="AJ21" t="inlineStr"/>
      <c r="AP21" t="inlineStr">
        <is>
          <t>https://www.thomassci.com/browse-by/suppliers/accent-control-systems</t>
        </is>
      </c>
    </row>
    <row r="22">
      <c r="A22" t="n">
        <v>21</v>
      </c>
      <c r="B22" t="inlineStr">
        <is>
          <t>ACCO Brands</t>
        </is>
      </c>
      <c r="C22" t="inlineStr">
        <is>
          <t>Q</t>
        </is>
      </c>
      <c r="F22" t="inlineStr">
        <is>
          <t>yes</t>
        </is>
      </c>
      <c r="H22" t="inlineStr">
        <is>
          <t>https://accobrands.com</t>
        </is>
      </c>
      <c r="I22" t="inlineStr">
        <is>
          <t>clearbit</t>
        </is>
      </c>
      <c r="J22" t="inlineStr"/>
      <c r="Y22" t="inlineStr">
        <is>
          <t>unknown</t>
        </is>
      </c>
      <c r="Z22" t="inlineStr"/>
      <c r="AA22" t="inlineStr"/>
      <c r="AB22" t="inlineStr"/>
      <c r="AC22" t="inlineStr"/>
      <c r="AD22" t="inlineStr">
        <is>
          <t>לא נמצא בסריקת המפיצים</t>
        </is>
      </c>
      <c r="AE22" t="inlineStr">
        <is>
          <t>סריקת אתרי מפיצים</t>
        </is>
      </c>
      <c r="AG22" t="inlineStr"/>
      <c r="AH22" t="inlineStr"/>
      <c r="AJ22" t="inlineStr"/>
      <c r="AP22" t="inlineStr">
        <is>
          <t>https://www.quartzy.com/suppliers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t>
        </is>
      </c>
      <c r="J23" t="inlineStr"/>
      <c r="Y23" t="inlineStr">
        <is>
          <t>unknown</t>
        </is>
      </c>
      <c r="Z23" t="inlineStr"/>
      <c r="AA23" t="inlineStr"/>
      <c r="AB23" t="inlineStr"/>
      <c r="AC23" t="inlineStr"/>
      <c r="AD23" t="inlineStr">
        <is>
          <t>לא נמצא בסריקת המפיצים</t>
        </is>
      </c>
      <c r="AE23" t="inlineStr">
        <is>
          <t>סריקת אתרי מפיצים</t>
        </is>
      </c>
      <c r="AG23" t="inlineStr"/>
      <c r="AH23" t="inlineStr"/>
      <c r="AJ23" t="inlineStr"/>
      <c r="AP23" t="inlineStr">
        <is>
          <t>https://www.thomassci.com/browse-by/suppliers/accu-glass-products</t>
        </is>
      </c>
    </row>
    <row r="24">
      <c r="A24" t="n">
        <v>23</v>
      </c>
      <c r="B24" t="inlineStr">
        <is>
          <t>Accucold</t>
        </is>
      </c>
      <c r="C24" t="inlineStr">
        <is>
          <t>T</t>
        </is>
      </c>
      <c r="E24" t="inlineStr">
        <is>
          <t>https://www.thomassci.com/browse-by/suppliers/accucold</t>
        </is>
      </c>
      <c r="F24" t="inlineStr"/>
      <c r="H24" t="inlineStr">
        <is>
          <t>https://accucold.com</t>
        </is>
      </c>
      <c r="I24" t="inlineStr">
        <is>
          <t>clearbit</t>
        </is>
      </c>
      <c r="J24" t="inlineStr"/>
      <c r="Y24" t="inlineStr">
        <is>
          <t>unknown</t>
        </is>
      </c>
      <c r="Z24" t="inlineStr"/>
      <c r="AA24" t="inlineStr"/>
      <c r="AB24" t="inlineStr"/>
      <c r="AC24" t="inlineStr"/>
      <c r="AD24" t="inlineStr">
        <is>
          <t>לא נמצא בסריקת המפיצים</t>
        </is>
      </c>
      <c r="AE24" t="inlineStr">
        <is>
          <t>סריקת אתרי מפיצים</t>
        </is>
      </c>
      <c r="AG24" t="inlineStr"/>
      <c r="AH24" t="inlineStr"/>
      <c r="AJ24" t="inlineStr"/>
      <c r="AP24" t="inlineStr">
        <is>
          <t>https://www.thomassci.com/browse-by/suppliers/accucold</t>
        </is>
      </c>
    </row>
    <row r="25">
      <c r="A25" t="n">
        <v>24</v>
      </c>
      <c r="B25" t="inlineStr">
        <is>
          <t>Accuflow</t>
        </is>
      </c>
      <c r="C25" t="inlineStr">
        <is>
          <t>T</t>
        </is>
      </c>
      <c r="E25" t="inlineStr">
        <is>
          <t>https://www.thomassci.com/browse-by/suppliers/accuflow</t>
        </is>
      </c>
      <c r="F25" t="inlineStr"/>
      <c r="H25" t="inlineStr">
        <is>
          <t>https://accuflow.com</t>
        </is>
      </c>
      <c r="I25" t="inlineStr">
        <is>
          <t>clearbit</t>
        </is>
      </c>
      <c r="J25" t="inlineStr"/>
      <c r="Y25" t="inlineStr">
        <is>
          <t>unknown</t>
        </is>
      </c>
      <c r="Z25" t="inlineStr"/>
      <c r="AA25" t="inlineStr"/>
      <c r="AB25" t="inlineStr"/>
      <c r="AC25" t="inlineStr"/>
      <c r="AD25" t="inlineStr">
        <is>
          <t>לא נמצא בסריקת המפיצים</t>
        </is>
      </c>
      <c r="AE25" t="inlineStr">
        <is>
          <t>סריקת אתרי מפיצים</t>
        </is>
      </c>
      <c r="AG25" t="inlineStr"/>
      <c r="AH25" t="inlineStr"/>
      <c r="AJ25" t="inlineStr"/>
      <c r="AP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Y26" t="inlineStr">
        <is>
          <t>unknown</t>
        </is>
      </c>
      <c r="Z26" t="inlineStr"/>
      <c r="AA26" t="inlineStr"/>
      <c r="AB26" t="inlineStr"/>
      <c r="AC26" t="inlineStr"/>
      <c r="AD26" t="inlineStr">
        <is>
          <t>לא נמצא בסריקת המפיצים</t>
        </is>
      </c>
      <c r="AE26" t="inlineStr">
        <is>
          <t>סריקת אתרי מפיצים</t>
        </is>
      </c>
      <c r="AG26" t="inlineStr"/>
      <c r="AH26" t="inlineStr"/>
      <c r="AJ26" t="inlineStr"/>
      <c r="AP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Y27" t="inlineStr">
        <is>
          <t>unknown</t>
        </is>
      </c>
      <c r="Z27" t="inlineStr"/>
      <c r="AA27" t="inlineStr"/>
      <c r="AB27" t="inlineStr"/>
      <c r="AC27" t="inlineStr"/>
      <c r="AD27" t="inlineStr">
        <is>
          <t>לא נמצא בסריקת המפיצים</t>
        </is>
      </c>
      <c r="AE27" t="inlineStr">
        <is>
          <t>סריקת אתרי מפיצים</t>
        </is>
      </c>
      <c r="AG27" t="inlineStr"/>
      <c r="AH27" t="inlineStr"/>
      <c r="AJ27" t="inlineStr"/>
      <c r="AP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Y28" t="inlineStr">
        <is>
          <t>unknown</t>
        </is>
      </c>
      <c r="Z28" t="inlineStr"/>
      <c r="AA28" t="inlineStr"/>
      <c r="AB28" t="inlineStr"/>
      <c r="AC28" t="inlineStr"/>
      <c r="AD28" t="inlineStr">
        <is>
          <t>לא נמצא בסריקת המפיצים</t>
        </is>
      </c>
      <c r="AE28" t="inlineStr">
        <is>
          <t>סריקת אתרי מפיצים</t>
        </is>
      </c>
      <c r="AG28" t="inlineStr"/>
      <c r="AH28" t="inlineStr"/>
      <c r="AJ28" t="inlineStr"/>
      <c r="AP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Y29" t="inlineStr">
        <is>
          <t>unknown</t>
        </is>
      </c>
      <c r="Z29" t="inlineStr"/>
      <c r="AA29" t="inlineStr"/>
      <c r="AB29" t="inlineStr"/>
      <c r="AC29" t="inlineStr"/>
      <c r="AD29" t="inlineStr">
        <is>
          <t>לא נמצא בסריקת המפיצים</t>
        </is>
      </c>
      <c r="AE29" t="inlineStr">
        <is>
          <t>סריקת אתרי מפיצים</t>
        </is>
      </c>
      <c r="AG29" t="inlineStr"/>
      <c r="AH29" t="inlineStr"/>
      <c r="AJ29" t="inlineStr"/>
      <c r="AP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t>
        </is>
      </c>
      <c r="J30" t="inlineStr"/>
      <c r="Y30" t="inlineStr">
        <is>
          <t>unknown</t>
        </is>
      </c>
      <c r="Z30" t="inlineStr">
        <is>
          <t>Adapter, Rotary Evaporator Vial Adapter</t>
        </is>
      </c>
      <c r="AA30" t="inlineStr">
        <is>
          <t>1mL Tissue Grinder, Dounce Type, Glass</t>
        </is>
      </c>
      <c r="AB30" t="inlineStr">
        <is>
          <t>Adapter, Gas Inlet</t>
        </is>
      </c>
      <c r="AC30" t="inlineStr">
        <is>
          <t>thomassci</t>
        </is>
      </c>
      <c r="AD30" t="inlineStr">
        <is>
          <t>לא נמצא בסריקת המפיצים</t>
        </is>
      </c>
      <c r="AE30" t="inlineStr">
        <is>
          <t>סריקת אתרי מפיצים</t>
        </is>
      </c>
      <c r="AG30" t="inlineStr"/>
      <c r="AH30" t="inlineStr"/>
      <c r="AJ30" t="inlineStr"/>
      <c r="AP30" t="inlineStr">
        <is>
          <t>https://www.quartzy.com/suppliers | https://www.thomassci.com/browse-by/suppliers/ace-glass</t>
        </is>
      </c>
    </row>
    <row r="31">
      <c r="A31" t="n">
        <v>30</v>
      </c>
      <c r="B31" t="inlineStr">
        <is>
          <t>Acme United</t>
        </is>
      </c>
      <c r="C31" t="inlineStr">
        <is>
          <t>T</t>
        </is>
      </c>
      <c r="E31" t="inlineStr">
        <is>
          <t>https://www.thomassci.com/browse-by/suppliers/acme-united</t>
        </is>
      </c>
      <c r="F31" t="inlineStr"/>
      <c r="H31" t="inlineStr">
        <is>
          <t>https://acmeunited.com</t>
        </is>
      </c>
      <c r="I31" t="inlineStr">
        <is>
          <t>clearbit</t>
        </is>
      </c>
      <c r="J31" t="inlineStr"/>
      <c r="Y31" t="inlineStr">
        <is>
          <t>unknown</t>
        </is>
      </c>
      <c r="Z31" t="inlineStr"/>
      <c r="AA31" t="inlineStr"/>
      <c r="AB31" t="inlineStr"/>
      <c r="AC31" t="inlineStr"/>
      <c r="AD31" t="inlineStr">
        <is>
          <t>לא נמצא בסריקת המפיצים</t>
        </is>
      </c>
      <c r="AE31" t="inlineStr">
        <is>
          <t>סריקת אתרי מפיצים</t>
        </is>
      </c>
      <c r="AG31" t="inlineStr"/>
      <c r="AH31" t="inlineStr"/>
      <c r="AJ31" t="inlineStr"/>
      <c r="AP31" t="inlineStr">
        <is>
          <t>https://www.thomassci.com/browse-by/suppliers/acme-united</t>
        </is>
      </c>
    </row>
    <row r="32">
      <c r="A32" t="n">
        <v>31</v>
      </c>
      <c r="B32" t="inlineStr">
        <is>
          <t>Acrobiosystems</t>
        </is>
      </c>
      <c r="C32" t="inlineStr">
        <is>
          <t>Q</t>
        </is>
      </c>
      <c r="F32" t="inlineStr">
        <is>
          <t>yes</t>
        </is>
      </c>
      <c r="H32" t="inlineStr">
        <is>
          <t>https://acrobiosystems.com</t>
        </is>
      </c>
      <c r="I32" t="inlineStr">
        <is>
          <t>clearbit</t>
        </is>
      </c>
      <c r="J32" t="inlineStr"/>
      <c r="Y32" t="inlineStr">
        <is>
          <t>unknown</t>
        </is>
      </c>
      <c r="Z32" t="inlineStr"/>
      <c r="AA32" t="inlineStr"/>
      <c r="AB32" t="inlineStr"/>
      <c r="AC32" t="inlineStr"/>
      <c r="AD32" t="inlineStr">
        <is>
          <t>לא נמצא בסריקת המפיצים</t>
        </is>
      </c>
      <c r="AE32" t="inlineStr">
        <is>
          <t>סריקת אתרי מפיצים</t>
        </is>
      </c>
      <c r="AG32" t="inlineStr"/>
      <c r="AH32" t="inlineStr"/>
      <c r="AJ32" t="inlineStr"/>
      <c r="AP32" t="inlineStr">
        <is>
          <t>https://www.quartzy.com/suppliers</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t>
        </is>
      </c>
      <c r="J33" t="inlineStr"/>
      <c r="Y33" t="inlineStr">
        <is>
          <t>unknown</t>
        </is>
      </c>
      <c r="Z33" t="inlineStr"/>
      <c r="AA33" t="inlineStr"/>
      <c r="AB33" t="inlineStr"/>
      <c r="AC33" t="inlineStr"/>
      <c r="AD33" t="inlineStr">
        <is>
          <t>לא נמצא בסריקת המפיצים</t>
        </is>
      </c>
      <c r="AE33" t="inlineStr">
        <is>
          <t>סריקת אתרי מפיצים</t>
        </is>
      </c>
      <c r="AG33" t="inlineStr"/>
      <c r="AH33" t="inlineStr"/>
      <c r="AJ33" t="inlineStr"/>
      <c r="AP33" t="inlineStr">
        <is>
          <t>https://www.quartzy.com/suppliers | https://www.thomassci.com/browse-by/suppliers/across-international</t>
        </is>
      </c>
    </row>
    <row r="34">
      <c r="A34" t="n">
        <v>33</v>
      </c>
      <c r="B34" t="inlineStr">
        <is>
          <t>Acrotein ChemBio</t>
        </is>
      </c>
      <c r="C34" t="inlineStr">
        <is>
          <t>Q</t>
        </is>
      </c>
      <c r="F34" t="inlineStr">
        <is>
          <t>yes</t>
        </is>
      </c>
      <c r="J34" t="inlineStr"/>
      <c r="Y34" t="inlineStr">
        <is>
          <t>unknown</t>
        </is>
      </c>
      <c r="Z34" t="inlineStr"/>
      <c r="AA34" t="inlineStr"/>
      <c r="AB34" t="inlineStr"/>
      <c r="AC34" t="inlineStr"/>
      <c r="AD34" t="inlineStr">
        <is>
          <t>לא נמצא בסריקת המפיצים</t>
        </is>
      </c>
      <c r="AE34" t="inlineStr">
        <is>
          <t>סריקת אתרי מפיצים</t>
        </is>
      </c>
      <c r="AG34" t="inlineStr"/>
      <c r="AH34" t="inlineStr"/>
      <c r="AJ34" t="inlineStr"/>
      <c r="AP34" t="inlineStr">
        <is>
          <t>https://www.quartzy.com/suppliers</t>
        </is>
      </c>
    </row>
    <row r="35">
      <c r="A35" t="n">
        <v>34</v>
      </c>
      <c r="B35" t="inlineStr">
        <is>
          <t>ACTGene, Inc.</t>
        </is>
      </c>
      <c r="C35" t="inlineStr">
        <is>
          <t>T</t>
        </is>
      </c>
      <c r="E35" t="inlineStr">
        <is>
          <t>https://www.thomassci.com/browse-by/suppliers/actgene</t>
        </is>
      </c>
      <c r="F35" t="inlineStr"/>
      <c r="J35" t="inlineStr"/>
      <c r="Y35" t="inlineStr">
        <is>
          <t>unknown</t>
        </is>
      </c>
      <c r="Z35" t="inlineStr"/>
      <c r="AA35" t="inlineStr"/>
      <c r="AB35" t="inlineStr"/>
      <c r="AC35" t="inlineStr"/>
      <c r="AD35" t="inlineStr">
        <is>
          <t>לא נמצא בסריקת המפיצים</t>
        </is>
      </c>
      <c r="AE35" t="inlineStr">
        <is>
          <t>סריקת אתרי מפיצים</t>
        </is>
      </c>
      <c r="AG35" t="inlineStr"/>
      <c r="AH35" t="inlineStr"/>
      <c r="AJ35" t="inlineStr"/>
      <c r="AP35" t="inlineStr">
        <is>
          <t>https://www.thomassci.com/browse-by/suppliers/actgene</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t>
        </is>
      </c>
      <c r="J36" t="inlineStr"/>
      <c r="Y36" t="inlineStr">
        <is>
          <t>unknown</t>
        </is>
      </c>
      <c r="Z36" t="inlineStr"/>
      <c r="AA36" t="inlineStr"/>
      <c r="AB36" t="inlineStr"/>
      <c r="AC36" t="inlineStr"/>
      <c r="AD36" t="inlineStr">
        <is>
          <t>לא נמצא בסריקת המפיצים</t>
        </is>
      </c>
      <c r="AE36" t="inlineStr">
        <is>
          <t>סריקת אתרי מפיצים</t>
        </is>
      </c>
      <c r="AG36" t="inlineStr"/>
      <c r="AH36" t="inlineStr"/>
      <c r="AJ36" t="inlineStr"/>
      <c r="AP36" t="inlineStr">
        <is>
          <t>https://www.quartzy.com/suppliers | https://www.thomassci.com/browse-by/suppliers/action-health</t>
        </is>
      </c>
    </row>
    <row r="37">
      <c r="A37" t="n">
        <v>36</v>
      </c>
      <c r="B37" t="inlineStr">
        <is>
          <t>Activate</t>
        </is>
      </c>
      <c r="C37" t="inlineStr">
        <is>
          <t>T</t>
        </is>
      </c>
      <c r="E37" t="inlineStr">
        <is>
          <t>https://www.thomassci.com/browse-by/suppliers/activate</t>
        </is>
      </c>
      <c r="F37" t="inlineStr"/>
      <c r="H37" t="inlineStr">
        <is>
          <t>https://activate.org</t>
        </is>
      </c>
      <c r="I37" t="inlineStr">
        <is>
          <t>clearbit</t>
        </is>
      </c>
      <c r="J37" t="inlineStr"/>
      <c r="Y37" t="inlineStr">
        <is>
          <t>unknown</t>
        </is>
      </c>
      <c r="Z37" t="inlineStr"/>
      <c r="AA37" t="inlineStr"/>
      <c r="AB37" t="inlineStr"/>
      <c r="AC37" t="inlineStr"/>
      <c r="AD37" t="inlineStr">
        <is>
          <t>לא נמצא בסריקת המפיצים</t>
        </is>
      </c>
      <c r="AE37" t="inlineStr">
        <is>
          <t>סריקת אתרי מפיצים</t>
        </is>
      </c>
      <c r="AG37" t="inlineStr"/>
      <c r="AH37" t="inlineStr"/>
      <c r="AJ37" t="inlineStr"/>
      <c r="AP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t>
        </is>
      </c>
      <c r="J38" t="inlineStr"/>
      <c r="Y38" t="inlineStr">
        <is>
          <t>unknown</t>
        </is>
      </c>
      <c r="Z38" t="inlineStr"/>
      <c r="AA38" t="inlineStr"/>
      <c r="AB38" t="inlineStr"/>
      <c r="AC38" t="inlineStr"/>
      <c r="AD38" t="inlineStr">
        <is>
          <t>לא נמצא בסריקת המפיצים</t>
        </is>
      </c>
      <c r="AE38" t="inlineStr">
        <is>
          <t>סריקת אתרי מפיצים</t>
        </is>
      </c>
      <c r="AG38" t="inlineStr"/>
      <c r="AH38" t="inlineStr"/>
      <c r="AJ38" t="inlineStr"/>
      <c r="AP38" t="inlineStr">
        <is>
          <t>https://www.quartzy.com/suppliers</t>
        </is>
      </c>
    </row>
    <row r="39">
      <c r="A39" t="n">
        <v>38</v>
      </c>
      <c r="B39" t="inlineStr">
        <is>
          <t>Acute Care</t>
        </is>
      </c>
      <c r="C39" t="inlineStr">
        <is>
          <t>T</t>
        </is>
      </c>
      <c r="E39" t="inlineStr">
        <is>
          <t>https://www.thomassci.com/browse-by/suppliers/acute-care</t>
        </is>
      </c>
      <c r="F39" t="inlineStr"/>
      <c r="H39" t="inlineStr">
        <is>
          <t>https://acutecare.com</t>
        </is>
      </c>
      <c r="I39" t="inlineStr">
        <is>
          <t>clearbit</t>
        </is>
      </c>
      <c r="J39" t="inlineStr"/>
      <c r="Y39" t="inlineStr">
        <is>
          <t>unknown</t>
        </is>
      </c>
      <c r="Z39" t="inlineStr"/>
      <c r="AA39" t="inlineStr"/>
      <c r="AB39" t="inlineStr"/>
      <c r="AC39" t="inlineStr"/>
      <c r="AD39" t="inlineStr">
        <is>
          <t>לא נמצא בסריקת המפיצים</t>
        </is>
      </c>
      <c r="AE39" t="inlineStr">
        <is>
          <t>סריקת אתרי מפיצים</t>
        </is>
      </c>
      <c r="AG39" t="inlineStr"/>
      <c r="AH39" t="inlineStr"/>
      <c r="AJ39" t="inlineStr"/>
      <c r="AP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Y40" t="inlineStr">
        <is>
          <t>unknown</t>
        </is>
      </c>
      <c r="Z40" t="inlineStr"/>
      <c r="AA40" t="inlineStr"/>
      <c r="AB40" t="inlineStr"/>
      <c r="AC40" t="inlineStr"/>
      <c r="AD40" t="inlineStr">
        <is>
          <t>לא נמצא בסריקת המפיצים</t>
        </is>
      </c>
      <c r="AE40" t="inlineStr">
        <is>
          <t>סריקת אתרי מפיצים</t>
        </is>
      </c>
      <c r="AG40" t="inlineStr"/>
      <c r="AH40" t="inlineStr"/>
      <c r="AJ40" t="inlineStr"/>
      <c r="AP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t>
        </is>
      </c>
      <c r="J41" t="inlineStr"/>
      <c r="Y41" t="inlineStr">
        <is>
          <t>unknown</t>
        </is>
      </c>
      <c r="Z41" t="inlineStr"/>
      <c r="AA41" t="inlineStr"/>
      <c r="AB41" t="inlineStr"/>
      <c r="AC41" t="inlineStr"/>
      <c r="AD41" t="inlineStr">
        <is>
          <t>לא נמצא בסריקת המפיצים</t>
        </is>
      </c>
      <c r="AE41" t="inlineStr">
        <is>
          <t>סריקת אתרי מפיצים</t>
        </is>
      </c>
      <c r="AG41" t="inlineStr"/>
      <c r="AH41" t="inlineStr"/>
      <c r="AJ41" t="inlineStr"/>
      <c r="AP41" t="inlineStr">
        <is>
          <t>https://www.dutscher.com/search?initialFilters=brand:Adam+equipment | https://www.quartzy.com/suppliers | https://www.thomassci.com/browse-by/suppliers/adam-equipment</t>
        </is>
      </c>
    </row>
    <row r="42">
      <c r="A42" t="n">
        <v>41</v>
      </c>
      <c r="B42" t="inlineStr">
        <is>
          <t>Adipogen</t>
        </is>
      </c>
      <c r="C42" t="inlineStr">
        <is>
          <t>Q</t>
        </is>
      </c>
      <c r="F42" t="inlineStr">
        <is>
          <t>yes</t>
        </is>
      </c>
      <c r="J42" t="inlineStr"/>
      <c r="Y42" t="inlineStr">
        <is>
          <t>unknown</t>
        </is>
      </c>
      <c r="Z42" t="inlineStr"/>
      <c r="AA42" t="inlineStr"/>
      <c r="AB42" t="inlineStr"/>
      <c r="AC42" t="inlineStr"/>
      <c r="AD42" t="inlineStr">
        <is>
          <t>לא נמצא בסריקת המפיצים</t>
        </is>
      </c>
      <c r="AE42" t="inlineStr">
        <is>
          <t>סריקת אתרי מפיצים</t>
        </is>
      </c>
      <c r="AG42" t="inlineStr"/>
      <c r="AH42" t="inlineStr"/>
      <c r="AJ42" t="inlineStr"/>
      <c r="AP42" t="inlineStr">
        <is>
          <t>https://www.quartzy.com/suppliers</t>
        </is>
      </c>
    </row>
    <row r="43">
      <c r="A43" t="n">
        <v>42</v>
      </c>
      <c r="B43" t="inlineStr">
        <is>
          <t>Advanced ChemBlocks</t>
        </is>
      </c>
      <c r="C43" t="inlineStr">
        <is>
          <t>Q</t>
        </is>
      </c>
      <c r="F43" t="inlineStr">
        <is>
          <t>yes</t>
        </is>
      </c>
      <c r="J43" t="inlineStr"/>
      <c r="Y43" t="inlineStr">
        <is>
          <t>unknown</t>
        </is>
      </c>
      <c r="Z43" t="inlineStr"/>
      <c r="AA43" t="inlineStr"/>
      <c r="AB43" t="inlineStr"/>
      <c r="AC43" t="inlineStr"/>
      <c r="AD43" t="inlineStr">
        <is>
          <t>לא נמצא בסריקת המפיצים</t>
        </is>
      </c>
      <c r="AE43" t="inlineStr">
        <is>
          <t>סריקת אתרי מפיצים</t>
        </is>
      </c>
      <c r="AG43" t="inlineStr"/>
      <c r="AH43" t="inlineStr"/>
      <c r="AJ43" t="inlineStr"/>
      <c r="AP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t>
        </is>
      </c>
      <c r="J44" t="inlineStr"/>
      <c r="Y44" t="inlineStr">
        <is>
          <t>unknown</t>
        </is>
      </c>
      <c r="Z44" t="inlineStr"/>
      <c r="AA44" t="inlineStr"/>
      <c r="AB44" t="inlineStr"/>
      <c r="AC44" t="inlineStr"/>
      <c r="AD44" t="inlineStr">
        <is>
          <t>לא נמצא בסריקת המפיצים</t>
        </is>
      </c>
      <c r="AE44" t="inlineStr">
        <is>
          <t>סריקת אתרי מפיצים</t>
        </is>
      </c>
      <c r="AG44" t="inlineStr"/>
      <c r="AH44" t="inlineStr"/>
      <c r="AJ44" t="inlineStr"/>
      <c r="AP44" t="inlineStr">
        <is>
          <t>https://www.thomassci.com/browse-by/suppliers/advanced-chemtech</t>
        </is>
      </c>
    </row>
    <row r="45">
      <c r="A45" t="n">
        <v>44</v>
      </c>
      <c r="B45" t="inlineStr">
        <is>
          <t>Advanced Genetic Mapping</t>
        </is>
      </c>
      <c r="C45" t="inlineStr">
        <is>
          <t>Q</t>
        </is>
      </c>
      <c r="F45" t="inlineStr">
        <is>
          <t>yes</t>
        </is>
      </c>
      <c r="H45" t="inlineStr">
        <is>
          <t>https://advancedgeneticmapping.com</t>
        </is>
      </c>
      <c r="I45" t="inlineStr">
        <is>
          <t>clearbit</t>
        </is>
      </c>
      <c r="J45" t="inlineStr"/>
      <c r="Y45" t="inlineStr">
        <is>
          <t>unknown</t>
        </is>
      </c>
      <c r="Z45" t="inlineStr"/>
      <c r="AA45" t="inlineStr"/>
      <c r="AB45" t="inlineStr"/>
      <c r="AC45" t="inlineStr"/>
      <c r="AD45" t="inlineStr">
        <is>
          <t>לא נמצא בסריקת המפיצים</t>
        </is>
      </c>
      <c r="AE45" t="inlineStr">
        <is>
          <t>סריקת אתרי מפיצים</t>
        </is>
      </c>
      <c r="AG45" t="inlineStr"/>
      <c r="AH45" t="inlineStr"/>
      <c r="AJ45" t="inlineStr"/>
      <c r="AP45" t="inlineStr">
        <is>
          <t>https://www.quartzy.com/suppliers</t>
        </is>
      </c>
    </row>
    <row r="46">
      <c r="A46" t="n">
        <v>45</v>
      </c>
      <c r="B46" t="inlineStr">
        <is>
          <t>Advanced Tech Group</t>
        </is>
      </c>
      <c r="C46" t="inlineStr">
        <is>
          <t>Q</t>
        </is>
      </c>
      <c r="F46" t="inlineStr">
        <is>
          <t>yes</t>
        </is>
      </c>
      <c r="J46" t="inlineStr"/>
      <c r="Y46" t="inlineStr">
        <is>
          <t>unknown</t>
        </is>
      </c>
      <c r="Z46" t="inlineStr"/>
      <c r="AA46" t="inlineStr"/>
      <c r="AB46" t="inlineStr"/>
      <c r="AC46" t="inlineStr"/>
      <c r="AD46" t="inlineStr">
        <is>
          <t>לא נמצא בסריקת המפיצים</t>
        </is>
      </c>
      <c r="AE46" t="inlineStr">
        <is>
          <t>סריקת אתרי מפיצים</t>
        </is>
      </c>
      <c r="AG46" t="inlineStr"/>
      <c r="AH46" t="inlineStr"/>
      <c r="AJ46" t="inlineStr"/>
      <c r="AP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t>
        </is>
      </c>
      <c r="J47" t="inlineStr"/>
      <c r="Y47" t="inlineStr">
        <is>
          <t>unknown</t>
        </is>
      </c>
      <c r="Z47" t="inlineStr"/>
      <c r="AA47" t="inlineStr"/>
      <c r="AB47" t="inlineStr"/>
      <c r="AC47" t="inlineStr"/>
      <c r="AD47" t="inlineStr">
        <is>
          <t>לא נמצא בסריקת המפיצים</t>
        </is>
      </c>
      <c r="AE47" t="inlineStr">
        <is>
          <t>סריקת אתרי מפיצים</t>
        </is>
      </c>
      <c r="AG47" t="inlineStr"/>
      <c r="AH47" t="inlineStr"/>
      <c r="AJ47" t="inlineStr"/>
      <c r="AP47" t="inlineStr">
        <is>
          <t>https://www.quartzy.com/suppliers | https://www.thomassci.com/browse-by/suppliers/advansta</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clearbit</t>
        </is>
      </c>
      <c r="J48" t="inlineStr"/>
      <c r="Y48" t="inlineStr">
        <is>
          <t>unknown</t>
        </is>
      </c>
      <c r="Z48" t="inlineStr"/>
      <c r="AA48" t="inlineStr"/>
      <c r="AB48" t="inlineStr"/>
      <c r="AC48" t="inlineStr"/>
      <c r="AD48" t="inlineStr">
        <is>
          <t>לא נמצא בסריקת המפיצים</t>
        </is>
      </c>
      <c r="AE48" t="inlineStr">
        <is>
          <t>סריקת אתרי מפיצים</t>
        </is>
      </c>
      <c r="AG48" t="inlineStr"/>
      <c r="AH48" t="inlineStr"/>
      <c r="AJ48" t="inlineStr"/>
      <c r="AP48" t="inlineStr">
        <is>
          <t>https://www.dutscher.com/search?initialFilters=brand:Advantage+Lab</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t>
        </is>
      </c>
      <c r="J49" t="inlineStr"/>
      <c r="Y49" t="inlineStr">
        <is>
          <t>unknown</t>
        </is>
      </c>
      <c r="Z49" t="inlineStr"/>
      <c r="AA49" t="inlineStr"/>
      <c r="AB49" t="inlineStr"/>
      <c r="AC49" t="inlineStr"/>
      <c r="AD49" t="inlineStr">
        <is>
          <t>לא נמצא בסריקת המפיצים</t>
        </is>
      </c>
      <c r="AE49" t="inlineStr">
        <is>
          <t>סריקת אתרי מפיצים</t>
        </is>
      </c>
      <c r="AG49" t="inlineStr"/>
      <c r="AH49" t="inlineStr"/>
      <c r="AJ49" t="inlineStr"/>
      <c r="AP49" t="inlineStr">
        <is>
          <t>https://www.thomassci.com/browse-by/suppliers/advantec-mfs</t>
        </is>
      </c>
    </row>
    <row r="50">
      <c r="A50" t="n">
        <v>49</v>
      </c>
      <c r="B50" t="inlineStr">
        <is>
          <t>Advantech</t>
        </is>
      </c>
      <c r="C50" t="inlineStr">
        <is>
          <t>T</t>
        </is>
      </c>
      <c r="E50" t="inlineStr">
        <is>
          <t>https://www.thomassci.com/browse-by/suppliers/advantech</t>
        </is>
      </c>
      <c r="F50" t="inlineStr"/>
      <c r="H50" t="inlineStr">
        <is>
          <t>https://advantech.com</t>
        </is>
      </c>
      <c r="I50" t="inlineStr">
        <is>
          <t>clearbit</t>
        </is>
      </c>
      <c r="J50" t="inlineStr"/>
      <c r="Y50" t="inlineStr">
        <is>
          <t>unknown</t>
        </is>
      </c>
      <c r="Z50" t="inlineStr"/>
      <c r="AA50" t="inlineStr"/>
      <c r="AB50" t="inlineStr"/>
      <c r="AC50" t="inlineStr"/>
      <c r="AD50" t="inlineStr">
        <is>
          <t>לא נמצא בסריקת המפיצים</t>
        </is>
      </c>
      <c r="AE50" t="inlineStr">
        <is>
          <t>סריקת אתרי מפיצים</t>
        </is>
      </c>
      <c r="AG50" t="inlineStr"/>
      <c r="AH50" t="inlineStr"/>
      <c r="AJ50" t="inlineStr"/>
      <c r="AP50" t="inlineStr">
        <is>
          <t>https://www.thomassci.com/browse-by/suppliers/advantech</t>
        </is>
      </c>
    </row>
    <row r="51">
      <c r="A51" t="n">
        <v>50</v>
      </c>
      <c r="B51" t="inlineStr">
        <is>
          <t>Affinisep</t>
        </is>
      </c>
      <c r="C51" t="inlineStr">
        <is>
          <t>Q</t>
        </is>
      </c>
      <c r="F51" t="inlineStr">
        <is>
          <t>yes</t>
        </is>
      </c>
      <c r="H51" t="inlineStr">
        <is>
          <t>https://affinisep.com</t>
        </is>
      </c>
      <c r="I51" t="inlineStr">
        <is>
          <t>clearbit</t>
        </is>
      </c>
      <c r="J51" t="inlineStr"/>
      <c r="Y51" t="inlineStr">
        <is>
          <t>unknown</t>
        </is>
      </c>
      <c r="Z51" t="inlineStr"/>
      <c r="AA51" t="inlineStr"/>
      <c r="AB51" t="inlineStr"/>
      <c r="AC51" t="inlineStr"/>
      <c r="AD51" t="inlineStr">
        <is>
          <t>לא נמצא בסריקת המפיצים</t>
        </is>
      </c>
      <c r="AE51" t="inlineStr">
        <is>
          <t>סריקת אתרי מפיצים</t>
        </is>
      </c>
      <c r="AG51" t="inlineStr"/>
      <c r="AH51" t="inlineStr"/>
      <c r="AJ51" t="inlineStr"/>
      <c r="AP51" t="inlineStr">
        <is>
          <t>https://www.quartzy.com/suppliers</t>
        </is>
      </c>
    </row>
    <row r="52">
      <c r="A52" t="n">
        <v>51</v>
      </c>
      <c r="B52" t="inlineStr">
        <is>
          <t>AFG Bioscience</t>
        </is>
      </c>
      <c r="C52" t="inlineStr">
        <is>
          <t>T</t>
        </is>
      </c>
      <c r="E52" t="inlineStr">
        <is>
          <t>https://www.thomassci.com/browse-by/suppliers/afg-bioscience</t>
        </is>
      </c>
      <c r="F52" t="inlineStr"/>
      <c r="J52" t="inlineStr"/>
      <c r="Y52" t="inlineStr">
        <is>
          <t>unknown</t>
        </is>
      </c>
      <c r="Z52" t="inlineStr"/>
      <c r="AA52" t="inlineStr"/>
      <c r="AB52" t="inlineStr"/>
      <c r="AC52" t="inlineStr"/>
      <c r="AD52" t="inlineStr">
        <is>
          <t>לא נמצא בסריקת המפיצים</t>
        </is>
      </c>
      <c r="AE52" t="inlineStr">
        <is>
          <t>סריקת אתרי מפיצים</t>
        </is>
      </c>
      <c r="AG52" t="inlineStr"/>
      <c r="AH52" t="inlineStr"/>
      <c r="AJ52" t="inlineStr"/>
      <c r="AP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Y53" t="inlineStr">
        <is>
          <t>unknown</t>
        </is>
      </c>
      <c r="Z53" t="inlineStr"/>
      <c r="AA53" t="inlineStr"/>
      <c r="AB53" t="inlineStr"/>
      <c r="AC53" t="inlineStr"/>
      <c r="AD53" t="inlineStr">
        <is>
          <t>לא נמצא בסריקת המפיצים</t>
        </is>
      </c>
      <c r="AE53" t="inlineStr">
        <is>
          <t>סריקת אתרי מפיצים</t>
        </is>
      </c>
      <c r="AG53" t="inlineStr"/>
      <c r="AH53" t="inlineStr"/>
      <c r="AJ53" t="inlineStr"/>
      <c r="AP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P54" t="n">
        <v>18100</v>
      </c>
      <c r="Q54" t="n">
        <v>2025</v>
      </c>
      <c r="R54" t="inlineStr">
        <is>
          <t>company</t>
        </is>
      </c>
      <c r="S54" t="inlineStr">
        <is>
          <t>prior</t>
        </is>
      </c>
      <c r="T54" t="n">
        <v>6950</v>
      </c>
      <c r="U54" t="inlineStr">
        <is>
          <t>USD 6.95 billion</t>
        </is>
      </c>
      <c r="V54" t="inlineStr">
        <is>
          <t>FY2025 (ended 31 Oct 2025)</t>
        </is>
      </c>
      <c r="W54" t="inlineStr">
        <is>
          <t>company</t>
        </is>
      </c>
      <c r="X54" t="inlineStr">
        <is>
          <t>prior</t>
        </is>
      </c>
      <c r="Y54" t="inlineStr">
        <is>
          <t>reported</t>
        </is>
      </c>
      <c r="Z54" t="inlineStr">
        <is>
          <t>Agilent 1290 Infinity III LC</t>
        </is>
      </c>
      <c r="AA54" t="inlineStr">
        <is>
          <t>Agilent 8890 GC / 7010 Triple Quad GC/MS</t>
        </is>
      </c>
      <c r="AB54" t="inlineStr">
        <is>
          <t>Agilent BioTek Cytation</t>
        </is>
      </c>
      <c r="AC54" t="inlineStr">
        <is>
          <t>prior</t>
        </is>
      </c>
      <c r="AD54" t="inlineStr">
        <is>
          <t>מפיץ/נציג בישראל</t>
        </is>
      </c>
      <c r="AE54" t="inlineStr">
        <is>
          <t>אומת</t>
        </is>
      </c>
      <c r="AF54" t="n">
        <v>2026</v>
      </c>
      <c r="AG54" t="inlineStr">
        <is>
          <t>Eldan Electronic Instruments Ltd. (Neopharm group)</t>
        </is>
      </c>
      <c r="AH54" t="inlineStr">
        <is>
          <t>Eldan Electronic Instruments Ltd. (Neopharm group): +972-3-937-1111 info@eldan.biz</t>
        </is>
      </c>
      <c r="AI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4" t="inlineStr">
        <is>
          <t>+1 408-345-8886 / +1 877-424-4536</t>
        </is>
      </c>
      <c r="AK54" t="inlineStr">
        <is>
          <t>contact_us@agilent.com</t>
        </is>
      </c>
      <c r="AL54" t="inlineStr">
        <is>
          <t>5301 Stevens Creek Blvd., Santa Clara, CA 95051, USA</t>
        </is>
      </c>
      <c r="AN54" t="inlineStr">
        <is>
          <t>https://reporting.chem.agilent.com/cdc/bottom_page.html</t>
        </is>
      </c>
      <c r="AP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Y55" t="inlineStr">
        <is>
          <t>unknown</t>
        </is>
      </c>
      <c r="Z55" t="inlineStr"/>
      <c r="AA55" t="inlineStr"/>
      <c r="AB55" t="inlineStr"/>
      <c r="AC55" t="inlineStr"/>
      <c r="AD55" t="inlineStr">
        <is>
          <t>לא נמצא בסריקת המפיצים</t>
        </is>
      </c>
      <c r="AE55" t="inlineStr">
        <is>
          <t>סריקת אתרי מפיצים</t>
        </is>
      </c>
      <c r="AG55" t="inlineStr"/>
      <c r="AH55" t="inlineStr"/>
      <c r="AJ55" t="inlineStr"/>
      <c r="AP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Y56" t="inlineStr">
        <is>
          <t>unknown</t>
        </is>
      </c>
      <c r="Z56" t="inlineStr"/>
      <c r="AA56" t="inlineStr"/>
      <c r="AB56" t="inlineStr"/>
      <c r="AC56" t="inlineStr"/>
      <c r="AD56" t="inlineStr">
        <is>
          <t>לא נמצא בסריקת המפיצים</t>
        </is>
      </c>
      <c r="AE56" t="inlineStr">
        <is>
          <t>סריקת אתרי מפיצים</t>
        </is>
      </c>
      <c r="AG56" t="inlineStr"/>
      <c r="AH56" t="inlineStr"/>
      <c r="AJ56" t="inlineStr"/>
      <c r="AP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P57" t="n">
        <v>18100</v>
      </c>
      <c r="Q57" t="n">
        <v>2025</v>
      </c>
      <c r="R57" t="inlineStr">
        <is>
          <t>company</t>
        </is>
      </c>
      <c r="S57" t="inlineStr">
        <is>
          <t>prior</t>
        </is>
      </c>
      <c r="T57" t="n">
        <v>6950</v>
      </c>
      <c r="U57" t="inlineStr">
        <is>
          <t>USD 6.95 billion</t>
        </is>
      </c>
      <c r="V57" t="inlineStr">
        <is>
          <t>FY2025 (ended 31 Oct 2025)</t>
        </is>
      </c>
      <c r="W57" t="inlineStr">
        <is>
          <t>company</t>
        </is>
      </c>
      <c r="X57" t="inlineStr">
        <is>
          <t>prior</t>
        </is>
      </c>
      <c r="Y57" t="inlineStr">
        <is>
          <t>reported</t>
        </is>
      </c>
      <c r="Z57" t="inlineStr">
        <is>
          <t>Agilent 1290 Infinity III LC</t>
        </is>
      </c>
      <c r="AA57" t="inlineStr">
        <is>
          <t>Agilent 8890 GC / 7010 Triple Quad GC/MS</t>
        </is>
      </c>
      <c r="AB57" t="inlineStr">
        <is>
          <t>Agilent BioTek Cytation</t>
        </is>
      </c>
      <c r="AC57" t="inlineStr">
        <is>
          <t>prior</t>
        </is>
      </c>
      <c r="AD57" t="inlineStr">
        <is>
          <t>מפיץ/נציג בישראל</t>
        </is>
      </c>
      <c r="AE57" t="inlineStr">
        <is>
          <t>אומת</t>
        </is>
      </c>
      <c r="AF57" t="n">
        <v>2026</v>
      </c>
      <c r="AG57" t="inlineStr">
        <is>
          <t>Eldan Electronic Instruments Ltd. (Neopharm group)</t>
        </is>
      </c>
      <c r="AH57" t="inlineStr">
        <is>
          <t>Eldan Electronic Instruments Ltd. (Neopharm group): +972-3-937-1111 info@eldan.biz</t>
        </is>
      </c>
      <c r="AI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7" t="inlineStr">
        <is>
          <t>+1 408-345-8886 / +1 877-424-4536</t>
        </is>
      </c>
      <c r="AK57" t="inlineStr">
        <is>
          <t>contact_us@agilent.com</t>
        </is>
      </c>
      <c r="AL57" t="inlineStr">
        <is>
          <t>5301 Stevens Creek Blvd., Santa Clara, CA 95051, USA</t>
        </is>
      </c>
      <c r="AN57" t="inlineStr">
        <is>
          <t>https://reporting.chem.agilent.com/cdc/bottom_page.html</t>
        </is>
      </c>
      <c r="AP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t>
        </is>
      </c>
      <c r="J58" t="inlineStr"/>
      <c r="Y58" t="inlineStr">
        <is>
          <t>unknown</t>
        </is>
      </c>
      <c r="Z58" t="inlineStr"/>
      <c r="AA58" t="inlineStr"/>
      <c r="AB58" t="inlineStr"/>
      <c r="AC58" t="inlineStr"/>
      <c r="AD58" t="inlineStr">
        <is>
          <t>לא נמצא בסריקת המפיצים</t>
        </is>
      </c>
      <c r="AE58" t="inlineStr">
        <is>
          <t>סריקת אתרי מפיצים</t>
        </is>
      </c>
      <c r="AG58" t="inlineStr"/>
      <c r="AH58" t="inlineStr"/>
      <c r="AJ58" t="inlineStr"/>
      <c r="AP58" t="inlineStr">
        <is>
          <t>https://www.dutscher.com/search?initialFilters=brand:Ahlstrom</t>
        </is>
      </c>
    </row>
    <row r="59">
      <c r="A59" t="n">
        <v>58</v>
      </c>
      <c r="B59" t="inlineStr">
        <is>
          <t>Ahlstrom-Munksjo</t>
        </is>
      </c>
      <c r="C59" t="inlineStr">
        <is>
          <t>T</t>
        </is>
      </c>
      <c r="E59" t="inlineStr">
        <is>
          <t>https://www.thomassci.com/browse-by/suppliers/ahlstrom-munksjo</t>
        </is>
      </c>
      <c r="F59" t="inlineStr"/>
      <c r="J59" t="inlineStr"/>
      <c r="Y59" t="inlineStr">
        <is>
          <t>unknown</t>
        </is>
      </c>
      <c r="Z59" t="inlineStr"/>
      <c r="AA59" t="inlineStr"/>
      <c r="AB59" t="inlineStr"/>
      <c r="AC59" t="inlineStr"/>
      <c r="AD59" t="inlineStr">
        <is>
          <t>לא נמצא בסריקת המפיצים</t>
        </is>
      </c>
      <c r="AE59" t="inlineStr">
        <is>
          <t>סריקת אתרי מפיצים</t>
        </is>
      </c>
      <c r="AG59" t="inlineStr"/>
      <c r="AH59" t="inlineStr"/>
      <c r="AJ59" t="inlineStr"/>
      <c r="AP59" t="inlineStr">
        <is>
          <t>https://www.thomassci.com/browse-by/suppliers/ahlstrom-munksjo</t>
        </is>
      </c>
    </row>
    <row r="60">
      <c r="A60" t="n">
        <v>59</v>
      </c>
      <c r="B60" t="inlineStr">
        <is>
          <t>AiFChem</t>
        </is>
      </c>
      <c r="C60" t="inlineStr">
        <is>
          <t>Q</t>
        </is>
      </c>
      <c r="F60" t="inlineStr">
        <is>
          <t>yes</t>
        </is>
      </c>
      <c r="J60" t="inlineStr"/>
      <c r="Y60" t="inlineStr">
        <is>
          <t>unknown</t>
        </is>
      </c>
      <c r="Z60" t="inlineStr"/>
      <c r="AA60" t="inlineStr"/>
      <c r="AB60" t="inlineStr"/>
      <c r="AC60" t="inlineStr"/>
      <c r="AD60" t="inlineStr">
        <is>
          <t>לא נמצא בסריקת המפיצים</t>
        </is>
      </c>
      <c r="AE60" t="inlineStr">
        <is>
          <t>סריקת אתרי מפיצים</t>
        </is>
      </c>
      <c r="AG60" t="inlineStr"/>
      <c r="AH60" t="inlineStr"/>
      <c r="AJ60" t="inlineStr"/>
      <c r="AP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Y61" t="inlineStr">
        <is>
          <t>unknown</t>
        </is>
      </c>
      <c r="Z61" t="inlineStr"/>
      <c r="AA61" t="inlineStr"/>
      <c r="AB61" t="inlineStr"/>
      <c r="AC61" t="inlineStr"/>
      <c r="AD61" t="inlineStr">
        <is>
          <t>לא נמצא בסריקת המפיצים</t>
        </is>
      </c>
      <c r="AE61" t="inlineStr">
        <is>
          <t>סריקת אתרי מפיצים</t>
        </is>
      </c>
      <c r="AG61" t="inlineStr"/>
      <c r="AH61" t="inlineStr"/>
      <c r="AJ61" t="inlineStr"/>
      <c r="AP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Y62" t="inlineStr">
        <is>
          <t>unknown</t>
        </is>
      </c>
      <c r="Z62" t="inlineStr"/>
      <c r="AA62" t="inlineStr"/>
      <c r="AB62" t="inlineStr"/>
      <c r="AC62" t="inlineStr"/>
      <c r="AD62" t="inlineStr">
        <is>
          <t>לא נמצא בסריקת המפיצים</t>
        </is>
      </c>
      <c r="AE62" t="inlineStr">
        <is>
          <t>סריקת אתרי מפיצים</t>
        </is>
      </c>
      <c r="AG62" t="inlineStr"/>
      <c r="AH62" t="inlineStr"/>
      <c r="AJ62" t="inlineStr"/>
      <c r="AP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t>
        </is>
      </c>
      <c r="J63" t="inlineStr"/>
      <c r="Y63" t="inlineStr">
        <is>
          <t>unknown</t>
        </is>
      </c>
      <c r="Z63" t="inlineStr"/>
      <c r="AA63" t="inlineStr"/>
      <c r="AB63" t="inlineStr"/>
      <c r="AC63" t="inlineStr"/>
      <c r="AD63" t="inlineStr">
        <is>
          <t>לא נמצא בסריקת המפיצים</t>
        </is>
      </c>
      <c r="AE63" t="inlineStr">
        <is>
          <t>סריקת אתרי מפיצים</t>
        </is>
      </c>
      <c r="AG63" t="inlineStr"/>
      <c r="AH63" t="inlineStr"/>
      <c r="AJ63" t="inlineStr"/>
      <c r="AP63" t="inlineStr">
        <is>
          <t>https://www.thomassci.com/browse-by/suppliers/airclean-systems</t>
        </is>
      </c>
    </row>
    <row r="64">
      <c r="A64" t="n">
        <v>63</v>
      </c>
      <c r="B64" t="inlineStr">
        <is>
          <t>Airgas Safety</t>
        </is>
      </c>
      <c r="C64" t="inlineStr">
        <is>
          <t>T</t>
        </is>
      </c>
      <c r="E64" t="inlineStr">
        <is>
          <t>https://www.thomassci.com/browse-by/suppliers/airgas-safety</t>
        </is>
      </c>
      <c r="F64" t="inlineStr"/>
      <c r="J64" t="inlineStr"/>
      <c r="Y64" t="inlineStr">
        <is>
          <t>unknown</t>
        </is>
      </c>
      <c r="Z64" t="inlineStr"/>
      <c r="AA64" t="inlineStr"/>
      <c r="AB64" t="inlineStr"/>
      <c r="AC64" t="inlineStr"/>
      <c r="AD64" t="inlineStr">
        <is>
          <t>לא נמצא בסריקת המפיצים</t>
        </is>
      </c>
      <c r="AE64" t="inlineStr">
        <is>
          <t>סריקת אתרי מפיצים</t>
        </is>
      </c>
      <c r="AG64" t="inlineStr"/>
      <c r="AH64" t="inlineStr"/>
      <c r="AJ64" t="inlineStr"/>
      <c r="AP64" t="inlineStr">
        <is>
          <t>https://www.thomassci.com/browse-by/suppliers/airgas-safety</t>
        </is>
      </c>
    </row>
    <row r="65">
      <c r="A65" t="n">
        <v>64</v>
      </c>
      <c r="B65" t="inlineStr">
        <is>
          <t>AK Ltd</t>
        </is>
      </c>
      <c r="C65" t="inlineStr">
        <is>
          <t>T</t>
        </is>
      </c>
      <c r="E65" t="inlineStr">
        <is>
          <t>https://www.thomassci.com/browse-by/suppliers/ak-ltd</t>
        </is>
      </c>
      <c r="F65" t="inlineStr"/>
      <c r="J65" t="inlineStr"/>
      <c r="Y65" t="inlineStr">
        <is>
          <t>unknown</t>
        </is>
      </c>
      <c r="Z65" t="inlineStr"/>
      <c r="AA65" t="inlineStr"/>
      <c r="AB65" t="inlineStr"/>
      <c r="AC65" t="inlineStr"/>
      <c r="AD65" t="inlineStr">
        <is>
          <t>לא נמצא בסריקת המפיצים</t>
        </is>
      </c>
      <c r="AE65" t="inlineStr">
        <is>
          <t>סריקת אתרי מפיצים</t>
        </is>
      </c>
      <c r="AG65" t="inlineStr"/>
      <c r="AH65" t="inlineStr"/>
      <c r="AJ65" t="inlineStr"/>
      <c r="AP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O66" t="inlineStr">
        <is>
          <t>AK Scientific is a chemical manufacturer and supplier that provides researchers, biotechnology companies, and academic institutions with a wide range of fine chemicals, APIs (Active Pharmaceutical Ingredients), and advanced intermediates.</t>
        </is>
      </c>
      <c r="Y66" t="inlineStr">
        <is>
          <t>unknown</t>
        </is>
      </c>
      <c r="Z66" t="inlineStr"/>
      <c r="AA66" t="inlineStr"/>
      <c r="AB66" t="inlineStr"/>
      <c r="AC66" t="inlineStr"/>
      <c r="AD66" t="inlineStr">
        <is>
          <t>לא נמצא בסריקת המפיצים</t>
        </is>
      </c>
      <c r="AE66" t="inlineStr">
        <is>
          <t>סריקת אתרי מפיצים</t>
        </is>
      </c>
      <c r="AG66" t="inlineStr"/>
      <c r="AH66" t="inlineStr"/>
      <c r="AJ66" t="inlineStr"/>
      <c r="AP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t>
        </is>
      </c>
      <c r="J67" t="inlineStr"/>
      <c r="Y67" t="inlineStr">
        <is>
          <t>unknown</t>
        </is>
      </c>
      <c r="Z67" t="inlineStr"/>
      <c r="AA67" t="inlineStr"/>
      <c r="AB67" t="inlineStr"/>
      <c r="AC67" t="inlineStr"/>
      <c r="AD67" t="inlineStr">
        <is>
          <t>לא נמצא בסריקת המפיצים</t>
        </is>
      </c>
      <c r="AE67" t="inlineStr">
        <is>
          <t>סריקת אתרי מפיצים</t>
        </is>
      </c>
      <c r="AG67" t="inlineStr"/>
      <c r="AH67" t="inlineStr"/>
      <c r="AJ67" t="inlineStr"/>
      <c r="AP67" t="inlineStr">
        <is>
          <t>https://www.thomassci.com/browse-by/suppliers/akro-mils</t>
        </is>
      </c>
    </row>
    <row r="68">
      <c r="A68" t="n">
        <v>67</v>
      </c>
      <c r="B68" t="inlineStr">
        <is>
          <t>Aladdin Scientific</t>
        </is>
      </c>
      <c r="C68" t="inlineStr">
        <is>
          <t>Q+Q+</t>
        </is>
      </c>
      <c r="F68" t="inlineStr">
        <is>
          <t>yes +new</t>
        </is>
      </c>
      <c r="J68" t="inlineStr"/>
      <c r="O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Y68" t="inlineStr">
        <is>
          <t>unknown</t>
        </is>
      </c>
      <c r="Z68" t="inlineStr"/>
      <c r="AA68" t="inlineStr"/>
      <c r="AB68" t="inlineStr"/>
      <c r="AC68" t="inlineStr"/>
      <c r="AD68" t="inlineStr">
        <is>
          <t>לא נמצא בסריקת המפיצים</t>
        </is>
      </c>
      <c r="AE68" t="inlineStr">
        <is>
          <t>סריקת אתרי מפיצים</t>
        </is>
      </c>
      <c r="AG68" t="inlineStr"/>
      <c r="AH68" t="inlineStr"/>
      <c r="AJ68" t="inlineStr"/>
      <c r="AP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t>
        </is>
      </c>
      <c r="J69" t="inlineStr"/>
      <c r="Y69" t="inlineStr">
        <is>
          <t>unknown</t>
        </is>
      </c>
      <c r="Z69" t="inlineStr"/>
      <c r="AA69" t="inlineStr"/>
      <c r="AB69" t="inlineStr"/>
      <c r="AC69" t="inlineStr"/>
      <c r="AD69" t="inlineStr">
        <is>
          <t>לא נמצא בסריקת המפיצים</t>
        </is>
      </c>
      <c r="AE69" t="inlineStr">
        <is>
          <t>סריקת אתרי מפיצים</t>
        </is>
      </c>
      <c r="AG69" t="inlineStr"/>
      <c r="AH69" t="inlineStr"/>
      <c r="AJ69" t="inlineStr"/>
      <c r="AP69" t="inlineStr">
        <is>
          <t>https://www.quartzy.com/suppliers | https://www.thomassci.com/browse-by/suppliers/alconox</t>
        </is>
      </c>
    </row>
    <row r="70">
      <c r="A70" t="n">
        <v>69</v>
      </c>
      <c r="B70" t="inlineStr">
        <is>
          <t>Aldon</t>
        </is>
      </c>
      <c r="C70" t="inlineStr">
        <is>
          <t>Q</t>
        </is>
      </c>
      <c r="F70" t="inlineStr">
        <is>
          <t>yes</t>
        </is>
      </c>
      <c r="J70" t="inlineStr"/>
      <c r="Y70" t="inlineStr">
        <is>
          <t>unknown</t>
        </is>
      </c>
      <c r="Z70" t="inlineStr"/>
      <c r="AA70" t="inlineStr"/>
      <c r="AB70" t="inlineStr"/>
      <c r="AC70" t="inlineStr"/>
      <c r="AD70" t="inlineStr">
        <is>
          <t>לא נמצא בסריקת המפיצים</t>
        </is>
      </c>
      <c r="AE70" t="inlineStr">
        <is>
          <t>סריקת אתרי מפיצים</t>
        </is>
      </c>
      <c r="AG70" t="inlineStr"/>
      <c r="AH70" t="inlineStr"/>
      <c r="AJ70" t="inlineStr"/>
      <c r="AP70" t="inlineStr">
        <is>
          <t>https://www.quartzy.com/suppliers</t>
        </is>
      </c>
    </row>
    <row r="71">
      <c r="A71" t="n">
        <v>70</v>
      </c>
      <c r="B71" t="inlineStr">
        <is>
          <t>Alere</t>
        </is>
      </c>
      <c r="C71" t="inlineStr">
        <is>
          <t>T</t>
        </is>
      </c>
      <c r="E71" t="inlineStr">
        <is>
          <t>https://www.thomassci.com/browse-by/suppliers/alere</t>
        </is>
      </c>
      <c r="F71" t="inlineStr"/>
      <c r="H71" t="inlineStr">
        <is>
          <t>https://alere-maastricht.nl</t>
        </is>
      </c>
      <c r="I71" t="inlineStr">
        <is>
          <t>clearbit</t>
        </is>
      </c>
      <c r="J71" t="inlineStr"/>
      <c r="Y71" t="inlineStr">
        <is>
          <t>unknown</t>
        </is>
      </c>
      <c r="Z71" t="inlineStr"/>
      <c r="AA71" t="inlineStr"/>
      <c r="AB71" t="inlineStr"/>
      <c r="AC71" t="inlineStr"/>
      <c r="AD71" t="inlineStr">
        <is>
          <t>לא נמצא בסריקת המפיצים</t>
        </is>
      </c>
      <c r="AE71" t="inlineStr">
        <is>
          <t>סריקת אתרי מפיצים</t>
        </is>
      </c>
      <c r="AG71" t="inlineStr"/>
      <c r="AH71" t="inlineStr"/>
      <c r="AJ71" t="inlineStr"/>
      <c r="AP71" t="inlineStr">
        <is>
          <t>https://www.thomassci.com/browse-by/suppliers/alere</t>
        </is>
      </c>
    </row>
    <row r="72">
      <c r="A72" t="n">
        <v>71</v>
      </c>
      <c r="B72" t="inlineStr">
        <is>
          <t>ALIT Lifetech Inc.</t>
        </is>
      </c>
      <c r="C72" t="inlineStr">
        <is>
          <t>T</t>
        </is>
      </c>
      <c r="E72" t="inlineStr">
        <is>
          <t>https://www.thomassci.com/browse-by/suppliers/alit-lifetech-inc-</t>
        </is>
      </c>
      <c r="F72" t="inlineStr"/>
      <c r="J72" t="inlineStr"/>
      <c r="Y72" t="inlineStr">
        <is>
          <t>unknown</t>
        </is>
      </c>
      <c r="Z72" t="inlineStr"/>
      <c r="AA72" t="inlineStr"/>
      <c r="AB72" t="inlineStr"/>
      <c r="AC72" t="inlineStr"/>
      <c r="AD72" t="inlineStr">
        <is>
          <t>לא נמצא בסריקת המפיצים</t>
        </is>
      </c>
      <c r="AE72" t="inlineStr">
        <is>
          <t>סריקת אתרי מפיצים</t>
        </is>
      </c>
      <c r="AG72" t="inlineStr"/>
      <c r="AH72" t="inlineStr"/>
      <c r="AJ72" t="inlineStr"/>
      <c r="AP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Y73" t="inlineStr">
        <is>
          <t>unknown</t>
        </is>
      </c>
      <c r="Z73" t="inlineStr"/>
      <c r="AA73" t="inlineStr"/>
      <c r="AB73" t="inlineStr"/>
      <c r="AC73" t="inlineStr"/>
      <c r="AD73" t="inlineStr">
        <is>
          <t>לא נמצא בסריקת המפיצים</t>
        </is>
      </c>
      <c r="AE73" t="inlineStr">
        <is>
          <t>סריקת אתרי מפיצים</t>
        </is>
      </c>
      <c r="AG73" t="inlineStr"/>
      <c r="AH73" t="inlineStr"/>
      <c r="AJ73" t="inlineStr"/>
      <c r="AP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t>
        </is>
      </c>
      <c r="J74" t="inlineStr"/>
      <c r="Y74" t="inlineStr">
        <is>
          <t>unknown</t>
        </is>
      </c>
      <c r="Z74" t="inlineStr"/>
      <c r="AA74" t="inlineStr"/>
      <c r="AB74" t="inlineStr"/>
      <c r="AC74" t="inlineStr"/>
      <c r="AD74" t="inlineStr">
        <is>
          <t>לא נמצא בסריקת המפיצים</t>
        </is>
      </c>
      <c r="AE74" t="inlineStr">
        <is>
          <t>סריקת אתרי מפיצים</t>
        </is>
      </c>
      <c r="AG74" t="inlineStr"/>
      <c r="AH74" t="inlineStr"/>
      <c r="AJ74" t="inlineStr"/>
      <c r="AP74" t="inlineStr">
        <is>
          <t>https://www.quartzy.com/suppliers</t>
        </is>
      </c>
    </row>
    <row r="75">
      <c r="A75" t="n">
        <v>74</v>
      </c>
      <c r="B75" t="inlineStr">
        <is>
          <t>All Foils</t>
        </is>
      </c>
      <c r="C75" t="inlineStr">
        <is>
          <t>T</t>
        </is>
      </c>
      <c r="E75" t="inlineStr">
        <is>
          <t>https://www.thomassci.com/browse-by/suppliers/all-foils</t>
        </is>
      </c>
      <c r="F75" t="inlineStr"/>
      <c r="H75" t="inlineStr">
        <is>
          <t>https://allfoils.com</t>
        </is>
      </c>
      <c r="I75" t="inlineStr">
        <is>
          <t>clearbit</t>
        </is>
      </c>
      <c r="J75" t="inlineStr"/>
      <c r="Y75" t="inlineStr">
        <is>
          <t>unknown</t>
        </is>
      </c>
      <c r="Z75" t="inlineStr"/>
      <c r="AA75" t="inlineStr"/>
      <c r="AB75" t="inlineStr"/>
      <c r="AC75" t="inlineStr"/>
      <c r="AD75" t="inlineStr">
        <is>
          <t>לא נמצא בסריקת המפיצים</t>
        </is>
      </c>
      <c r="AE75" t="inlineStr">
        <is>
          <t>סריקת אתרי מפיצים</t>
        </is>
      </c>
      <c r="AG75" t="inlineStr"/>
      <c r="AH75" t="inlineStr"/>
      <c r="AJ75" t="inlineStr"/>
      <c r="AP75" t="inlineStr">
        <is>
          <t>https://www.thomassci.com/browse-by/suppliers/all-foils</t>
        </is>
      </c>
    </row>
    <row r="76">
      <c r="A76" t="n">
        <v>75</v>
      </c>
      <c r="B76" t="inlineStr">
        <is>
          <t>Alla France</t>
        </is>
      </c>
      <c r="C76" t="inlineStr">
        <is>
          <t>T</t>
        </is>
      </c>
      <c r="E76" t="inlineStr">
        <is>
          <t>https://www.thomassci.com/browse-by/suppliers/alla-france</t>
        </is>
      </c>
      <c r="F76" t="inlineStr"/>
      <c r="H76" t="inlineStr">
        <is>
          <t>https://allafrance.com</t>
        </is>
      </c>
      <c r="I76" t="inlineStr">
        <is>
          <t>clearbit</t>
        </is>
      </c>
      <c r="J76" t="inlineStr"/>
      <c r="Y76" t="inlineStr">
        <is>
          <t>unknown</t>
        </is>
      </c>
      <c r="Z76" t="inlineStr"/>
      <c r="AA76" t="inlineStr"/>
      <c r="AB76" t="inlineStr"/>
      <c r="AC76" t="inlineStr"/>
      <c r="AD76" t="inlineStr">
        <is>
          <t>לא נמצא בסריקת המפיצים</t>
        </is>
      </c>
      <c r="AE76" t="inlineStr">
        <is>
          <t>סריקת אתרי מפיצים</t>
        </is>
      </c>
      <c r="AG76" t="inlineStr"/>
      <c r="AH76" t="inlineStr"/>
      <c r="AJ76" t="inlineStr"/>
      <c r="AP76" t="inlineStr">
        <is>
          <t>https://www.thomassci.com/browse-by/suppliers/alla-france</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t>
        </is>
      </c>
      <c r="J77" t="inlineStr"/>
      <c r="Y77" t="inlineStr">
        <is>
          <t>unknown</t>
        </is>
      </c>
      <c r="Z77" t="inlineStr"/>
      <c r="AA77" t="inlineStr"/>
      <c r="AB77" t="inlineStr"/>
      <c r="AC77" t="inlineStr"/>
      <c r="AD77" t="inlineStr">
        <is>
          <t>לא נמצא בסריקת המפיצים</t>
        </is>
      </c>
      <c r="AE77" t="inlineStr">
        <is>
          <t>סריקת אתרי מפיצים</t>
        </is>
      </c>
      <c r="AG77" t="inlineStr"/>
      <c r="AH77" t="inlineStr"/>
      <c r="AJ77" t="inlineStr"/>
      <c r="AP77" t="inlineStr">
        <is>
          <t>https://www.thomassci.com/browse-by/suppliers/allegro-industries</t>
        </is>
      </c>
    </row>
    <row r="78">
      <c r="A78" t="n">
        <v>77</v>
      </c>
      <c r="B78" t="inlineStr">
        <is>
          <t>Allentown</t>
        </is>
      </c>
      <c r="C78" t="inlineStr">
        <is>
          <t>T</t>
        </is>
      </c>
      <c r="E78" t="inlineStr">
        <is>
          <t>https://www.thomassci.com/browse-by/suppliers/allentown</t>
        </is>
      </c>
      <c r="F78" t="inlineStr"/>
      <c r="J78" t="inlineStr"/>
      <c r="Y78" t="inlineStr">
        <is>
          <t>unknown</t>
        </is>
      </c>
      <c r="Z78" t="inlineStr"/>
      <c r="AA78" t="inlineStr"/>
      <c r="AB78" t="inlineStr"/>
      <c r="AC78" t="inlineStr"/>
      <c r="AD78" t="inlineStr">
        <is>
          <t>לא נמצא בסריקת המפיצים</t>
        </is>
      </c>
      <c r="AE78" t="inlineStr">
        <is>
          <t>סריקת אתרי מפיצים</t>
        </is>
      </c>
      <c r="AG78" t="inlineStr"/>
      <c r="AH78" t="inlineStr"/>
      <c r="AJ78" t="inlineStr"/>
      <c r="AP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t>
        </is>
      </c>
      <c r="J79" t="inlineStr"/>
      <c r="Y79" t="inlineStr">
        <is>
          <t>unknown</t>
        </is>
      </c>
      <c r="Z79" t="inlineStr"/>
      <c r="AA79" t="inlineStr"/>
      <c r="AB79" t="inlineStr"/>
      <c r="AC79" t="inlineStr"/>
      <c r="AD79" t="inlineStr">
        <is>
          <t>לא נמצא בסריקת המפיצים</t>
        </is>
      </c>
      <c r="AE79" t="inlineStr">
        <is>
          <t>סריקת אתרי מפיצים</t>
        </is>
      </c>
      <c r="AG79" t="inlineStr"/>
      <c r="AH79" t="inlineStr"/>
      <c r="AJ79" t="inlineStr"/>
      <c r="AP79" t="inlineStr">
        <is>
          <t>https://www.thomassci.com/browse-by/suppliers/allied-k-and-r</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Y80" t="inlineStr">
        <is>
          <t>unknown</t>
        </is>
      </c>
      <c r="Z80" t="inlineStr"/>
      <c r="AA80" t="inlineStr"/>
      <c r="AB80" t="inlineStr"/>
      <c r="AC80" t="inlineStr"/>
      <c r="AD80" t="inlineStr">
        <is>
          <t>לא נמצא בסריקת המפיצים</t>
        </is>
      </c>
      <c r="AE80" t="inlineStr">
        <is>
          <t>סריקת אתרי מפיצים</t>
        </is>
      </c>
      <c r="AG80" t="inlineStr"/>
      <c r="AH80" t="inlineStr"/>
      <c r="AJ80" t="inlineStr"/>
      <c r="AP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t>
        </is>
      </c>
      <c r="J81" t="inlineStr"/>
      <c r="Y81" t="inlineStr">
        <is>
          <t>unknown</t>
        </is>
      </c>
      <c r="Z81" t="inlineStr"/>
      <c r="AA81" t="inlineStr"/>
      <c r="AB81" t="inlineStr"/>
      <c r="AC81" t="inlineStr"/>
      <c r="AD81" t="inlineStr">
        <is>
          <t>לא נמצא בסריקת המפיצים</t>
        </is>
      </c>
      <c r="AE81" t="inlineStr">
        <is>
          <t>סריקת אתרי מפיצים</t>
        </is>
      </c>
      <c r="AG81" t="inlineStr"/>
      <c r="AH81" t="inlineStr"/>
      <c r="AJ81" t="inlineStr"/>
      <c r="AP81" t="inlineStr">
        <is>
          <t>https://www.quartzy.com/suppliers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t>
        </is>
      </c>
      <c r="J82" t="inlineStr"/>
      <c r="Y82" t="inlineStr">
        <is>
          <t>unknown</t>
        </is>
      </c>
      <c r="Z82" t="inlineStr"/>
      <c r="AA82" t="inlineStr"/>
      <c r="AB82" t="inlineStr"/>
      <c r="AC82" t="inlineStr"/>
      <c r="AD82" t="inlineStr">
        <is>
          <t>לא נמצא בסריקת המפיצים</t>
        </is>
      </c>
      <c r="AE82" t="inlineStr">
        <is>
          <t>סריקת אתרי מפיצים</t>
        </is>
      </c>
      <c r="AG82" t="inlineStr"/>
      <c r="AH82" t="inlineStr"/>
      <c r="AJ82" t="inlineStr"/>
      <c r="AP82" t="inlineStr">
        <is>
          <t>https://www.thomassci.com/browse-by/suppliers/alpaqua-engineering</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t>
        </is>
      </c>
      <c r="J83" t="inlineStr"/>
      <c r="Y83" t="inlineStr">
        <is>
          <t>unknown</t>
        </is>
      </c>
      <c r="Z83" t="inlineStr"/>
      <c r="AA83" t="inlineStr"/>
      <c r="AB83" t="inlineStr"/>
      <c r="AC83" t="inlineStr"/>
      <c r="AD83" t="inlineStr">
        <is>
          <t>לא נמצא בסריקת המפיצים</t>
        </is>
      </c>
      <c r="AE83" t="inlineStr">
        <is>
          <t>סריקת אתרי מפיצים</t>
        </is>
      </c>
      <c r="AG83" t="inlineStr"/>
      <c r="AH83" t="inlineStr"/>
      <c r="AJ83" t="inlineStr"/>
      <c r="AP83" t="inlineStr">
        <is>
          <t>https://www.thomassci.com/browse-by/suppliers/alpha-laboratories</t>
        </is>
      </c>
    </row>
    <row r="84">
      <c r="A84" t="n">
        <v>83</v>
      </c>
      <c r="B84" t="inlineStr">
        <is>
          <t>AlphaGem Bio, Inc</t>
        </is>
      </c>
      <c r="C84" t="inlineStr">
        <is>
          <t>T</t>
        </is>
      </c>
      <c r="E84" t="inlineStr">
        <is>
          <t>https://www.thomassci.com/browse-by/suppliers/alphagem-bio-inc</t>
        </is>
      </c>
      <c r="F84" t="inlineStr"/>
      <c r="J84" t="inlineStr"/>
      <c r="Y84" t="inlineStr">
        <is>
          <t>unknown</t>
        </is>
      </c>
      <c r="Z84" t="inlineStr"/>
      <c r="AA84" t="inlineStr"/>
      <c r="AB84" t="inlineStr"/>
      <c r="AC84" t="inlineStr"/>
      <c r="AD84" t="inlineStr">
        <is>
          <t>לא נמצא בסריקת המפיצים</t>
        </is>
      </c>
      <c r="AE84" t="inlineStr">
        <is>
          <t>סריקת אתרי מפיצים</t>
        </is>
      </c>
      <c r="AG84" t="inlineStr"/>
      <c r="AH84" t="inlineStr"/>
      <c r="AJ84" t="inlineStr"/>
      <c r="AP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Y85" t="inlineStr">
        <is>
          <t>unknown</t>
        </is>
      </c>
      <c r="Z85" t="inlineStr"/>
      <c r="AA85" t="inlineStr"/>
      <c r="AB85" t="inlineStr"/>
      <c r="AC85" t="inlineStr"/>
      <c r="AD85" t="inlineStr">
        <is>
          <t>לא נמצא בסריקת המפיצים</t>
        </is>
      </c>
      <c r="AE85" t="inlineStr">
        <is>
          <t>סריקת אתרי מפיצים</t>
        </is>
      </c>
      <c r="AG85" t="inlineStr"/>
      <c r="AH85" t="inlineStr"/>
      <c r="AJ85" t="inlineStr"/>
      <c r="AP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Y86" t="inlineStr">
        <is>
          <t>unknown</t>
        </is>
      </c>
      <c r="Z86" t="inlineStr"/>
      <c r="AA86" t="inlineStr"/>
      <c r="AB86" t="inlineStr"/>
      <c r="AC86" t="inlineStr"/>
      <c r="AD86" t="inlineStr">
        <is>
          <t>לא נמצא בסריקת המפיצים</t>
        </is>
      </c>
      <c r="AE86" t="inlineStr">
        <is>
          <t>סריקת אתרי מפיצים</t>
        </is>
      </c>
      <c r="AG86" t="inlineStr"/>
      <c r="AH86" t="inlineStr"/>
      <c r="AJ86" t="inlineStr"/>
      <c r="AP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t>
        </is>
      </c>
      <c r="J87" t="inlineStr"/>
      <c r="Y87" t="inlineStr">
        <is>
          <t>unknown</t>
        </is>
      </c>
      <c r="Z87" t="inlineStr"/>
      <c r="AA87" t="inlineStr"/>
      <c r="AB87" t="inlineStr"/>
      <c r="AC87" t="inlineStr"/>
      <c r="AD87" t="inlineStr">
        <is>
          <t>לא נמצא בסריקת המפיצים</t>
        </is>
      </c>
      <c r="AE87" t="inlineStr">
        <is>
          <t>סריקת אתרי מפיצים</t>
        </is>
      </c>
      <c r="AG87" t="inlineStr"/>
      <c r="AH87" t="inlineStr"/>
      <c r="AJ87" t="inlineStr"/>
      <c r="AP87" t="inlineStr">
        <is>
          <t>https://www.thomassci.com/browse-by/suppliers/altemislab</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t>
        </is>
      </c>
      <c r="J88" t="inlineStr"/>
      <c r="Y88" t="inlineStr">
        <is>
          <t>unknown</t>
        </is>
      </c>
      <c r="Z88" t="inlineStr"/>
      <c r="AA88" t="inlineStr"/>
      <c r="AB88" t="inlineStr"/>
      <c r="AC88" t="inlineStr"/>
      <c r="AD88" t="inlineStr">
        <is>
          <t>לא נמצא בסריקת המפיצים</t>
        </is>
      </c>
      <c r="AE88" t="inlineStr">
        <is>
          <t>סריקת אתרי מפיצים</t>
        </is>
      </c>
      <c r="AG88" t="inlineStr"/>
      <c r="AH88" t="inlineStr"/>
      <c r="AJ88" t="inlineStr"/>
      <c r="AP88" t="inlineStr">
        <is>
          <t>https://www.thomassci.com/browse-by/suppliers/alx-technical</t>
        </is>
      </c>
    </row>
    <row r="89">
      <c r="A89" t="n">
        <v>88</v>
      </c>
      <c r="B89" t="inlineStr">
        <is>
          <t>Ambeed</t>
        </is>
      </c>
      <c r="C89" t="inlineStr">
        <is>
          <t>Q</t>
        </is>
      </c>
      <c r="F89" t="inlineStr">
        <is>
          <t>yes</t>
        </is>
      </c>
      <c r="H89" t="inlineStr">
        <is>
          <t>https://ambeed.com</t>
        </is>
      </c>
      <c r="I89" t="inlineStr">
        <is>
          <t>clearbit</t>
        </is>
      </c>
      <c r="J89" t="inlineStr"/>
      <c r="Y89" t="inlineStr">
        <is>
          <t>unknown</t>
        </is>
      </c>
      <c r="Z89" t="inlineStr"/>
      <c r="AA89" t="inlineStr"/>
      <c r="AB89" t="inlineStr"/>
      <c r="AC89" t="inlineStr"/>
      <c r="AD89" t="inlineStr">
        <is>
          <t>לא נמצא בסריקת המפיצים</t>
        </is>
      </c>
      <c r="AE89" t="inlineStr">
        <is>
          <t>סריקת אתרי מפיצים</t>
        </is>
      </c>
      <c r="AG89" t="inlineStr"/>
      <c r="AH89" t="inlineStr"/>
      <c r="AJ89" t="inlineStr"/>
      <c r="AP89" t="inlineStr">
        <is>
          <t>https://www.quartzy.com/suppliers</t>
        </is>
      </c>
    </row>
    <row r="90">
      <c r="A90" t="n">
        <v>89</v>
      </c>
      <c r="B90" t="inlineStr">
        <is>
          <t>Ambi-dex® by PIP Global Safety</t>
        </is>
      </c>
      <c r="C90" t="inlineStr">
        <is>
          <t>T</t>
        </is>
      </c>
      <c r="E90" t="inlineStr">
        <is>
          <t>https://www.thomassci.com/browse-by/suppliers/ambi-dex-by-pip-global-safety</t>
        </is>
      </c>
      <c r="F90" t="inlineStr"/>
      <c r="J90" t="inlineStr"/>
      <c r="Y90" t="inlineStr">
        <is>
          <t>unknown</t>
        </is>
      </c>
      <c r="Z90" t="inlineStr"/>
      <c r="AA90" t="inlineStr"/>
      <c r="AB90" t="inlineStr"/>
      <c r="AC90" t="inlineStr"/>
      <c r="AD90" t="inlineStr">
        <is>
          <t>לא נמצא בסריקת המפיצים</t>
        </is>
      </c>
      <c r="AE90" t="inlineStr">
        <is>
          <t>סריקת אתרי מפיצים</t>
        </is>
      </c>
      <c r="AG90" t="inlineStr"/>
      <c r="AH90" t="inlineStr"/>
      <c r="AJ90" t="inlineStr"/>
      <c r="AP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Y91" t="inlineStr">
        <is>
          <t>unknown</t>
        </is>
      </c>
      <c r="Z91" t="inlineStr"/>
      <c r="AA91" t="inlineStr"/>
      <c r="AB91" t="inlineStr"/>
      <c r="AC91" t="inlineStr"/>
      <c r="AD91" t="inlineStr">
        <is>
          <t>לא נמצא בסריקת המפיצים</t>
        </is>
      </c>
      <c r="AE91" t="inlineStr">
        <is>
          <t>סריקת אתרי מפיצים</t>
        </is>
      </c>
      <c r="AG91" t="inlineStr"/>
      <c r="AH91" t="inlineStr"/>
      <c r="AJ91" t="inlineStr"/>
      <c r="AP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Y92" t="inlineStr">
        <is>
          <t>unknown</t>
        </is>
      </c>
      <c r="Z92" t="inlineStr"/>
      <c r="AA92" t="inlineStr"/>
      <c r="AB92" t="inlineStr"/>
      <c r="AC92" t="inlineStr"/>
      <c r="AD92" t="inlineStr">
        <is>
          <t>לא נמצא בסריקת המפיצים</t>
        </is>
      </c>
      <c r="AE92" t="inlineStr">
        <is>
          <t>סריקת אתרי מפיצים</t>
        </is>
      </c>
      <c r="AG92" t="inlineStr"/>
      <c r="AH92" t="inlineStr"/>
      <c r="AJ92" t="inlineStr"/>
      <c r="AP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Y93" t="inlineStr">
        <is>
          <t>unknown</t>
        </is>
      </c>
      <c r="Z93" t="inlineStr"/>
      <c r="AA93" t="inlineStr"/>
      <c r="AB93" t="inlineStr"/>
      <c r="AC93" t="inlineStr"/>
      <c r="AD93" t="inlineStr">
        <is>
          <t>לא נמצא בסריקת המפיצים</t>
        </is>
      </c>
      <c r="AE93" t="inlineStr">
        <is>
          <t>סריקת אתרי מפיצים</t>
        </is>
      </c>
      <c r="AG93" t="inlineStr"/>
      <c r="AH93" t="inlineStr"/>
      <c r="AJ93" t="inlineStr"/>
      <c r="AP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t>
        </is>
      </c>
      <c r="J94" t="inlineStr"/>
      <c r="Y94" t="inlineStr">
        <is>
          <t>unknown</t>
        </is>
      </c>
      <c r="Z94" t="inlineStr"/>
      <c r="AA94" t="inlineStr"/>
      <c r="AB94" t="inlineStr"/>
      <c r="AC94" t="inlineStr"/>
      <c r="AD94" t="inlineStr">
        <is>
          <t>לא נמצא בסריקת המפיצים</t>
        </is>
      </c>
      <c r="AE94" t="inlineStr">
        <is>
          <t>סריקת אתרי מפיצים</t>
        </is>
      </c>
      <c r="AG94" t="inlineStr"/>
      <c r="AH94" t="inlineStr"/>
      <c r="AJ94" t="inlineStr"/>
      <c r="AP94" t="inlineStr">
        <is>
          <t>https://www.thomassci.com/browse-by/suppliers/american-scientific-products</t>
        </is>
      </c>
    </row>
    <row r="95">
      <c r="A95" t="n">
        <v>94</v>
      </c>
      <c r="B95" t="inlineStr">
        <is>
          <t>Ammex</t>
        </is>
      </c>
      <c r="C95" t="inlineStr">
        <is>
          <t>T</t>
        </is>
      </c>
      <c r="E95" t="inlineStr">
        <is>
          <t>https://www.thomassci.com/browse-by/suppliers/ammex</t>
        </is>
      </c>
      <c r="F95" t="inlineStr"/>
      <c r="H95" t="inlineStr">
        <is>
          <t>https://ammex.com</t>
        </is>
      </c>
      <c r="I95" t="inlineStr">
        <is>
          <t>clearbit</t>
        </is>
      </c>
      <c r="J95" t="inlineStr"/>
      <c r="Y95" t="inlineStr">
        <is>
          <t>unknown</t>
        </is>
      </c>
      <c r="Z95" t="inlineStr"/>
      <c r="AA95" t="inlineStr"/>
      <c r="AB95" t="inlineStr"/>
      <c r="AC95" t="inlineStr"/>
      <c r="AD95" t="inlineStr">
        <is>
          <t>לא נמצא בסריקת המפיצים</t>
        </is>
      </c>
      <c r="AE95" t="inlineStr">
        <is>
          <t>סריקת אתרי מפיצים</t>
        </is>
      </c>
      <c r="AG95" t="inlineStr"/>
      <c r="AH95" t="inlineStr"/>
      <c r="AJ95" t="inlineStr"/>
      <c r="AP95" t="inlineStr">
        <is>
          <t>https://www.thomassci.com/browse-by/suppliers/ammex</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Y96" t="inlineStr">
        <is>
          <t>unknown</t>
        </is>
      </c>
      <c r="Z96" t="inlineStr"/>
      <c r="AA96" t="inlineStr"/>
      <c r="AB96" t="inlineStr"/>
      <c r="AC96" t="inlineStr"/>
      <c r="AD96" t="inlineStr">
        <is>
          <t>לא נמצא בסריקת המפיצים</t>
        </is>
      </c>
      <c r="AE96" t="inlineStr">
        <is>
          <t>סריקת אתרי מפיצים</t>
        </is>
      </c>
      <c r="AG96" t="inlineStr"/>
      <c r="AH96" t="inlineStr"/>
      <c r="AJ96" t="inlineStr"/>
      <c r="AO96" t="inlineStr">
        <is>
          <t>Q134630671</t>
        </is>
      </c>
      <c r="AP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t>
        </is>
      </c>
      <c r="J97" t="inlineStr"/>
      <c r="Y97" t="inlineStr">
        <is>
          <t>unknown</t>
        </is>
      </c>
      <c r="Z97" t="inlineStr"/>
      <c r="AA97" t="inlineStr"/>
      <c r="AB97" t="inlineStr"/>
      <c r="AC97" t="inlineStr"/>
      <c r="AD97" t="inlineStr">
        <is>
          <t>לא נמצא בסריקת המפיצים</t>
        </is>
      </c>
      <c r="AE97" t="inlineStr">
        <is>
          <t>סריקת אתרי מפיצים</t>
        </is>
      </c>
      <c r="AG97" t="inlineStr"/>
      <c r="AH97" t="inlineStr"/>
      <c r="AJ97" t="inlineStr"/>
      <c r="AP97" t="inlineStr">
        <is>
          <t>https://www.quartzy.com/suppliers</t>
        </is>
      </c>
    </row>
    <row r="98">
      <c r="A98" t="n">
        <v>97</v>
      </c>
      <c r="B98" t="inlineStr">
        <is>
          <t>Amsino International</t>
        </is>
      </c>
      <c r="C98" t="inlineStr">
        <is>
          <t>T</t>
        </is>
      </c>
      <c r="E98" t="inlineStr">
        <is>
          <t>https://www.thomassci.com/browse-by/suppliers/amsino-international</t>
        </is>
      </c>
      <c r="F98" t="inlineStr"/>
      <c r="J98" t="inlineStr"/>
      <c r="Y98" t="inlineStr">
        <is>
          <t>unknown</t>
        </is>
      </c>
      <c r="Z98" t="inlineStr"/>
      <c r="AA98" t="inlineStr"/>
      <c r="AB98" t="inlineStr"/>
      <c r="AC98" t="inlineStr"/>
      <c r="AD98" t="inlineStr">
        <is>
          <t>לא נמצא בסריקת המפיצים</t>
        </is>
      </c>
      <c r="AE98" t="inlineStr">
        <is>
          <t>סריקת אתרי מפיצים</t>
        </is>
      </c>
      <c r="AG98" t="inlineStr"/>
      <c r="AH98" t="inlineStr"/>
      <c r="AJ98" t="inlineStr"/>
      <c r="AP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t>
        </is>
      </c>
      <c r="J99" t="inlineStr">
        <is>
          <t>צרפת</t>
        </is>
      </c>
      <c r="K99" t="inlineStr">
        <is>
          <t>Villebon-sur-Yvette</t>
        </is>
      </c>
      <c r="M99" t="inlineStr">
        <is>
          <t>1991</t>
        </is>
      </c>
      <c r="Y99" t="inlineStr">
        <is>
          <t>unknown</t>
        </is>
      </c>
      <c r="Z99" t="inlineStr"/>
      <c r="AA99" t="inlineStr"/>
      <c r="AB99" t="inlineStr"/>
      <c r="AC99" t="inlineStr"/>
      <c r="AD99" t="inlineStr">
        <is>
          <t>לא נמצא בסריקת המפיצים</t>
        </is>
      </c>
      <c r="AE99" t="inlineStr">
        <is>
          <t>סריקת אתרי מפיצים</t>
        </is>
      </c>
      <c r="AG99" t="inlineStr"/>
      <c r="AH99" t="inlineStr"/>
      <c r="AJ99" t="inlineStr"/>
      <c r="AL99" t="inlineStr">
        <is>
          <t>Villebon-sur-Yvette</t>
        </is>
      </c>
      <c r="AO99" t="inlineStr">
        <is>
          <t>Q134630749</t>
        </is>
      </c>
      <c r="AP99" t="inlineStr">
        <is>
          <t>https://www.thomassci.com/browse-by/suppliers/scp-science | https://www.wikidata.org/wiki/Q134630749</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company</t>
        </is>
      </c>
      <c r="P100" t="n">
        <v>1000</v>
      </c>
      <c r="Q100" t="n">
        <v>2024</v>
      </c>
      <c r="R100" t="inlineStr">
        <is>
          <t>estimate</t>
        </is>
      </c>
      <c r="S100" t="inlineStr">
        <is>
          <t>prior</t>
        </is>
      </c>
      <c r="T100" t="n">
        <v>200</v>
      </c>
      <c r="U100" t="inlineStr">
        <is>
          <t>EUR ~180 million (trade estimate)</t>
        </is>
      </c>
      <c r="V100" t="inlineStr">
        <is>
          <t>2024 (estimate)</t>
        </is>
      </c>
      <c r="W100" t="inlineStr">
        <is>
          <t>estimate</t>
        </is>
      </c>
      <c r="X100" t="inlineStr">
        <is>
          <t>prior</t>
        </is>
      </c>
      <c r="Y100" t="inlineStr">
        <is>
          <t>estimate</t>
        </is>
      </c>
      <c r="Z100" t="inlineStr">
        <is>
          <t>PlasmaQuant 9100 / PlasmaQuant MS</t>
        </is>
      </c>
      <c r="AA100" t="inlineStr">
        <is>
          <t>contrAA 800</t>
        </is>
      </c>
      <c r="AB100" t="inlineStr">
        <is>
          <t>multi N/C series</t>
        </is>
      </c>
      <c r="AC100" t="inlineStr">
        <is>
          <t>prior</t>
        </is>
      </c>
      <c r="AD100" t="inlineStr">
        <is>
          <t>מפיץ/נציג בישראל</t>
        </is>
      </c>
      <c r="AE100" t="inlineStr">
        <is>
          <t>אומת</t>
        </is>
      </c>
      <c r="AF100" t="n">
        <v>2026</v>
      </c>
      <c r="AG100" t="inlineStr">
        <is>
          <t>Lifegene; Tamar Laboratory Supplies; Lumitron</t>
        </is>
      </c>
      <c r="AH100" t="inlineStr">
        <is>
          <t>Lifegene: +972 8-644-4314 info@lifegene.co.il; Tamar Laboratory Supplies: +972 2-533-6070 (also 02-579-9777); Lumitron: +972 52-525-6287</t>
        </is>
      </c>
      <c r="AI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J100" t="inlineStr">
        <is>
          <t>+49 3641 77-70</t>
        </is>
      </c>
      <c r="AK100" t="inlineStr">
        <is>
          <t>info@analytik-jena.com</t>
        </is>
      </c>
      <c r="AL100" t="inlineStr">
        <is>
          <t>Konrad-Zuse-Str. 1, 07745 Jena, Germany</t>
        </is>
      </c>
      <c r="AM100" t="inlineStr">
        <is>
          <t>https://analytik-jena.com/contact</t>
        </is>
      </c>
      <c r="AN100" t="inlineStr">
        <is>
          <t>https://www.analytik-jena.fr/en/print/company/career/contact.html</t>
        </is>
      </c>
      <c r="AO100" t="inlineStr">
        <is>
          <t>Q136196</t>
        </is>
      </c>
      <c r="AP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t>
        </is>
      </c>
    </row>
    <row r="101">
      <c r="A101" t="n">
        <v>100</v>
      </c>
      <c r="B101" t="inlineStr">
        <is>
          <t>Anaspec</t>
        </is>
      </c>
      <c r="C101" t="inlineStr">
        <is>
          <t>Q</t>
        </is>
      </c>
      <c r="F101" t="inlineStr">
        <is>
          <t>yes</t>
        </is>
      </c>
      <c r="H101" t="inlineStr">
        <is>
          <t>https://anaspec.com</t>
        </is>
      </c>
      <c r="I101" t="inlineStr">
        <is>
          <t>clearbit</t>
        </is>
      </c>
      <c r="J101" t="inlineStr"/>
      <c r="Y101" t="inlineStr">
        <is>
          <t>unknown</t>
        </is>
      </c>
      <c r="Z101" t="inlineStr"/>
      <c r="AA101" t="inlineStr"/>
      <c r="AB101" t="inlineStr"/>
      <c r="AC101" t="inlineStr"/>
      <c r="AD101" t="inlineStr">
        <is>
          <t>לא נמצא בסריקת המפיצים</t>
        </is>
      </c>
      <c r="AE101" t="inlineStr">
        <is>
          <t>סריקת אתרי מפיצים</t>
        </is>
      </c>
      <c r="AG101" t="inlineStr"/>
      <c r="AH101" t="inlineStr"/>
      <c r="AJ101" t="inlineStr"/>
      <c r="AP101" t="inlineStr">
        <is>
          <t>https://www.quartzy.com/suppliers</t>
        </is>
      </c>
    </row>
    <row r="102">
      <c r="A102" t="n">
        <v>101</v>
      </c>
      <c r="B102" t="inlineStr">
        <is>
          <t>Anatrace</t>
        </is>
      </c>
      <c r="C102" t="inlineStr">
        <is>
          <t>Q</t>
        </is>
      </c>
      <c r="F102" t="inlineStr">
        <is>
          <t>yes</t>
        </is>
      </c>
      <c r="H102" t="inlineStr">
        <is>
          <t>https://anatrace.com</t>
        </is>
      </c>
      <c r="I102" t="inlineStr">
        <is>
          <t>clearbit</t>
        </is>
      </c>
      <c r="J102" t="inlineStr"/>
      <c r="Y102" t="inlineStr">
        <is>
          <t>unknown</t>
        </is>
      </c>
      <c r="Z102" t="inlineStr"/>
      <c r="AA102" t="inlineStr"/>
      <c r="AB102" t="inlineStr"/>
      <c r="AC102" t="inlineStr"/>
      <c r="AD102" t="inlineStr">
        <is>
          <t>לא נמצא בסריקת המפיצים</t>
        </is>
      </c>
      <c r="AE102" t="inlineStr">
        <is>
          <t>סריקת אתרי מפיצים</t>
        </is>
      </c>
      <c r="AG102" t="inlineStr"/>
      <c r="AH102" t="inlineStr"/>
      <c r="AJ102" t="inlineStr"/>
      <c r="AP102" t="inlineStr">
        <is>
          <t>https://www.quartzy.com/suppliers</t>
        </is>
      </c>
    </row>
    <row r="103">
      <c r="A103" t="n">
        <v>102</v>
      </c>
      <c r="B103" t="inlineStr">
        <is>
          <t>Andrews Glass Co.</t>
        </is>
      </c>
      <c r="C103" t="inlineStr">
        <is>
          <t>T</t>
        </is>
      </c>
      <c r="E103" t="inlineStr">
        <is>
          <t>https://www.thomassci.com/browse-by/suppliers/andrews-glass-co-</t>
        </is>
      </c>
      <c r="F103" t="inlineStr"/>
      <c r="J103" t="inlineStr"/>
      <c r="Y103" t="inlineStr">
        <is>
          <t>unknown</t>
        </is>
      </c>
      <c r="Z103" t="inlineStr"/>
      <c r="AA103" t="inlineStr"/>
      <c r="AB103" t="inlineStr"/>
      <c r="AC103" t="inlineStr"/>
      <c r="AD103" t="inlineStr">
        <is>
          <t>לא נמצא בסריקת המפיצים</t>
        </is>
      </c>
      <c r="AE103" t="inlineStr">
        <is>
          <t>סריקת אתרי מפיצים</t>
        </is>
      </c>
      <c r="AG103" t="inlineStr"/>
      <c r="AH103" t="inlineStr"/>
      <c r="AJ103" t="inlineStr"/>
      <c r="AP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Y104" t="inlineStr">
        <is>
          <t>unknown</t>
        </is>
      </c>
      <c r="Z104" t="inlineStr"/>
      <c r="AA104" t="inlineStr"/>
      <c r="AB104" t="inlineStr"/>
      <c r="AC104" t="inlineStr"/>
      <c r="AD104" t="inlineStr">
        <is>
          <t>לא נמצא בסריקת המפיצים</t>
        </is>
      </c>
      <c r="AE104" t="inlineStr">
        <is>
          <t>סריקת אתרי מפיצים</t>
        </is>
      </c>
      <c r="AG104" t="inlineStr"/>
      <c r="AH104" t="inlineStr"/>
      <c r="AJ104" t="inlineStr"/>
      <c r="AP104" t="inlineStr">
        <is>
          <t>https://www.quartzy.com/suppliers</t>
        </is>
      </c>
    </row>
    <row r="105">
      <c r="A105" t="n">
        <v>104</v>
      </c>
      <c r="B105" t="inlineStr">
        <is>
          <t>Anios</t>
        </is>
      </c>
      <c r="C105" t="inlineStr">
        <is>
          <t>D</t>
        </is>
      </c>
      <c r="D105" t="inlineStr">
        <is>
          <t>https://www.dutscher.com/search?initialFilters=brand:Anios</t>
        </is>
      </c>
      <c r="F105" t="inlineStr"/>
      <c r="H105" t="inlineStr">
        <is>
          <t>https://anios.it</t>
        </is>
      </c>
      <c r="I105" t="inlineStr">
        <is>
          <t>clearbit</t>
        </is>
      </c>
      <c r="J105" t="inlineStr"/>
      <c r="Y105" t="inlineStr">
        <is>
          <t>unknown</t>
        </is>
      </c>
      <c r="Z105" t="inlineStr"/>
      <c r="AA105" t="inlineStr"/>
      <c r="AB105" t="inlineStr"/>
      <c r="AC105" t="inlineStr"/>
      <c r="AD105" t="inlineStr">
        <is>
          <t>לא נמצא בסריקת המפיצים</t>
        </is>
      </c>
      <c r="AE105" t="inlineStr">
        <is>
          <t>סריקת אתרי מפיצים</t>
        </is>
      </c>
      <c r="AG105" t="inlineStr"/>
      <c r="AH105" t="inlineStr"/>
      <c r="AJ105" t="inlineStr"/>
      <c r="AP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t>
        </is>
      </c>
      <c r="J106" t="inlineStr"/>
      <c r="Y106" t="inlineStr">
        <is>
          <t>unknown</t>
        </is>
      </c>
      <c r="Z106" t="inlineStr"/>
      <c r="AA106" t="inlineStr"/>
      <c r="AB106" t="inlineStr"/>
      <c r="AC106" t="inlineStr"/>
      <c r="AD106" t="inlineStr">
        <is>
          <t>לא נמצא בסריקת המפיצים</t>
        </is>
      </c>
      <c r="AE106" t="inlineStr">
        <is>
          <t>סריקת אתרי מפיצים</t>
        </is>
      </c>
      <c r="AG106" t="inlineStr"/>
      <c r="AH106" t="inlineStr"/>
      <c r="AJ106" t="inlineStr"/>
      <c r="AP106" t="inlineStr">
        <is>
          <t>https://www.dutscher.com/search?initialFilters=brand:Ansell | https://www.thomassci.com/browse-by/suppliers/ansell</t>
        </is>
      </c>
    </row>
    <row r="107">
      <c r="A107" t="n">
        <v>106</v>
      </c>
      <c r="B107" t="inlineStr">
        <is>
          <t>Antibodies, Inc</t>
        </is>
      </c>
      <c r="C107" t="inlineStr">
        <is>
          <t>Q+Q+</t>
        </is>
      </c>
      <c r="F107" t="inlineStr">
        <is>
          <t>yes +new</t>
        </is>
      </c>
      <c r="J107" t="inlineStr"/>
      <c r="O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Y107" t="inlineStr">
        <is>
          <t>unknown</t>
        </is>
      </c>
      <c r="Z107" t="inlineStr"/>
      <c r="AA107" t="inlineStr"/>
      <c r="AB107" t="inlineStr"/>
      <c r="AC107" t="inlineStr"/>
      <c r="AD107" t="inlineStr">
        <is>
          <t>לא נמצא בסריקת המפיצים</t>
        </is>
      </c>
      <c r="AE107" t="inlineStr">
        <is>
          <t>סריקת אתרי מפיצים</t>
        </is>
      </c>
      <c r="AG107" t="inlineStr"/>
      <c r="AH107" t="inlineStr"/>
      <c r="AJ107" t="inlineStr"/>
      <c r="AP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t>
        </is>
      </c>
      <c r="J108" t="inlineStr"/>
      <c r="Y108" t="inlineStr">
        <is>
          <t>unknown</t>
        </is>
      </c>
      <c r="Z108" t="inlineStr"/>
      <c r="AA108" t="inlineStr"/>
      <c r="AB108" t="inlineStr"/>
      <c r="AC108" t="inlineStr"/>
      <c r="AD108" t="inlineStr">
        <is>
          <t>לא נמצא בסריקת המפיצים</t>
        </is>
      </c>
      <c r="AE108" t="inlineStr">
        <is>
          <t>סריקת אתרי מפיצים</t>
        </is>
      </c>
      <c r="AG108" t="inlineStr"/>
      <c r="AH108" t="inlineStr"/>
      <c r="AJ108" t="inlineStr"/>
      <c r="AP108" t="inlineStr">
        <is>
          <t>https://www.quartzy.com/suppliers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P109" t="n">
        <v>4500</v>
      </c>
      <c r="Q109" t="n">
        <v>2025</v>
      </c>
      <c r="R109" t="inlineStr">
        <is>
          <t>company</t>
        </is>
      </c>
      <c r="S109" t="inlineStr">
        <is>
          <t>prior</t>
        </is>
      </c>
      <c r="T109" t="n">
        <v>692</v>
      </c>
      <c r="U109" t="inlineStr">
        <is>
          <t>EUR 629 million</t>
        </is>
      </c>
      <c r="V109" t="inlineStr">
        <is>
          <t>FY2025</t>
        </is>
      </c>
      <c r="W109" t="inlineStr">
        <is>
          <t>company</t>
        </is>
      </c>
      <c r="X109" t="inlineStr">
        <is>
          <t>prior</t>
        </is>
      </c>
      <c r="Y109" t="inlineStr">
        <is>
          <t>reported</t>
        </is>
      </c>
      <c r="Z109" t="inlineStr">
        <is>
          <t>DMA density meters (e.g. DMA 5000 M)</t>
        </is>
      </c>
      <c r="AA109" t="inlineStr">
        <is>
          <t>MCR rheometer series (e.g. MCR 702e)</t>
        </is>
      </c>
      <c r="AB109" t="inlineStr">
        <is>
          <t>Multiwave 5000 / 7000</t>
        </is>
      </c>
      <c r="AC109" t="inlineStr">
        <is>
          <t>prior</t>
        </is>
      </c>
      <c r="AD109" t="inlineStr">
        <is>
          <t>מפיץ/נציג בישראל</t>
        </is>
      </c>
      <c r="AE109" t="inlineStr">
        <is>
          <t>אומת</t>
        </is>
      </c>
      <c r="AF109" t="n">
        <v>2026</v>
      </c>
      <c r="AG109" t="inlineStr">
        <is>
          <t>Prime Lab Scientific Instruments Ltd.</t>
        </is>
      </c>
      <c r="AH109" t="inlineStr">
        <is>
          <t>Prime Lab Scientific Instruments Ltd.:</t>
        </is>
      </c>
      <c r="AI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J109" t="inlineStr">
        <is>
          <t>+43 316 257-0</t>
        </is>
      </c>
      <c r="AL109" t="inlineStr">
        <is>
          <t>Anton-Paar-Straße 20, 8054 Graz, Austria</t>
        </is>
      </c>
      <c r="AN109" t="inlineStr">
        <is>
          <t>https://fluidhandlingpro.com/manufacturers/anton-paar-gmbh/</t>
        </is>
      </c>
      <c r="AP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O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Y110" t="inlineStr">
        <is>
          <t>unknown</t>
        </is>
      </c>
      <c r="Z110" t="inlineStr"/>
      <c r="AA110" t="inlineStr"/>
      <c r="AB110" t="inlineStr"/>
      <c r="AC110" t="inlineStr"/>
      <c r="AD110" t="inlineStr">
        <is>
          <t>לא נמצא בסריקת המפיצים</t>
        </is>
      </c>
      <c r="AE110" t="inlineStr">
        <is>
          <t>סריקת אתרי מפיצים</t>
        </is>
      </c>
      <c r="AG110" t="inlineStr"/>
      <c r="AH110" t="inlineStr"/>
      <c r="AJ110" t="inlineStr"/>
      <c r="AP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Y111" t="inlineStr">
        <is>
          <t>unknown</t>
        </is>
      </c>
      <c r="Z111" t="inlineStr"/>
      <c r="AA111" t="inlineStr"/>
      <c r="AB111" t="inlineStr"/>
      <c r="AC111" t="inlineStr"/>
      <c r="AD111" t="inlineStr">
        <is>
          <t>לא נמצא בסריקת המפיצים</t>
        </is>
      </c>
      <c r="AE111" t="inlineStr">
        <is>
          <t>סריקת אתרי מפיצים</t>
        </is>
      </c>
      <c r="AG111" t="inlineStr"/>
      <c r="AH111" t="inlineStr"/>
      <c r="AJ111" t="inlineStr"/>
      <c r="AP111" t="inlineStr">
        <is>
          <t>https://www.dutscher.com/search?initialFilters=brand:Apelex</t>
        </is>
      </c>
    </row>
    <row r="112">
      <c r="A112" t="n">
        <v>111</v>
      </c>
      <c r="B112" t="inlineStr">
        <is>
          <t>ApexBio</t>
        </is>
      </c>
      <c r="C112" t="inlineStr">
        <is>
          <t>Q</t>
        </is>
      </c>
      <c r="F112" t="inlineStr">
        <is>
          <t>yes</t>
        </is>
      </c>
      <c r="J112" t="inlineStr"/>
      <c r="Y112" t="inlineStr">
        <is>
          <t>unknown</t>
        </is>
      </c>
      <c r="Z112" t="inlineStr"/>
      <c r="AA112" t="inlineStr"/>
      <c r="AB112" t="inlineStr"/>
      <c r="AC112" t="inlineStr"/>
      <c r="AD112" t="inlineStr">
        <is>
          <t>לא נמצא בסריקת המפיצים</t>
        </is>
      </c>
      <c r="AE112" t="inlineStr">
        <is>
          <t>סריקת אתרי מפיצים</t>
        </is>
      </c>
      <c r="AG112" t="inlineStr"/>
      <c r="AH112" t="inlineStr"/>
      <c r="AJ112" t="inlineStr"/>
      <c r="AP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t>
        </is>
      </c>
      <c r="J113" t="inlineStr"/>
      <c r="Y113" t="inlineStr">
        <is>
          <t>unknown</t>
        </is>
      </c>
      <c r="Z113" t="inlineStr"/>
      <c r="AA113" t="inlineStr"/>
      <c r="AB113" t="inlineStr"/>
      <c r="AC113" t="inlineStr"/>
      <c r="AD113" t="inlineStr">
        <is>
          <t>לא נמצא בסריקת המפיצים</t>
        </is>
      </c>
      <c r="AE113" t="inlineStr">
        <is>
          <t>סריקת אתרי מפיצים</t>
        </is>
      </c>
      <c r="AG113" t="inlineStr"/>
      <c r="AH113" t="inlineStr"/>
      <c r="AJ113" t="inlineStr"/>
      <c r="AP113" t="inlineStr">
        <is>
          <t>https://www.thomassci.com/browse-by/suppliers/apiezon</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t>
        </is>
      </c>
      <c r="J114" t="inlineStr"/>
      <c r="Y114" t="inlineStr">
        <is>
          <t>unknown</t>
        </is>
      </c>
      <c r="Z114" t="inlineStr"/>
      <c r="AA114" t="inlineStr"/>
      <c r="AB114" t="inlineStr"/>
      <c r="AC114" t="inlineStr"/>
      <c r="AD114" t="inlineStr">
        <is>
          <t>לא נמצא בסריקת המפיצים</t>
        </is>
      </c>
      <c r="AE114" t="inlineStr">
        <is>
          <t>סריקת אתרי מפיצים</t>
        </is>
      </c>
      <c r="AG114" t="inlineStr"/>
      <c r="AH114" t="inlineStr"/>
      <c r="AJ114" t="inlineStr"/>
      <c r="AP114" t="inlineStr">
        <is>
          <t>https://www.thomassci.com/browse-by/suppliers/apis-assay-technologies</t>
        </is>
      </c>
    </row>
    <row r="115">
      <c r="A115" t="n">
        <v>114</v>
      </c>
      <c r="B115" t="inlineStr">
        <is>
          <t>Applied Biological Materials (ABM)</t>
        </is>
      </c>
      <c r="C115" t="inlineStr">
        <is>
          <t>Q</t>
        </is>
      </c>
      <c r="F115" t="inlineStr">
        <is>
          <t>yes</t>
        </is>
      </c>
      <c r="J115" t="inlineStr"/>
      <c r="Y115" t="inlineStr">
        <is>
          <t>unknown</t>
        </is>
      </c>
      <c r="Z115" t="inlineStr"/>
      <c r="AA115" t="inlineStr"/>
      <c r="AB115" t="inlineStr"/>
      <c r="AC115" t="inlineStr"/>
      <c r="AD115" t="inlineStr">
        <is>
          <t>לא נמצא בסריקת המפיצים</t>
        </is>
      </c>
      <c r="AE115" t="inlineStr">
        <is>
          <t>סריקת אתרי מפיצים</t>
        </is>
      </c>
      <c r="AG115" t="inlineStr"/>
      <c r="AH115" t="inlineStr"/>
      <c r="AJ115" t="inlineStr"/>
      <c r="AP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t>
        </is>
      </c>
      <c r="J116" t="inlineStr"/>
      <c r="Y116" t="inlineStr">
        <is>
          <t>unknown</t>
        </is>
      </c>
      <c r="Z116" t="inlineStr"/>
      <c r="AA116" t="inlineStr"/>
      <c r="AB116" t="inlineStr"/>
      <c r="AC116" t="inlineStr"/>
      <c r="AD116" t="inlineStr">
        <is>
          <t>לא נמצא בסריקת המפיצים</t>
        </is>
      </c>
      <c r="AE116" t="inlineStr">
        <is>
          <t>סריקת אתרי מפיצים</t>
        </is>
      </c>
      <c r="AG116" t="inlineStr"/>
      <c r="AH116" t="inlineStr"/>
      <c r="AJ116" t="inlineStr"/>
      <c r="AP116" t="inlineStr">
        <is>
          <t>https://www.thomassci.com/browse-by/suppliers/applied-separations</t>
        </is>
      </c>
    </row>
    <row r="117">
      <c r="A117" t="n">
        <v>116</v>
      </c>
      <c r="B117" t="inlineStr">
        <is>
          <t>AQUAFILL</t>
        </is>
      </c>
      <c r="C117" t="inlineStr">
        <is>
          <t>T</t>
        </is>
      </c>
      <c r="E117" t="inlineStr">
        <is>
          <t>https://www.thomassci.com/browse-by/suppliers/aquafill</t>
        </is>
      </c>
      <c r="F117" t="inlineStr"/>
      <c r="H117" t="inlineStr">
        <is>
          <t>https://aquafill.mx</t>
        </is>
      </c>
      <c r="I117" t="inlineStr">
        <is>
          <t>clearbit</t>
        </is>
      </c>
      <c r="J117" t="inlineStr"/>
      <c r="Y117" t="inlineStr">
        <is>
          <t>unknown</t>
        </is>
      </c>
      <c r="Z117" t="inlineStr"/>
      <c r="AA117" t="inlineStr"/>
      <c r="AB117" t="inlineStr"/>
      <c r="AC117" t="inlineStr"/>
      <c r="AD117" t="inlineStr">
        <is>
          <t>לא נמצא בסריקת המפיצים</t>
        </is>
      </c>
      <c r="AE117" t="inlineStr">
        <is>
          <t>סריקת אתרי מפיצים</t>
        </is>
      </c>
      <c r="AG117" t="inlineStr"/>
      <c r="AH117" t="inlineStr"/>
      <c r="AJ117" t="inlineStr"/>
      <c r="AP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t>
        </is>
      </c>
      <c r="J118" t="inlineStr"/>
      <c r="Y118" t="inlineStr">
        <is>
          <t>unknown</t>
        </is>
      </c>
      <c r="Z118" t="inlineStr"/>
      <c r="AA118" t="inlineStr"/>
      <c r="AB118" t="inlineStr"/>
      <c r="AC118" t="inlineStr"/>
      <c r="AD118" t="inlineStr">
        <is>
          <t>לא נמצא בסריקת המפיצים</t>
        </is>
      </c>
      <c r="AE118" t="inlineStr">
        <is>
          <t>סריקת אתרי מפיצים</t>
        </is>
      </c>
      <c r="AG118" t="inlineStr"/>
      <c r="AH118" t="inlineStr"/>
      <c r="AJ118" t="inlineStr"/>
      <c r="AP118" t="inlineStr">
        <is>
          <t>https://www.quartzy.com/suppliers</t>
        </is>
      </c>
    </row>
    <row r="119">
      <c r="A119" t="n">
        <v>118</v>
      </c>
      <c r="B119" t="inlineStr">
        <is>
          <t>AquaPhoenix Scientific</t>
        </is>
      </c>
      <c r="C119" t="inlineStr">
        <is>
          <t>T</t>
        </is>
      </c>
      <c r="E119" t="inlineStr">
        <is>
          <t>https://www.thomassci.com/browse-by/suppliers/aquaphoenix-scientific</t>
        </is>
      </c>
      <c r="F119" t="inlineStr"/>
      <c r="J119" t="inlineStr"/>
      <c r="Y119" t="inlineStr">
        <is>
          <t>unknown</t>
        </is>
      </c>
      <c r="Z119" t="inlineStr"/>
      <c r="AA119" t="inlineStr"/>
      <c r="AB119" t="inlineStr"/>
      <c r="AC119" t="inlineStr"/>
      <c r="AD119" t="inlineStr">
        <is>
          <t>לא נמצא בסריקת המפיצים</t>
        </is>
      </c>
      <c r="AE119" t="inlineStr">
        <is>
          <t>סריקת אתרי מפיצים</t>
        </is>
      </c>
      <c r="AG119" t="inlineStr"/>
      <c r="AH119" t="inlineStr"/>
      <c r="AJ119" t="inlineStr"/>
      <c r="AP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t>
        </is>
      </c>
      <c r="J120" t="inlineStr"/>
      <c r="Y120" t="inlineStr">
        <is>
          <t>unknown</t>
        </is>
      </c>
      <c r="Z120" t="inlineStr"/>
      <c r="AA120" t="inlineStr"/>
      <c r="AB120" t="inlineStr"/>
      <c r="AC120" t="inlineStr"/>
      <c r="AD120" t="inlineStr">
        <is>
          <t>לא נמצא בסריקת המפיצים</t>
        </is>
      </c>
      <c r="AE120" t="inlineStr">
        <is>
          <t>סריקת אתרי מפיצים</t>
        </is>
      </c>
      <c r="AG120" t="inlineStr"/>
      <c r="AH120" t="inlineStr"/>
      <c r="AJ120" t="inlineStr"/>
      <c r="AP120" t="inlineStr">
        <is>
          <t>https://www.quartzy.com/suppliers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t>
        </is>
      </c>
      <c r="J121" t="inlineStr"/>
      <c r="Y121" t="inlineStr">
        <is>
          <t>unknown</t>
        </is>
      </c>
      <c r="Z121" t="inlineStr"/>
      <c r="AA121" t="inlineStr"/>
      <c r="AB121" t="inlineStr"/>
      <c r="AC121" t="inlineStr"/>
      <c r="AD121" t="inlineStr">
        <is>
          <t>לא נמצא בסריקת המפיצים</t>
        </is>
      </c>
      <c r="AE121" t="inlineStr">
        <is>
          <t>סריקת אתרי מפיצים</t>
        </is>
      </c>
      <c r="AG121" t="inlineStr"/>
      <c r="AH121" t="inlineStr"/>
      <c r="AJ121" t="inlineStr"/>
      <c r="AP121" t="inlineStr">
        <is>
          <t>https://www.thomassci.com/browse-by/suppliers/arcus-manufacturing</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Y122" t="inlineStr">
        <is>
          <t>unknown</t>
        </is>
      </c>
      <c r="Z122" t="inlineStr"/>
      <c r="AA122" t="inlineStr"/>
      <c r="AB122" t="inlineStr"/>
      <c r="AC122" t="inlineStr"/>
      <c r="AD122" t="inlineStr">
        <is>
          <t>לא נמצא בסריקת המפיצים</t>
        </is>
      </c>
      <c r="AE122" t="inlineStr">
        <is>
          <t>סריקת אתרי מפיצים</t>
        </is>
      </c>
      <c r="AG122" t="inlineStr"/>
      <c r="AH122" t="inlineStr"/>
      <c r="AJ122" t="inlineStr"/>
      <c r="AP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Y123" t="inlineStr">
        <is>
          <t>unknown</t>
        </is>
      </c>
      <c r="Z123" t="inlineStr"/>
      <c r="AA123" t="inlineStr"/>
      <c r="AB123" t="inlineStr"/>
      <c r="AC123" t="inlineStr"/>
      <c r="AD123" t="inlineStr">
        <is>
          <t>לא נמצא בסריקת המפיצים</t>
        </is>
      </c>
      <c r="AE123" t="inlineStr">
        <is>
          <t>סריקת אתרי מפיצים</t>
        </is>
      </c>
      <c r="AG123" t="inlineStr"/>
      <c r="AH123" t="inlineStr"/>
      <c r="AJ123" t="inlineStr"/>
      <c r="AP123" t="inlineStr">
        <is>
          <t>https://www.thomassci.com/browse-by/suppliers/aries-a-resintech-brand</t>
        </is>
      </c>
    </row>
    <row r="124">
      <c r="A124" t="n">
        <v>123</v>
      </c>
      <c r="B124" t="inlineStr">
        <is>
          <t>Arista Biologicals Inc</t>
        </is>
      </c>
      <c r="C124" t="inlineStr">
        <is>
          <t>Q</t>
        </is>
      </c>
      <c r="F124" t="inlineStr">
        <is>
          <t>yes</t>
        </is>
      </c>
      <c r="J124" t="inlineStr"/>
      <c r="Y124" t="inlineStr">
        <is>
          <t>unknown</t>
        </is>
      </c>
      <c r="Z124" t="inlineStr"/>
      <c r="AA124" t="inlineStr"/>
      <c r="AB124" t="inlineStr"/>
      <c r="AC124" t="inlineStr"/>
      <c r="AD124" t="inlineStr">
        <is>
          <t>לא נמצא בסריקת המפיצים</t>
        </is>
      </c>
      <c r="AE124" t="inlineStr">
        <is>
          <t>סריקת אתרי מפיצים</t>
        </is>
      </c>
      <c r="AG124" t="inlineStr"/>
      <c r="AH124" t="inlineStr"/>
      <c r="AJ124" t="inlineStr"/>
      <c r="AP124" t="inlineStr">
        <is>
          <t>https://www.quartzy.com/suppliers</t>
        </is>
      </c>
    </row>
    <row r="125">
      <c r="A125" t="n">
        <v>124</v>
      </c>
      <c r="B125" t="inlineStr">
        <is>
          <t>Ark Pharm</t>
        </is>
      </c>
      <c r="C125" t="inlineStr">
        <is>
          <t>Q</t>
        </is>
      </c>
      <c r="F125" t="inlineStr">
        <is>
          <t>yes</t>
        </is>
      </c>
      <c r="J125" t="inlineStr"/>
      <c r="Y125" t="inlineStr">
        <is>
          <t>unknown</t>
        </is>
      </c>
      <c r="Z125" t="inlineStr"/>
      <c r="AA125" t="inlineStr"/>
      <c r="AB125" t="inlineStr"/>
      <c r="AC125" t="inlineStr"/>
      <c r="AD125" t="inlineStr">
        <is>
          <t>לא נמצא בסריקת המפיצים</t>
        </is>
      </c>
      <c r="AE125" t="inlineStr">
        <is>
          <t>סריקת אתרי מפיצים</t>
        </is>
      </c>
      <c r="AG125" t="inlineStr"/>
      <c r="AH125" t="inlineStr"/>
      <c r="AJ125" t="inlineStr"/>
      <c r="AP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Y126" t="inlineStr">
        <is>
          <t>unknown</t>
        </is>
      </c>
      <c r="Z126" t="inlineStr"/>
      <c r="AA126" t="inlineStr"/>
      <c r="AB126" t="inlineStr"/>
      <c r="AC126" t="inlineStr"/>
      <c r="AD126" t="inlineStr">
        <is>
          <t>לא נמצא בסריקת המפיצים</t>
        </is>
      </c>
      <c r="AE126" t="inlineStr">
        <is>
          <t>סריקת אתרי מפיצים</t>
        </is>
      </c>
      <c r="AG126" t="inlineStr"/>
      <c r="AH126" t="inlineStr"/>
      <c r="AJ126" t="inlineStr"/>
      <c r="AP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t>
        </is>
      </c>
      <c r="J127" t="inlineStr"/>
      <c r="Y127" t="inlineStr">
        <is>
          <t>unknown</t>
        </is>
      </c>
      <c r="Z127" t="inlineStr"/>
      <c r="AA127" t="inlineStr"/>
      <c r="AB127" t="inlineStr"/>
      <c r="AC127" t="inlineStr"/>
      <c r="AD127" t="inlineStr">
        <is>
          <t>לא נמצא בסריקת המפיצים</t>
        </is>
      </c>
      <c r="AE127" t="inlineStr">
        <is>
          <t>סריקת אתרי מפיצים</t>
        </is>
      </c>
      <c r="AG127" t="inlineStr"/>
      <c r="AH127" t="inlineStr"/>
      <c r="AJ127" t="inlineStr"/>
      <c r="AP127" t="inlineStr">
        <is>
          <t>https://www.thomassci.com/browse-by/suppliers/arrow-mixing-products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t>
        </is>
      </c>
      <c r="J128" t="inlineStr"/>
      <c r="Y128" t="inlineStr">
        <is>
          <t>unknown</t>
        </is>
      </c>
      <c r="Z128" t="inlineStr"/>
      <c r="AA128" t="inlineStr"/>
      <c r="AB128" t="inlineStr"/>
      <c r="AC128" t="inlineStr"/>
      <c r="AD128" t="inlineStr">
        <is>
          <t>לא נמצא בסריקת המפיצים</t>
        </is>
      </c>
      <c r="AE128" t="inlineStr">
        <is>
          <t>סריקת אתרי מפיצים</t>
        </is>
      </c>
      <c r="AG128" t="inlineStr"/>
      <c r="AH128" t="inlineStr"/>
      <c r="AJ128" t="inlineStr"/>
      <c r="AP128" t="inlineStr">
        <is>
          <t>https://www.thomassci.com/browse-by/suppliers/arrowhead-forensics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H129" t="inlineStr">
        <is>
          <t>https://arvensis.com.mx</t>
        </is>
      </c>
      <c r="I129" t="inlineStr">
        <is>
          <t>clearbit</t>
        </is>
      </c>
      <c r="J129" t="inlineStr"/>
      <c r="Y129" t="inlineStr">
        <is>
          <t>unknown</t>
        </is>
      </c>
      <c r="Z129" t="inlineStr"/>
      <c r="AA129" t="inlineStr"/>
      <c r="AB129" t="inlineStr"/>
      <c r="AC129" t="inlineStr"/>
      <c r="AD129" t="inlineStr">
        <is>
          <t>לא נמצא בסריקת המפיצים</t>
        </is>
      </c>
      <c r="AE129" t="inlineStr">
        <is>
          <t>סריקת אתרי מפיצים</t>
        </is>
      </c>
      <c r="AG129" t="inlineStr"/>
      <c r="AH129" t="inlineStr"/>
      <c r="AJ129" t="inlineStr"/>
      <c r="AP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https://ascensia.nl</t>
        </is>
      </c>
      <c r="I130" t="inlineStr">
        <is>
          <t>clearbit</t>
        </is>
      </c>
      <c r="J130" t="inlineStr"/>
      <c r="Y130" t="inlineStr">
        <is>
          <t>unknown</t>
        </is>
      </c>
      <c r="Z130" t="inlineStr"/>
      <c r="AA130" t="inlineStr"/>
      <c r="AB130" t="inlineStr"/>
      <c r="AC130" t="inlineStr"/>
      <c r="AD130" t="inlineStr">
        <is>
          <t>לא נמצא בסריקת המפיצים</t>
        </is>
      </c>
      <c r="AE130" t="inlineStr">
        <is>
          <t>סריקת אתרי מפיצים</t>
        </is>
      </c>
      <c r="AG130" t="inlineStr"/>
      <c r="AH130" t="inlineStr"/>
      <c r="AJ130" t="inlineStr"/>
      <c r="AP130" t="inlineStr">
        <is>
          <t>https://www.thomassci.com/browse-by/suppliers/ascensia-diabetes-care</t>
        </is>
      </c>
    </row>
    <row r="131">
      <c r="A131" t="n">
        <v>130</v>
      </c>
      <c r="B131" t="inlineStr">
        <is>
          <t>Asco</t>
        </is>
      </c>
      <c r="C131" t="inlineStr">
        <is>
          <t>T</t>
        </is>
      </c>
      <c r="E131" t="inlineStr">
        <is>
          <t>https://www.thomassci.com/browse-by/suppliers/asco</t>
        </is>
      </c>
      <c r="F131" t="inlineStr"/>
      <c r="J131" t="inlineStr"/>
      <c r="Y131" t="inlineStr">
        <is>
          <t>unknown</t>
        </is>
      </c>
      <c r="Z131" t="inlineStr"/>
      <c r="AA131" t="inlineStr"/>
      <c r="AB131" t="inlineStr"/>
      <c r="AC131" t="inlineStr"/>
      <c r="AD131" t="inlineStr">
        <is>
          <t>לא נמצא בסריקת המפיצים</t>
        </is>
      </c>
      <c r="AE131" t="inlineStr">
        <is>
          <t>סריקת אתרי מפיצים</t>
        </is>
      </c>
      <c r="AG131" t="inlineStr"/>
      <c r="AH131" t="inlineStr"/>
      <c r="AJ131" t="inlineStr"/>
      <c r="AP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t>
        </is>
      </c>
      <c r="J132" t="inlineStr"/>
      <c r="Y132" t="inlineStr">
        <is>
          <t>unknown</t>
        </is>
      </c>
      <c r="Z132" t="inlineStr"/>
      <c r="AA132" t="inlineStr"/>
      <c r="AB132" t="inlineStr"/>
      <c r="AC132" t="inlineStr"/>
      <c r="AD132" t="inlineStr">
        <is>
          <t>לא נמצא בסריקת המפיצים</t>
        </is>
      </c>
      <c r="AE132" t="inlineStr">
        <is>
          <t>סריקת אתרי מפיצים</t>
        </is>
      </c>
      <c r="AG132" t="inlineStr"/>
      <c r="AH132" t="inlineStr"/>
      <c r="AJ132" t="inlineStr"/>
      <c r="AP132" t="inlineStr">
        <is>
          <t>https://www.dutscher.com/search?initialFilters=brand:Asecos</t>
        </is>
      </c>
    </row>
    <row r="133">
      <c r="A133" t="n">
        <v>132</v>
      </c>
      <c r="B133" t="inlineStr">
        <is>
          <t>Aspen Surgical Products</t>
        </is>
      </c>
      <c r="C133" t="inlineStr">
        <is>
          <t>T</t>
        </is>
      </c>
      <c r="E133" t="inlineStr">
        <is>
          <t>https://www.thomassci.com/browse-by/suppliers/aspen-surgical-products</t>
        </is>
      </c>
      <c r="F133" t="inlineStr"/>
      <c r="J133" t="inlineStr"/>
      <c r="Y133" t="inlineStr">
        <is>
          <t>unknown</t>
        </is>
      </c>
      <c r="Z133" t="inlineStr"/>
      <c r="AA133" t="inlineStr"/>
      <c r="AB133" t="inlineStr"/>
      <c r="AC133" t="inlineStr"/>
      <c r="AD133" t="inlineStr">
        <is>
          <t>לא נמצא בסריקת המפיצים</t>
        </is>
      </c>
      <c r="AE133" t="inlineStr">
        <is>
          <t>סריקת אתרי מפיצים</t>
        </is>
      </c>
      <c r="AG133" t="inlineStr"/>
      <c r="AH133" t="inlineStr"/>
      <c r="AJ133" t="inlineStr"/>
      <c r="AP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O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Y134" t="inlineStr">
        <is>
          <t>unknown</t>
        </is>
      </c>
      <c r="Z134" t="inlineStr"/>
      <c r="AA134" t="inlineStr"/>
      <c r="AB134" t="inlineStr"/>
      <c r="AC134" t="inlineStr"/>
      <c r="AD134" t="inlineStr">
        <is>
          <t>לא נמצא בסריקת המפיצים</t>
        </is>
      </c>
      <c r="AE134" t="inlineStr">
        <is>
          <t>סריקת אתרי מפיצים</t>
        </is>
      </c>
      <c r="AG134" t="inlineStr"/>
      <c r="AH134" t="inlineStr"/>
      <c r="AJ134" t="inlineStr"/>
      <c r="AP134" t="inlineStr">
        <is>
          <t>https://www.quartzy.com/suppliers | https://info.quartzy.com/new-suppliers | https://www.thomassci.com/browse-by/suppliers/assay-genie</t>
        </is>
      </c>
    </row>
    <row r="135">
      <c r="A135" t="n">
        <v>134</v>
      </c>
      <c r="B135" t="inlineStr">
        <is>
          <t>Assaypro</t>
        </is>
      </c>
      <c r="C135" t="inlineStr">
        <is>
          <t>Q</t>
        </is>
      </c>
      <c r="F135" t="inlineStr">
        <is>
          <t>yes</t>
        </is>
      </c>
      <c r="H135" t="inlineStr">
        <is>
          <t>https://assaypro.com</t>
        </is>
      </c>
      <c r="I135" t="inlineStr">
        <is>
          <t>clearbit</t>
        </is>
      </c>
      <c r="J135" t="inlineStr"/>
      <c r="Y135" t="inlineStr">
        <is>
          <t>unknown</t>
        </is>
      </c>
      <c r="Z135" t="inlineStr"/>
      <c r="AA135" t="inlineStr"/>
      <c r="AB135" t="inlineStr"/>
      <c r="AC135" t="inlineStr"/>
      <c r="AD135" t="inlineStr">
        <is>
          <t>לא נמצא בסריקת המפיצים</t>
        </is>
      </c>
      <c r="AE135" t="inlineStr">
        <is>
          <t>סריקת אתרי מפיצים</t>
        </is>
      </c>
      <c r="AG135" t="inlineStr"/>
      <c r="AH135" t="inlineStr"/>
      <c r="AJ135" t="inlineStr"/>
      <c r="AP135" t="inlineStr">
        <is>
          <t>https://www.quartzy.com/suppliers</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t>
        </is>
      </c>
      <c r="J136" t="inlineStr"/>
      <c r="Y136" t="inlineStr">
        <is>
          <t>unknown</t>
        </is>
      </c>
      <c r="Z136" t="inlineStr"/>
      <c r="AA136" t="inlineStr"/>
      <c r="AB136" t="inlineStr"/>
      <c r="AC136" t="inlineStr"/>
      <c r="AD136" t="inlineStr">
        <is>
          <t>לא נמצא בסריקת המפיצים</t>
        </is>
      </c>
      <c r="AE136" t="inlineStr">
        <is>
          <t>סריקת אתרי מפיצים</t>
        </is>
      </c>
      <c r="AG136" t="inlineStr"/>
      <c r="AH136" t="inlineStr"/>
      <c r="AJ136" t="inlineStr"/>
      <c r="AP136" t="inlineStr">
        <is>
          <t>https://www.thomassci.com/browse-by/suppliers/associated-bag</t>
        </is>
      </c>
    </row>
    <row r="137">
      <c r="A137" t="n">
        <v>136</v>
      </c>
      <c r="B137" t="inlineStr">
        <is>
          <t>Assurance® by PIP Global Safety</t>
        </is>
      </c>
      <c r="C137" t="inlineStr">
        <is>
          <t>T</t>
        </is>
      </c>
      <c r="E137" t="inlineStr">
        <is>
          <t>https://www.thomassci.com/browse-by/suppliers/assurance-by-pip-global-safety</t>
        </is>
      </c>
      <c r="F137" t="inlineStr"/>
      <c r="J137" t="inlineStr"/>
      <c r="Y137" t="inlineStr">
        <is>
          <t>unknown</t>
        </is>
      </c>
      <c r="Z137" t="inlineStr"/>
      <c r="AA137" t="inlineStr"/>
      <c r="AB137" t="inlineStr"/>
      <c r="AC137" t="inlineStr"/>
      <c r="AD137" t="inlineStr">
        <is>
          <t>לא נמצא בסריקת המפיצים</t>
        </is>
      </c>
      <c r="AE137" t="inlineStr">
        <is>
          <t>סריקת אתרי מפיצים</t>
        </is>
      </c>
      <c r="AG137" t="inlineStr"/>
      <c r="AH137" t="inlineStr"/>
      <c r="AJ137" t="inlineStr"/>
      <c r="AP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Y138" t="inlineStr">
        <is>
          <t>unknown</t>
        </is>
      </c>
      <c r="Z138" t="inlineStr"/>
      <c r="AA138" t="inlineStr"/>
      <c r="AB138" t="inlineStr"/>
      <c r="AC138" t="inlineStr"/>
      <c r="AD138" t="inlineStr">
        <is>
          <t>לא נמצא בסריקת המפיצים</t>
        </is>
      </c>
      <c r="AE138" t="inlineStr">
        <is>
          <t>סריקת אתרי מפיצים</t>
        </is>
      </c>
      <c r="AG138" t="inlineStr"/>
      <c r="AH138" t="inlineStr"/>
      <c r="AJ138" t="inlineStr"/>
      <c r="AP138" t="inlineStr">
        <is>
          <t>https://www.quartzy.com/suppliers</t>
        </is>
      </c>
    </row>
    <row r="139">
      <c r="A139" t="n">
        <v>138</v>
      </c>
      <c r="B139" t="inlineStr">
        <is>
          <t>AstraGlass</t>
        </is>
      </c>
      <c r="C139" t="inlineStr">
        <is>
          <t>Q</t>
        </is>
      </c>
      <c r="F139" t="inlineStr">
        <is>
          <t>yes</t>
        </is>
      </c>
      <c r="J139" t="inlineStr"/>
      <c r="Y139" t="inlineStr">
        <is>
          <t>unknown</t>
        </is>
      </c>
      <c r="Z139" t="inlineStr"/>
      <c r="AA139" t="inlineStr"/>
      <c r="AB139" t="inlineStr"/>
      <c r="AC139" t="inlineStr"/>
      <c r="AD139" t="inlineStr">
        <is>
          <t>לא נמצא בסריקת המפיצים</t>
        </is>
      </c>
      <c r="AE139" t="inlineStr">
        <is>
          <t>סריקת אתרי מפיצים</t>
        </is>
      </c>
      <c r="AG139" t="inlineStr"/>
      <c r="AH139" t="inlineStr"/>
      <c r="AJ139" t="inlineStr"/>
      <c r="AP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https://atago.net</t>
        </is>
      </c>
      <c r="I140" t="inlineStr">
        <is>
          <t>clearbit</t>
        </is>
      </c>
      <c r="J140" t="inlineStr"/>
      <c r="Y140" t="inlineStr">
        <is>
          <t>unknown</t>
        </is>
      </c>
      <c r="Z140" t="inlineStr"/>
      <c r="AA140" t="inlineStr"/>
      <c r="AB140" t="inlineStr"/>
      <c r="AC140" t="inlineStr"/>
      <c r="AD140" t="inlineStr">
        <is>
          <t>לא נמצא בסריקת המפיצים</t>
        </is>
      </c>
      <c r="AE140" t="inlineStr">
        <is>
          <t>סריקת אתרי מפיצים</t>
        </is>
      </c>
      <c r="AG140" t="inlineStr"/>
      <c r="AH140" t="inlineStr"/>
      <c r="AJ140" t="inlineStr"/>
      <c r="AP140" t="inlineStr">
        <is>
          <t>https://www.dutscher.com/search?initialFilters=brand:Atago | https://www.thomassci.com/browse-by/suppliers/atago</t>
        </is>
      </c>
    </row>
    <row r="141">
      <c r="A141" t="n">
        <v>140</v>
      </c>
      <c r="B141" t="inlineStr">
        <is>
          <t>ATG® by PIP Global Safety</t>
        </is>
      </c>
      <c r="C141" t="inlineStr">
        <is>
          <t>T</t>
        </is>
      </c>
      <c r="E141" t="inlineStr">
        <is>
          <t>https://www.thomassci.com/browse-by/suppliers/atg-by-pip-global-safety</t>
        </is>
      </c>
      <c r="F141" t="inlineStr"/>
      <c r="J141" t="inlineStr"/>
      <c r="Y141" t="inlineStr">
        <is>
          <t>unknown</t>
        </is>
      </c>
      <c r="Z141" t="inlineStr"/>
      <c r="AA141" t="inlineStr"/>
      <c r="AB141" t="inlineStr"/>
      <c r="AC141" t="inlineStr"/>
      <c r="AD141" t="inlineStr">
        <is>
          <t>לא נמצא בסריקת המפיצים</t>
        </is>
      </c>
      <c r="AE141" t="inlineStr">
        <is>
          <t>סריקת אתרי מפיצים</t>
        </is>
      </c>
      <c r="AG141" t="inlineStr"/>
      <c r="AH141" t="inlineStr"/>
      <c r="AJ141" t="inlineStr"/>
      <c r="AP141" t="inlineStr">
        <is>
          <t>https://www.thomassci.com/browse-by/suppliers/atg-by-pip-global-safety</t>
        </is>
      </c>
    </row>
    <row r="142">
      <c r="A142" t="n">
        <v>141</v>
      </c>
      <c r="B142" t="inlineStr">
        <is>
          <t>Atlanta Biologicals</t>
        </is>
      </c>
      <c r="C142" t="inlineStr">
        <is>
          <t>Q</t>
        </is>
      </c>
      <c r="F142" t="inlineStr">
        <is>
          <t>yes</t>
        </is>
      </c>
      <c r="J142" t="inlineStr"/>
      <c r="Y142" t="inlineStr">
        <is>
          <t>unknown</t>
        </is>
      </c>
      <c r="Z142" t="inlineStr"/>
      <c r="AA142" t="inlineStr"/>
      <c r="AB142" t="inlineStr"/>
      <c r="AC142" t="inlineStr"/>
      <c r="AD142" t="inlineStr">
        <is>
          <t>לא נמצא בסריקת המפיצים</t>
        </is>
      </c>
      <c r="AE142" t="inlineStr">
        <is>
          <t>סריקת אתרי מפיצים</t>
        </is>
      </c>
      <c r="AG142" t="inlineStr"/>
      <c r="AH142" t="inlineStr"/>
      <c r="AJ142" t="inlineStr"/>
      <c r="AP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t>
        </is>
      </c>
      <c r="J143" t="inlineStr"/>
      <c r="O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Y143" t="inlineStr">
        <is>
          <t>unknown</t>
        </is>
      </c>
      <c r="Z143" t="inlineStr"/>
      <c r="AA143" t="inlineStr"/>
      <c r="AB143" t="inlineStr"/>
      <c r="AC143" t="inlineStr"/>
      <c r="AD143" t="inlineStr">
        <is>
          <t>לא נמצא בסריקת המפיצים</t>
        </is>
      </c>
      <c r="AE143" t="inlineStr">
        <is>
          <t>סריקת אתרי מפיצים</t>
        </is>
      </c>
      <c r="AG143" t="inlineStr"/>
      <c r="AH143" t="inlineStr"/>
      <c r="AJ143" t="inlineStr"/>
      <c r="AP143" t="inlineStr">
        <is>
          <t>https://www.quartzy.com/suppliers | https://info.quartzy.com/new-suppliers | https://www.thomassci.com/browse-by/suppliers/atlas-antibodies</t>
        </is>
      </c>
    </row>
    <row r="144">
      <c r="A144" t="n">
        <v>143</v>
      </c>
      <c r="B144" t="inlineStr">
        <is>
          <t>Atlas Biologicals</t>
        </is>
      </c>
      <c r="C144" t="inlineStr">
        <is>
          <t>Q</t>
        </is>
      </c>
      <c r="F144" t="inlineStr">
        <is>
          <t>yes</t>
        </is>
      </c>
      <c r="H144" t="inlineStr">
        <is>
          <t>https://atlasbio.com</t>
        </is>
      </c>
      <c r="I144" t="inlineStr">
        <is>
          <t>clearbit</t>
        </is>
      </c>
      <c r="J144" t="inlineStr"/>
      <c r="Y144" t="inlineStr">
        <is>
          <t>unknown</t>
        </is>
      </c>
      <c r="Z144" t="inlineStr"/>
      <c r="AA144" t="inlineStr"/>
      <c r="AB144" t="inlineStr"/>
      <c r="AC144" t="inlineStr"/>
      <c r="AD144" t="inlineStr">
        <is>
          <t>לא נמצא בסריקת המפיצים</t>
        </is>
      </c>
      <c r="AE144" t="inlineStr">
        <is>
          <t>סריקת אתרי מפיצים</t>
        </is>
      </c>
      <c r="AG144" t="inlineStr"/>
      <c r="AH144" t="inlineStr"/>
      <c r="AJ144" t="inlineStr"/>
      <c r="AP144" t="inlineStr">
        <is>
          <t>https://www.quartzy.com/suppliers</t>
        </is>
      </c>
    </row>
    <row r="145">
      <c r="A145" t="n">
        <v>144</v>
      </c>
      <c r="B145" t="inlineStr">
        <is>
          <t>Avanti Polar Lipids</t>
        </is>
      </c>
      <c r="C145" t="inlineStr">
        <is>
          <t>Q</t>
        </is>
      </c>
      <c r="F145" t="inlineStr">
        <is>
          <t>yes</t>
        </is>
      </c>
      <c r="H145" t="inlineStr">
        <is>
          <t>https://avantilipids.com</t>
        </is>
      </c>
      <c r="I145" t="inlineStr">
        <is>
          <t>clearbit</t>
        </is>
      </c>
      <c r="J145" t="inlineStr"/>
      <c r="Y145" t="inlineStr">
        <is>
          <t>unknown</t>
        </is>
      </c>
      <c r="Z145" t="inlineStr"/>
      <c r="AA145" t="inlineStr"/>
      <c r="AB145" t="inlineStr"/>
      <c r="AC145" t="inlineStr"/>
      <c r="AD145" t="inlineStr">
        <is>
          <t>לא נמצא בסריקת המפיצים</t>
        </is>
      </c>
      <c r="AE145" t="inlineStr">
        <is>
          <t>סריקת אתרי מפיצים</t>
        </is>
      </c>
      <c r="AG145" t="inlineStr"/>
      <c r="AH145" t="inlineStr"/>
      <c r="AJ145" t="inlineStr"/>
      <c r="AP145" t="inlineStr">
        <is>
          <t>https://www.quartzy.com/suppliers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prior</t>
        </is>
      </c>
      <c r="J146" t="inlineStr">
        <is>
          <t>ארה"ב</t>
        </is>
      </c>
      <c r="K146" t="inlineStr">
        <is>
          <t>Radnor, Pennsylvania</t>
        </is>
      </c>
      <c r="M146" t="n">
        <v>1904</v>
      </c>
      <c r="N146" t="inlineStr">
        <is>
          <t>Lab distribution &amp; own-brand products</t>
        </is>
      </c>
      <c r="P146" t="n">
        <v>13500</v>
      </c>
      <c r="Q146" t="n">
        <v>2025</v>
      </c>
      <c r="R146" t="inlineStr">
        <is>
          <t>company</t>
        </is>
      </c>
      <c r="S146" t="inlineStr">
        <is>
          <t>prior</t>
        </is>
      </c>
      <c r="T146" t="n">
        <v>6552</v>
      </c>
      <c r="U146" t="inlineStr">
        <is>
          <t>USD 6.55 billion</t>
        </is>
      </c>
      <c r="V146" t="inlineStr">
        <is>
          <t>FY2025</t>
        </is>
      </c>
      <c r="W146" t="inlineStr">
        <is>
          <t>company</t>
        </is>
      </c>
      <c r="X146" t="inlineStr">
        <is>
          <t>prior</t>
        </is>
      </c>
      <c r="Y146" t="inlineStr">
        <is>
          <t>reported</t>
        </is>
      </c>
      <c r="Z146" t="inlineStr">
        <is>
          <t>VWR-brand consumables and lab supplies</t>
        </is>
      </c>
      <c r="AA146" t="inlineStr">
        <is>
          <t>J.T.Baker chemicals</t>
        </is>
      </c>
      <c r="AB146" t="inlineStr">
        <is>
          <t>NuSil silicones</t>
        </is>
      </c>
      <c r="AC146" t="inlineStr">
        <is>
          <t>prior</t>
        </is>
      </c>
      <c r="AD146" t="inlineStr">
        <is>
          <t>לא נמצא ערוץ ישראלי</t>
        </is>
      </c>
      <c r="AE146" t="inlineStr">
        <is>
          <t>חיפוש חלקי</t>
        </is>
      </c>
      <c r="AG146" t="inlineStr"/>
      <c r="AH146" t="inlineStr"/>
      <c r="AI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6" t="inlineStr">
        <is>
          <t>+1 610 386 1700</t>
        </is>
      </c>
      <c r="AL146" t="inlineStr">
        <is>
          <t>One Radnor Corporate Center, Building One, Suite 200, 100 Matsonford Road, Radnor, PA 19087, USA</t>
        </is>
      </c>
      <c r="AM146" t="inlineStr">
        <is>
          <t>https://corporate.avantorsciences.com/us/en/contact</t>
        </is>
      </c>
      <c r="AN146" t="inlineStr">
        <is>
          <t>https://corporate.avantorsciences.com/us/en/contact</t>
        </is>
      </c>
      <c r="AP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prior</t>
        </is>
      </c>
      <c r="J147" t="inlineStr">
        <is>
          <t>ארה"ב</t>
        </is>
      </c>
      <c r="K147" t="inlineStr">
        <is>
          <t>Radnor, Pennsylvania</t>
        </is>
      </c>
      <c r="M147" t="n">
        <v>1904</v>
      </c>
      <c r="N147" t="inlineStr">
        <is>
          <t>Lab distribution &amp; own-brand products</t>
        </is>
      </c>
      <c r="P147" t="n">
        <v>13500</v>
      </c>
      <c r="Q147" t="n">
        <v>2025</v>
      </c>
      <c r="R147" t="inlineStr">
        <is>
          <t>company</t>
        </is>
      </c>
      <c r="S147" t="inlineStr">
        <is>
          <t>prior</t>
        </is>
      </c>
      <c r="T147" t="n">
        <v>6552</v>
      </c>
      <c r="U147" t="inlineStr">
        <is>
          <t>USD 6.55 billion</t>
        </is>
      </c>
      <c r="V147" t="inlineStr">
        <is>
          <t>FY2025</t>
        </is>
      </c>
      <c r="W147" t="inlineStr">
        <is>
          <t>company</t>
        </is>
      </c>
      <c r="X147" t="inlineStr">
        <is>
          <t>prior</t>
        </is>
      </c>
      <c r="Y147" t="inlineStr">
        <is>
          <t>reported</t>
        </is>
      </c>
      <c r="Z147" t="inlineStr">
        <is>
          <t>VWR-brand consumables and lab supplies</t>
        </is>
      </c>
      <c r="AA147" t="inlineStr">
        <is>
          <t>J.T.Baker chemicals</t>
        </is>
      </c>
      <c r="AB147" t="inlineStr">
        <is>
          <t>NuSil silicones</t>
        </is>
      </c>
      <c r="AC147" t="inlineStr">
        <is>
          <t>prior</t>
        </is>
      </c>
      <c r="AD147" t="inlineStr">
        <is>
          <t>לא נמצא ערוץ ישראלי</t>
        </is>
      </c>
      <c r="AE147" t="inlineStr">
        <is>
          <t>חיפוש חלקי</t>
        </is>
      </c>
      <c r="AG147" t="inlineStr"/>
      <c r="AH147" t="inlineStr"/>
      <c r="AI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7" t="inlineStr">
        <is>
          <t>+1 610 386 1700</t>
        </is>
      </c>
      <c r="AL147" t="inlineStr">
        <is>
          <t>One Radnor Corporate Center, Building One, Suite 200, 100 Matsonford Road, Radnor, PA 19087, USA</t>
        </is>
      </c>
      <c r="AM147" t="inlineStr">
        <is>
          <t>https://corporate.avantorsciences.com/us/en/contact</t>
        </is>
      </c>
      <c r="AN147" t="inlineStr">
        <is>
          <t>https://corporate.avantorsciences.com/us/en/contact</t>
        </is>
      </c>
      <c r="AP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t>
        </is>
      </c>
      <c r="J148" t="inlineStr"/>
      <c r="Y148" t="inlineStr">
        <is>
          <t>unknown</t>
        </is>
      </c>
      <c r="Z148" t="inlineStr"/>
      <c r="AA148" t="inlineStr"/>
      <c r="AB148" t="inlineStr"/>
      <c r="AC148" t="inlineStr"/>
      <c r="AD148" t="inlineStr">
        <is>
          <t>לא נמצא בסריקת המפיצים</t>
        </is>
      </c>
      <c r="AE148" t="inlineStr">
        <is>
          <t>סריקת אתרי מפיצים</t>
        </is>
      </c>
      <c r="AG148" t="inlineStr"/>
      <c r="AH148" t="inlineStr"/>
      <c r="AJ148" t="inlineStr"/>
      <c r="AP148" t="inlineStr">
        <is>
          <t>https://www.dutscher.com/search?initialFilters=brand:Avidity+Science | https://www.thomassci.com/browse-by/suppliers/avidity-science</t>
        </is>
      </c>
    </row>
    <row r="149">
      <c r="A149" t="n">
        <v>148</v>
      </c>
      <c r="B149" t="inlineStr">
        <is>
          <t>Aviva Systems Biology</t>
        </is>
      </c>
      <c r="C149" t="inlineStr">
        <is>
          <t>Q</t>
        </is>
      </c>
      <c r="F149" t="inlineStr">
        <is>
          <t>yes</t>
        </is>
      </c>
      <c r="H149" t="inlineStr">
        <is>
          <t>https://avivasysbio.com</t>
        </is>
      </c>
      <c r="I149" t="inlineStr">
        <is>
          <t>clearbit</t>
        </is>
      </c>
      <c r="J149" t="inlineStr"/>
      <c r="Y149" t="inlineStr">
        <is>
          <t>unknown</t>
        </is>
      </c>
      <c r="Z149" t="inlineStr"/>
      <c r="AA149" t="inlineStr"/>
      <c r="AB149" t="inlineStr"/>
      <c r="AC149" t="inlineStr"/>
      <c r="AD149" t="inlineStr">
        <is>
          <t>לא נמצא בסריקת המפיצים</t>
        </is>
      </c>
      <c r="AE149" t="inlineStr">
        <is>
          <t>סריקת אתרי מפיצים</t>
        </is>
      </c>
      <c r="AG149" t="inlineStr"/>
      <c r="AH149" t="inlineStr"/>
      <c r="AJ149" t="inlineStr"/>
      <c r="AP149" t="inlineStr">
        <is>
          <t>https://www.quartzy.com/suppliers</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P150" t="n">
        <v>2700</v>
      </c>
      <c r="Q150" t="n">
        <v>2025</v>
      </c>
      <c r="R150" t="inlineStr">
        <is>
          <t>estimate</t>
        </is>
      </c>
      <c r="S150" t="inlineStr">
        <is>
          <t>prior</t>
        </is>
      </c>
      <c r="T150" t="n">
        <v>594</v>
      </c>
      <c r="U150" t="inlineStr">
        <is>
          <t>USD 594 million</t>
        </is>
      </c>
      <c r="V150" t="inlineStr">
        <is>
          <t>FY2025 (ended 30-Sep-2025)</t>
        </is>
      </c>
      <c r="W150" t="inlineStr">
        <is>
          <t>company</t>
        </is>
      </c>
      <c r="X150" t="inlineStr">
        <is>
          <t>prior</t>
        </is>
      </c>
      <c r="Y150" t="inlineStr">
        <is>
          <t>mixed</t>
        </is>
      </c>
      <c r="Z150" t="inlineStr">
        <is>
          <t>BioStore III Cryo</t>
        </is>
      </c>
      <c r="AA150" t="inlineStr">
        <is>
          <t>FluidX / Ziath tubes and readers</t>
        </is>
      </c>
      <c r="AB150" t="inlineStr">
        <is>
          <t>GENEWIZ services</t>
        </is>
      </c>
      <c r="AC150" t="inlineStr">
        <is>
          <t>prior</t>
        </is>
      </c>
      <c r="AD150" t="inlineStr">
        <is>
          <t>מפיץ/נציג בישראל</t>
        </is>
      </c>
      <c r="AE150" t="inlineStr">
        <is>
          <t>אומת</t>
        </is>
      </c>
      <c r="AF150" t="n">
        <v>2026</v>
      </c>
      <c r="AG150" t="inlineStr">
        <is>
          <t>HyLabs (Hy Laboratories Ltd.); Tamar Laboratory Supplies Ltd.</t>
        </is>
      </c>
      <c r="AH150" t="inlineStr">
        <is>
          <t>HyLabs (Hy Laboratories Ltd.): +972-8-936-6475; Tamar Laboratory Supplies Ltd.: +972 2-533-6070 (also 02-579-9777)</t>
        </is>
      </c>
      <c r="AI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0" t="inlineStr">
        <is>
          <t>+1 888-229-3682</t>
        </is>
      </c>
      <c r="AL150" t="inlineStr">
        <is>
          <t>200 Summit Drive, Burlington, MA 01803, USA</t>
        </is>
      </c>
      <c r="AN150" t="inlineStr">
        <is>
          <t>https://www.azenta.com/global-locations</t>
        </is>
      </c>
      <c r="AP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P151" t="n">
        <v>2700</v>
      </c>
      <c r="Q151" t="n">
        <v>2025</v>
      </c>
      <c r="R151" t="inlineStr">
        <is>
          <t>estimate</t>
        </is>
      </c>
      <c r="S151" t="inlineStr">
        <is>
          <t>prior</t>
        </is>
      </c>
      <c r="T151" t="n">
        <v>594</v>
      </c>
      <c r="U151" t="inlineStr">
        <is>
          <t>USD 594 million</t>
        </is>
      </c>
      <c r="V151" t="inlineStr">
        <is>
          <t>FY2025 (ended 30-Sep-2025)</t>
        </is>
      </c>
      <c r="W151" t="inlineStr">
        <is>
          <t>company</t>
        </is>
      </c>
      <c r="X151" t="inlineStr">
        <is>
          <t>prior</t>
        </is>
      </c>
      <c r="Y151" t="inlineStr">
        <is>
          <t>mixed</t>
        </is>
      </c>
      <c r="Z151" t="inlineStr">
        <is>
          <t>BioStore III Cryo</t>
        </is>
      </c>
      <c r="AA151" t="inlineStr">
        <is>
          <t>FluidX / Ziath tubes and readers</t>
        </is>
      </c>
      <c r="AB151" t="inlineStr">
        <is>
          <t>GENEWIZ services</t>
        </is>
      </c>
      <c r="AC151" t="inlineStr">
        <is>
          <t>prior</t>
        </is>
      </c>
      <c r="AD151" t="inlineStr">
        <is>
          <t>מפיץ/נציג בישראל</t>
        </is>
      </c>
      <c r="AE151" t="inlineStr">
        <is>
          <t>אומת</t>
        </is>
      </c>
      <c r="AF151" t="n">
        <v>2026</v>
      </c>
      <c r="AG151" t="inlineStr">
        <is>
          <t>HyLabs (Hy Laboratories Ltd.); Tamar Laboratory Supplies Ltd.</t>
        </is>
      </c>
      <c r="AH151" t="inlineStr">
        <is>
          <t>HyLabs (Hy Laboratories Ltd.): +972-8-936-6475; Tamar Laboratory Supplies Ltd.: +972 2-533-6070 (also 02-579-9777)</t>
        </is>
      </c>
      <c r="AI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1" t="inlineStr">
        <is>
          <t>+1 888-229-3682</t>
        </is>
      </c>
      <c r="AL151" t="inlineStr">
        <is>
          <t>200 Summit Drive, Burlington, MA 01803, USA</t>
        </is>
      </c>
      <c r="AN151" t="inlineStr">
        <is>
          <t>https://www.azenta.com/global-locations</t>
        </is>
      </c>
      <c r="AP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Y152" t="inlineStr">
        <is>
          <t>unknown</t>
        </is>
      </c>
      <c r="Z152" t="inlineStr"/>
      <c r="AA152" t="inlineStr"/>
      <c r="AB152" t="inlineStr"/>
      <c r="AC152" t="inlineStr"/>
      <c r="AD152" t="inlineStr">
        <is>
          <t>לא נמצא בסריקת המפיצים</t>
        </is>
      </c>
      <c r="AE152" t="inlineStr">
        <is>
          <t>סריקת אתרי מפיצים</t>
        </is>
      </c>
      <c r="AG152" t="inlineStr"/>
      <c r="AH152" t="inlineStr"/>
      <c r="AJ152" t="inlineStr"/>
      <c r="AP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Y153" t="inlineStr">
        <is>
          <t>unknown</t>
        </is>
      </c>
      <c r="Z153" t="inlineStr"/>
      <c r="AA153" t="inlineStr"/>
      <c r="AB153" t="inlineStr"/>
      <c r="AC153" t="inlineStr"/>
      <c r="AD153" t="inlineStr">
        <is>
          <t>לא נמצא בסריקת המפיצים</t>
        </is>
      </c>
      <c r="AE153" t="inlineStr">
        <is>
          <t>סריקת אתרי מפיצים</t>
        </is>
      </c>
      <c r="AG153" t="inlineStr"/>
      <c r="AH153" t="inlineStr"/>
      <c r="AJ153" t="inlineStr"/>
      <c r="AP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t>
        </is>
      </c>
      <c r="J154" t="inlineStr"/>
      <c r="Y154" t="inlineStr">
        <is>
          <t>unknown</t>
        </is>
      </c>
      <c r="Z154" t="inlineStr"/>
      <c r="AA154" t="inlineStr"/>
      <c r="AB154" t="inlineStr"/>
      <c r="AC154" t="inlineStr"/>
      <c r="AD154" t="inlineStr">
        <is>
          <t>לא נמצא בסריקת המפיצים</t>
        </is>
      </c>
      <c r="AE154" t="inlineStr">
        <is>
          <t>סריקת אתרי מפיצים</t>
        </is>
      </c>
      <c r="AG154" t="inlineStr"/>
      <c r="AH154" t="inlineStr"/>
      <c r="AJ154" t="inlineStr"/>
      <c r="AP154" t="inlineStr">
        <is>
          <t>https://www.quartzy.com/suppliers | https://www.thomassci.com/browse-by/suppliers/azura-genomics</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t>
        </is>
      </c>
      <c r="J155" t="inlineStr"/>
      <c r="Y155" t="inlineStr">
        <is>
          <t>unknown</t>
        </is>
      </c>
      <c r="Z155" t="inlineStr"/>
      <c r="AA155" t="inlineStr"/>
      <c r="AB155" t="inlineStr"/>
      <c r="AC155" t="inlineStr"/>
      <c r="AD155" t="inlineStr">
        <is>
          <t>לא נמצא בסריקת המפיצים</t>
        </is>
      </c>
      <c r="AE155" t="inlineStr">
        <is>
          <t>סריקת אתרי מפיצים</t>
        </is>
      </c>
      <c r="AG155" t="inlineStr"/>
      <c r="AH155" t="inlineStr"/>
      <c r="AJ155" t="inlineStr"/>
      <c r="AP155" t="inlineStr">
        <is>
          <t>https://www.thomassci.com/browse-by/suppliers/azure-biosystems</t>
        </is>
      </c>
    </row>
    <row r="156">
      <c r="A156" t="n">
        <v>155</v>
      </c>
      <c r="B156" t="inlineStr">
        <is>
          <t>Bürkle</t>
        </is>
      </c>
      <c r="C156" t="inlineStr">
        <is>
          <t>T</t>
        </is>
      </c>
      <c r="E156" t="inlineStr">
        <is>
          <t>https://www.thomassci.com/browse-by/suppliers/burkle</t>
        </is>
      </c>
      <c r="F156" t="inlineStr"/>
      <c r="H156" t="inlineStr">
        <is>
          <t>https://buerkle.de</t>
        </is>
      </c>
      <c r="I156" t="inlineStr">
        <is>
          <t>clearbit</t>
        </is>
      </c>
      <c r="J156" t="inlineStr"/>
      <c r="Y156" t="inlineStr">
        <is>
          <t>unknown</t>
        </is>
      </c>
      <c r="Z156" t="inlineStr"/>
      <c r="AA156" t="inlineStr"/>
      <c r="AB156" t="inlineStr"/>
      <c r="AC156" t="inlineStr"/>
      <c r="AD156" t="inlineStr">
        <is>
          <t>לא נמצא בסריקת המפיצים</t>
        </is>
      </c>
      <c r="AE156" t="inlineStr">
        <is>
          <t>סריקת אתרי מפיצים</t>
        </is>
      </c>
      <c r="AG156" t="inlineStr"/>
      <c r="AH156" t="inlineStr"/>
      <c r="AJ156" t="inlineStr"/>
      <c r="AP156" t="inlineStr">
        <is>
          <t>https://www.thomassci.com/browse-by/suppliers/burkle</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Y157" t="inlineStr">
        <is>
          <t>unknown</t>
        </is>
      </c>
      <c r="Z157" t="inlineStr"/>
      <c r="AA157" t="inlineStr"/>
      <c r="AB157" t="inlineStr"/>
      <c r="AC157" t="inlineStr"/>
      <c r="AD157" t="inlineStr">
        <is>
          <t>לא נמצא בסריקת המפיצים</t>
        </is>
      </c>
      <c r="AE157" t="inlineStr">
        <is>
          <t>סריקת אתרי מפיצים</t>
        </is>
      </c>
      <c r="AG157" t="inlineStr"/>
      <c r="AH157" t="inlineStr"/>
      <c r="AJ157" t="inlineStr"/>
      <c r="AP157" t="inlineStr">
        <is>
          <t>https://www.thomassci.com/browse-by/suppliers/bacharach</t>
        </is>
      </c>
    </row>
    <row r="158">
      <c r="A158" t="n">
        <v>157</v>
      </c>
      <c r="B158" t="inlineStr">
        <is>
          <t>Bachem</t>
        </is>
      </c>
      <c r="C158" t="inlineStr">
        <is>
          <t>Q</t>
        </is>
      </c>
      <c r="F158" t="inlineStr">
        <is>
          <t>yes</t>
        </is>
      </c>
      <c r="H158" t="inlineStr">
        <is>
          <t>https://bachem.com</t>
        </is>
      </c>
      <c r="I158" t="inlineStr">
        <is>
          <t>clearbit</t>
        </is>
      </c>
      <c r="J158" t="inlineStr"/>
      <c r="Y158" t="inlineStr">
        <is>
          <t>unknown</t>
        </is>
      </c>
      <c r="Z158" t="inlineStr"/>
      <c r="AA158" t="inlineStr"/>
      <c r="AB158" t="inlineStr"/>
      <c r="AC158" t="inlineStr"/>
      <c r="AD158" t="inlineStr">
        <is>
          <t>לא נמצא בסריקת המפיצים</t>
        </is>
      </c>
      <c r="AE158" t="inlineStr">
        <is>
          <t>סריקת אתרי מפיצים</t>
        </is>
      </c>
      <c r="AG158" t="inlineStr"/>
      <c r="AH158" t="inlineStr"/>
      <c r="AJ158" t="inlineStr"/>
      <c r="AP158" t="inlineStr">
        <is>
          <t>https://www.quartzy.com/suppliers</t>
        </is>
      </c>
    </row>
    <row r="159">
      <c r="A159" t="n">
        <v>158</v>
      </c>
      <c r="B159" t="inlineStr">
        <is>
          <t>BACtrack</t>
        </is>
      </c>
      <c r="C159" t="inlineStr">
        <is>
          <t>T</t>
        </is>
      </c>
      <c r="E159" t="inlineStr">
        <is>
          <t>https://www.thomassci.com/browse-by/suppliers/bactrack</t>
        </is>
      </c>
      <c r="F159" t="inlineStr"/>
      <c r="H159" t="inlineStr">
        <is>
          <t>https://bactrack.com</t>
        </is>
      </c>
      <c r="I159" t="inlineStr">
        <is>
          <t>clearbit</t>
        </is>
      </c>
      <c r="J159" t="inlineStr"/>
      <c r="Y159" t="inlineStr">
        <is>
          <t>unknown</t>
        </is>
      </c>
      <c r="Z159" t="inlineStr"/>
      <c r="AA159" t="inlineStr"/>
      <c r="AB159" t="inlineStr"/>
      <c r="AC159" t="inlineStr"/>
      <c r="AD159" t="inlineStr">
        <is>
          <t>לא נמצא בסריקת המפיצים</t>
        </is>
      </c>
      <c r="AE159" t="inlineStr">
        <is>
          <t>סריקת אתרי מפיצים</t>
        </is>
      </c>
      <c r="AG159" t="inlineStr"/>
      <c r="AH159" t="inlineStr"/>
      <c r="AJ159" t="inlineStr"/>
      <c r="AP159" t="inlineStr">
        <is>
          <t>https://www.thomassci.com/browse-by/suppliers/bactrack</t>
        </is>
      </c>
    </row>
    <row r="160">
      <c r="A160" t="n">
        <v>159</v>
      </c>
      <c r="B160" t="inlineStr">
        <is>
          <t>Bal Supply</t>
        </is>
      </c>
      <c r="C160" t="inlineStr">
        <is>
          <t>T+Q</t>
        </is>
      </c>
      <c r="E160" t="inlineStr">
        <is>
          <t>https://www.thomassci.com/browse-by/suppliers/bal-supply</t>
        </is>
      </c>
      <c r="F160" t="inlineStr">
        <is>
          <t>yes</t>
        </is>
      </c>
      <c r="J160" t="inlineStr"/>
      <c r="Y160" t="inlineStr">
        <is>
          <t>unknown</t>
        </is>
      </c>
      <c r="Z160" t="inlineStr"/>
      <c r="AA160" t="inlineStr"/>
      <c r="AB160" t="inlineStr"/>
      <c r="AC160" t="inlineStr"/>
      <c r="AD160" t="inlineStr">
        <is>
          <t>לא נמצא בסריקת המפיצים</t>
        </is>
      </c>
      <c r="AE160" t="inlineStr">
        <is>
          <t>סריקת אתרי מפיצים</t>
        </is>
      </c>
      <c r="AG160" t="inlineStr"/>
      <c r="AH160" t="inlineStr"/>
      <c r="AJ160" t="inlineStr"/>
      <c r="AP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Y161" t="inlineStr">
        <is>
          <t>unknown</t>
        </is>
      </c>
      <c r="Z161" t="inlineStr"/>
      <c r="AA161" t="inlineStr"/>
      <c r="AB161" t="inlineStr"/>
      <c r="AC161" t="inlineStr"/>
      <c r="AD161" t="inlineStr">
        <is>
          <t>לא נמצא בסריקת המפיצים</t>
        </is>
      </c>
      <c r="AE161" t="inlineStr">
        <is>
          <t>סריקת אתרי מפיצים</t>
        </is>
      </c>
      <c r="AG161" t="inlineStr"/>
      <c r="AH161" t="inlineStr"/>
      <c r="AJ161" t="inlineStr"/>
      <c r="AP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t>
        </is>
      </c>
      <c r="J162" t="inlineStr"/>
      <c r="Y162" t="inlineStr">
        <is>
          <t>unknown</t>
        </is>
      </c>
      <c r="Z162" t="inlineStr"/>
      <c r="AA162" t="inlineStr"/>
      <c r="AB162" t="inlineStr"/>
      <c r="AC162" t="inlineStr"/>
      <c r="AD162" t="inlineStr">
        <is>
          <t>לא נמצא בסריקת המפיצים</t>
        </is>
      </c>
      <c r="AE162" t="inlineStr">
        <is>
          <t>סריקת אתרי מפיצים</t>
        </is>
      </c>
      <c r="AG162" t="inlineStr"/>
      <c r="AH162" t="inlineStr"/>
      <c r="AJ162" t="inlineStr"/>
      <c r="AP162" t="inlineStr">
        <is>
          <t>https://www.thomassci.com/browse-by/suppliers/batteries-plus</t>
        </is>
      </c>
    </row>
    <row r="163">
      <c r="A163" t="n">
        <v>162</v>
      </c>
      <c r="B163" t="inlineStr">
        <is>
          <t>Bausch &amp; Lomb</t>
        </is>
      </c>
      <c r="C163" t="inlineStr">
        <is>
          <t>T</t>
        </is>
      </c>
      <c r="E163" t="inlineStr">
        <is>
          <t>https://www.thomassci.com/browse-by/suppliers/bausch-and-lomb</t>
        </is>
      </c>
      <c r="F163" t="inlineStr"/>
      <c r="H163" t="inlineStr">
        <is>
          <t>https://bauschrewards.com</t>
        </is>
      </c>
      <c r="I163" t="inlineStr">
        <is>
          <t>clearbit</t>
        </is>
      </c>
      <c r="J163" t="inlineStr"/>
      <c r="Y163" t="inlineStr">
        <is>
          <t>unknown</t>
        </is>
      </c>
      <c r="Z163" t="inlineStr"/>
      <c r="AA163" t="inlineStr"/>
      <c r="AB163" t="inlineStr"/>
      <c r="AC163" t="inlineStr"/>
      <c r="AD163" t="inlineStr">
        <is>
          <t>לא נמצא בסריקת המפיצים</t>
        </is>
      </c>
      <c r="AE163" t="inlineStr">
        <is>
          <t>סריקת אתרי מפיצים</t>
        </is>
      </c>
      <c r="AG163" t="inlineStr"/>
      <c r="AH163" t="inlineStr"/>
      <c r="AJ163" t="inlineStr"/>
      <c r="AP163" t="inlineStr">
        <is>
          <t>https://www.thomassci.com/browse-by/suppliers/bausch-and-lomb</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t>
        </is>
      </c>
      <c r="J164" t="inlineStr"/>
      <c r="Y164" t="inlineStr">
        <is>
          <t>unknown</t>
        </is>
      </c>
      <c r="Z164" t="inlineStr"/>
      <c r="AA164" t="inlineStr"/>
      <c r="AB164" t="inlineStr"/>
      <c r="AC164" t="inlineStr"/>
      <c r="AD164" t="inlineStr">
        <is>
          <t>לא נמצא בסריקת המפיצים</t>
        </is>
      </c>
      <c r="AE164" t="inlineStr">
        <is>
          <t>סריקת אתרי מפיצים</t>
        </is>
      </c>
      <c r="AG164" t="inlineStr"/>
      <c r="AH164" t="inlineStr"/>
      <c r="AJ164" t="inlineStr"/>
      <c r="AP164" t="inlineStr">
        <is>
          <t>https://www.dutscher.com/search?initialFilters=brand:Bbraun</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Y165" t="inlineStr">
        <is>
          <t>unknown</t>
        </is>
      </c>
      <c r="Z165" t="inlineStr"/>
      <c r="AA165" t="inlineStr"/>
      <c r="AB165" t="inlineStr"/>
      <c r="AC165" t="inlineStr"/>
      <c r="AD165" t="inlineStr">
        <is>
          <t>לא נמצא בסריקת המפיצים</t>
        </is>
      </c>
      <c r="AE165" t="inlineStr">
        <is>
          <t>סריקת אתרי מפיצים</t>
        </is>
      </c>
      <c r="AG165" t="inlineStr"/>
      <c r="AH165" t="inlineStr"/>
      <c r="AJ165" t="inlineStr"/>
      <c r="AP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P166" t="n">
        <v>8000</v>
      </c>
      <c r="Q166" t="n">
        <v>2025</v>
      </c>
      <c r="R166" t="inlineStr">
        <is>
          <t>estimate</t>
        </is>
      </c>
      <c r="S166" t="inlineStr">
        <is>
          <t>prior</t>
        </is>
      </c>
      <c r="T166" t="n">
        <v>3400</v>
      </c>
      <c r="U166" t="inlineStr">
        <is>
          <t>USD 3.4 billion</t>
        </is>
      </c>
      <c r="V166" t="inlineStr">
        <is>
          <t>CY2025E (basis used in the Jul-2025 deal announcement)</t>
        </is>
      </c>
      <c r="W166" t="inlineStr">
        <is>
          <t>segment</t>
        </is>
      </c>
      <c r="X166" t="inlineStr">
        <is>
          <t>prior</t>
        </is>
      </c>
      <c r="Y166" t="inlineStr">
        <is>
          <t>reported</t>
        </is>
      </c>
      <c r="Z166" t="inlineStr">
        <is>
          <t>BD FACSDiscover S8</t>
        </is>
      </c>
      <c r="AA166" t="inlineStr">
        <is>
          <t>BD FACSymphony A5 SE / A1</t>
        </is>
      </c>
      <c r="AB166" t="inlineStr">
        <is>
          <t>BD BACTEC FX, BD MAX, BD Phoenix</t>
        </is>
      </c>
      <c r="AC166" t="inlineStr">
        <is>
          <t>prior</t>
        </is>
      </c>
      <c r="AD166" t="inlineStr">
        <is>
          <t>חברה-בת בישראל</t>
        </is>
      </c>
      <c r="AE166" t="inlineStr">
        <is>
          <t>אומת</t>
        </is>
      </c>
      <c r="AF166" t="n">
        <v>2026</v>
      </c>
      <c r="AG166" t="inlineStr">
        <is>
          <t>Augusta Life Sciences Israel Ltd. (Waters subsidiary, ex-BD Biosciences &amp; Diagnostic Solutions); BD Israel (Becton Dickinson); Lapidot Group (Lapidot Medical)</t>
        </is>
      </c>
      <c r="AH166" t="inlineStr">
        <is>
          <t>Augusta Life Sciences Israel Ltd. (Waters subsidiary, ex-BD Biosciences &amp; Diagnostic Solutions):; BD Israel (Becton Dickinson):; Lapidot Group (Lapidot Medical): +972-4-6309630 / +972-74-7797836 customerservice@lapidot.com</t>
        </is>
      </c>
      <c r="AI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J166" t="inlineStr"/>
      <c r="AK166" t="inlineStr">
        <is>
          <t>BDBIsrael@bd.com</t>
        </is>
      </c>
      <c r="AL166" t="inlineStr">
        <is>
          <t>Harduf HaNehalim St. 2, Caesarea, Israel</t>
        </is>
      </c>
      <c r="AN166" t="inlineStr">
        <is>
          <t>https://pharmchoices.com/list-of-medical-device-companies-in-israel-2/2/</t>
        </is>
      </c>
      <c r="AP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Y167" t="inlineStr">
        <is>
          <t>unknown</t>
        </is>
      </c>
      <c r="Z167" t="inlineStr"/>
      <c r="AA167" t="inlineStr"/>
      <c r="AB167" t="inlineStr"/>
      <c r="AC167" t="inlineStr"/>
      <c r="AD167" t="inlineStr">
        <is>
          <t>לא נמצא בסריקת המפיצים</t>
        </is>
      </c>
      <c r="AE167" t="inlineStr">
        <is>
          <t>סריקת אתרי מפיצים</t>
        </is>
      </c>
      <c r="AG167" t="inlineStr"/>
      <c r="AH167" t="inlineStr"/>
      <c r="AJ167" t="inlineStr"/>
      <c r="AP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Y168" t="inlineStr">
        <is>
          <t>unknown</t>
        </is>
      </c>
      <c r="Z168" t="inlineStr"/>
      <c r="AA168" t="inlineStr"/>
      <c r="AB168" t="inlineStr"/>
      <c r="AC168" t="inlineStr"/>
      <c r="AD168" t="inlineStr">
        <is>
          <t>לא נמצא בסריקת המפיצים</t>
        </is>
      </c>
      <c r="AE168" t="inlineStr">
        <is>
          <t>סריקת אתרי מפיצים</t>
        </is>
      </c>
      <c r="AG168" t="inlineStr"/>
      <c r="AH168" t="inlineStr"/>
      <c r="AJ168" t="inlineStr"/>
      <c r="AP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P169" t="n">
        <v>12000</v>
      </c>
      <c r="Q169" t="n">
        <v>2025</v>
      </c>
      <c r="R169" t="inlineStr">
        <is>
          <t>estimate</t>
        </is>
      </c>
      <c r="S169" t="inlineStr">
        <is>
          <t>prior</t>
        </is>
      </c>
      <c r="T169" t="n">
        <v>9900</v>
      </c>
      <c r="U169" t="inlineStr">
        <is>
          <t>USD ~9.9 billion (Danaher Diagnostics segment, FY2025)</t>
        </is>
      </c>
      <c r="V169" t="inlineStr">
        <is>
          <t>FY2025</t>
        </is>
      </c>
      <c r="W169" t="inlineStr">
        <is>
          <t>segment</t>
        </is>
      </c>
      <c r="X169" t="inlineStr">
        <is>
          <t>prior</t>
        </is>
      </c>
      <c r="Y169" t="inlineStr">
        <is>
          <t>mixed</t>
        </is>
      </c>
      <c r="Z169" t="inlineStr">
        <is>
          <t>DxH 900</t>
        </is>
      </c>
      <c r="AA169" t="inlineStr">
        <is>
          <t>DxI 9000 Access</t>
        </is>
      </c>
      <c r="AB169" t="inlineStr">
        <is>
          <t>CytoFLEX</t>
        </is>
      </c>
      <c r="AC169" t="inlineStr">
        <is>
          <t>prior</t>
        </is>
      </c>
      <c r="AD169" t="inlineStr">
        <is>
          <t>מפיץ/נציג בישראל</t>
        </is>
      </c>
      <c r="AE169" t="inlineStr">
        <is>
          <t>אומת</t>
        </is>
      </c>
      <c r="AF169" t="n">
        <v>2026</v>
      </c>
      <c r="AG169" t="inlineStr">
        <is>
          <t>Rhenium Ltd.; Beckman Coulter (Israel) Ltd.</t>
        </is>
      </c>
      <c r="AH169" t="inlineStr">
        <is>
          <t>Rhenium Ltd.: +972 8-955-8888; Beckman Coulter (Israel) Ltd.:</t>
        </is>
      </c>
      <c r="AI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J169" t="inlineStr">
        <is>
          <t>+1 714-993-5321</t>
        </is>
      </c>
      <c r="AL169" t="inlineStr">
        <is>
          <t>250 South Kraemer Boulevard, Brea, CA 92821-6232, USA</t>
        </is>
      </c>
      <c r="AN169" t="inlineStr">
        <is>
          <t>https://www.globaldata.com/company-profile/beckman-coulter-inc/locations/</t>
        </is>
      </c>
      <c r="AP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t>
        </is>
      </c>
    </row>
    <row r="170">
      <c r="A170" t="n">
        <v>169</v>
      </c>
      <c r="B170" t="inlineStr">
        <is>
          <t>BEING Scientific</t>
        </is>
      </c>
      <c r="C170" t="inlineStr">
        <is>
          <t>Q+Q+</t>
        </is>
      </c>
      <c r="F170" t="inlineStr">
        <is>
          <t>yes +new</t>
        </is>
      </c>
      <c r="H170" t="inlineStr">
        <is>
          <t>https://beinglab-usa.com</t>
        </is>
      </c>
      <c r="I170" t="inlineStr">
        <is>
          <t>clearbit</t>
        </is>
      </c>
      <c r="J170" t="inlineStr"/>
      <c r="O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Y170" t="inlineStr">
        <is>
          <t>unknown</t>
        </is>
      </c>
      <c r="Z170" t="inlineStr"/>
      <c r="AA170" t="inlineStr"/>
      <c r="AB170" t="inlineStr"/>
      <c r="AC170" t="inlineStr"/>
      <c r="AD170" t="inlineStr">
        <is>
          <t>לא נמצא בסריקת המפיצים</t>
        </is>
      </c>
      <c r="AE170" t="inlineStr">
        <is>
          <t>סריקת אתרי מפיצים</t>
        </is>
      </c>
      <c r="AG170" t="inlineStr"/>
      <c r="AH170" t="inlineStr"/>
      <c r="AJ170" t="inlineStr"/>
      <c r="AP170" t="inlineStr">
        <is>
          <t>https://www.quartzy.com/suppliers | https://info.quartzy.com/new-suppliers</t>
        </is>
      </c>
    </row>
    <row r="171">
      <c r="A171" t="n">
        <v>170</v>
      </c>
      <c r="B171" t="inlineStr">
        <is>
          <t>Bel-Art - SP Scienceware</t>
        </is>
      </c>
      <c r="C171" t="inlineStr">
        <is>
          <t>T</t>
        </is>
      </c>
      <c r="E171" t="inlineStr">
        <is>
          <t>https://www.thomassci.com/browse-by/suppliers/bel-art-sp-scienceware</t>
        </is>
      </c>
      <c r="F171" t="inlineStr"/>
      <c r="J171" t="inlineStr"/>
      <c r="Y171" t="inlineStr">
        <is>
          <t>unknown</t>
        </is>
      </c>
      <c r="Z171" t="inlineStr"/>
      <c r="AA171" t="inlineStr"/>
      <c r="AB171" t="inlineStr"/>
      <c r="AC171" t="inlineStr"/>
      <c r="AD171" t="inlineStr">
        <is>
          <t>לא נמצא בסריקת המפיצים</t>
        </is>
      </c>
      <c r="AE171" t="inlineStr">
        <is>
          <t>סריקת אתרי מפיצים</t>
        </is>
      </c>
      <c r="AG171" t="inlineStr"/>
      <c r="AH171" t="inlineStr"/>
      <c r="AJ171" t="inlineStr"/>
      <c r="AP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Y172" t="inlineStr">
        <is>
          <t>unknown</t>
        </is>
      </c>
      <c r="Z172" t="inlineStr"/>
      <c r="AA172" t="inlineStr"/>
      <c r="AB172" t="inlineStr"/>
      <c r="AC172" t="inlineStr"/>
      <c r="AD172" t="inlineStr">
        <is>
          <t>לא נמצא בסריקת המפיצים</t>
        </is>
      </c>
      <c r="AE172" t="inlineStr">
        <is>
          <t>סריקת אתרי מפיצים</t>
        </is>
      </c>
      <c r="AG172" t="inlineStr"/>
      <c r="AH172" t="inlineStr"/>
      <c r="AJ172" t="inlineStr"/>
      <c r="AP172" t="inlineStr">
        <is>
          <t>https://www.quartzy.com/suppliers</t>
        </is>
      </c>
    </row>
    <row r="173">
      <c r="A173" t="n">
        <v>172</v>
      </c>
      <c r="B173" t="inlineStr">
        <is>
          <t>Bellco</t>
        </is>
      </c>
      <c r="C173" t="inlineStr">
        <is>
          <t>D</t>
        </is>
      </c>
      <c r="D173" t="inlineStr">
        <is>
          <t>https://www.dutscher.com/search?initialFilters=brand:Bellco</t>
        </is>
      </c>
      <c r="F173" t="inlineStr"/>
      <c r="J173" t="inlineStr"/>
      <c r="Y173" t="inlineStr">
        <is>
          <t>unknown</t>
        </is>
      </c>
      <c r="Z173" t="inlineStr"/>
      <c r="AA173" t="inlineStr"/>
      <c r="AB173" t="inlineStr"/>
      <c r="AC173" t="inlineStr"/>
      <c r="AD173" t="inlineStr">
        <is>
          <t>לא נמצא בסריקת המפיצים</t>
        </is>
      </c>
      <c r="AE173" t="inlineStr">
        <is>
          <t>סריקת אתרי מפיצים</t>
        </is>
      </c>
      <c r="AG173" t="inlineStr"/>
      <c r="AH173" t="inlineStr"/>
      <c r="AJ173" t="inlineStr"/>
      <c r="AP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t>
        </is>
      </c>
      <c r="J174" t="inlineStr"/>
      <c r="Y174" t="inlineStr">
        <is>
          <t>unknown</t>
        </is>
      </c>
      <c r="Z174" t="inlineStr"/>
      <c r="AA174" t="inlineStr"/>
      <c r="AB174" t="inlineStr"/>
      <c r="AC174" t="inlineStr"/>
      <c r="AD174" t="inlineStr">
        <is>
          <t>לא נמצא בסריקת המפיצים</t>
        </is>
      </c>
      <c r="AE174" t="inlineStr">
        <is>
          <t>סריקת אתרי מפיצים</t>
        </is>
      </c>
      <c r="AG174" t="inlineStr"/>
      <c r="AH174" t="inlineStr"/>
      <c r="AJ174" t="inlineStr"/>
      <c r="AP174" t="inlineStr">
        <is>
          <t>https://www.quartzy.com/suppliers | https://www.thomassci.com/browse-by/suppliers/bellco-glass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t>
        </is>
      </c>
      <c r="J175" t="inlineStr"/>
      <c r="Y175" t="inlineStr">
        <is>
          <t>unknown</t>
        </is>
      </c>
      <c r="Z175" t="inlineStr"/>
      <c r="AA175" t="inlineStr"/>
      <c r="AB175" t="inlineStr"/>
      <c r="AC175" t="inlineStr"/>
      <c r="AD175" t="inlineStr">
        <is>
          <t>לא נמצא בסריקת המפיצים</t>
        </is>
      </c>
      <c r="AE175" t="inlineStr">
        <is>
          <t>סריקת אתרי מפיצים</t>
        </is>
      </c>
      <c r="AG175" t="inlineStr"/>
      <c r="AH175" t="inlineStr"/>
      <c r="AJ175" t="inlineStr"/>
      <c r="AP175" t="inlineStr">
        <is>
          <t>https://www.thomassci.com/browse-by/suppliers/bellingham-and-stanley</t>
        </is>
      </c>
    </row>
    <row r="176">
      <c r="A176" t="n">
        <v>175</v>
      </c>
      <c r="B176" t="inlineStr">
        <is>
          <t>Bemis</t>
        </is>
      </c>
      <c r="C176" t="inlineStr">
        <is>
          <t>Q</t>
        </is>
      </c>
      <c r="F176" t="inlineStr">
        <is>
          <t>yes</t>
        </is>
      </c>
      <c r="H176" t="inlineStr">
        <is>
          <t>https://bemis.org.uk</t>
        </is>
      </c>
      <c r="I176" t="inlineStr">
        <is>
          <t>clearbit</t>
        </is>
      </c>
      <c r="J176" t="inlineStr"/>
      <c r="Y176" t="inlineStr">
        <is>
          <t>unknown</t>
        </is>
      </c>
      <c r="Z176" t="inlineStr"/>
      <c r="AA176" t="inlineStr"/>
      <c r="AB176" t="inlineStr"/>
      <c r="AC176" t="inlineStr"/>
      <c r="AD176" t="inlineStr">
        <is>
          <t>לא נמצא בסריקת המפיצים</t>
        </is>
      </c>
      <c r="AE176" t="inlineStr">
        <is>
          <t>סריקת אתרי מפיצים</t>
        </is>
      </c>
      <c r="AG176" t="inlineStr"/>
      <c r="AH176" t="inlineStr"/>
      <c r="AJ176" t="inlineStr"/>
      <c r="AP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https://benchmark.com</t>
        </is>
      </c>
      <c r="I177" t="inlineStr">
        <is>
          <t>clearbit</t>
        </is>
      </c>
      <c r="J177" t="inlineStr"/>
      <c r="Y177" t="inlineStr">
        <is>
          <t>unknown</t>
        </is>
      </c>
      <c r="Z177" t="inlineStr"/>
      <c r="AA177" t="inlineStr"/>
      <c r="AB177" t="inlineStr"/>
      <c r="AC177" t="inlineStr"/>
      <c r="AD177" t="inlineStr">
        <is>
          <t>לא נמצא בסריקת המפיצים</t>
        </is>
      </c>
      <c r="AE177" t="inlineStr">
        <is>
          <t>סריקת אתרי מפיצים</t>
        </is>
      </c>
      <c r="AG177" t="inlineStr"/>
      <c r="AH177" t="inlineStr"/>
      <c r="AJ177" t="inlineStr"/>
      <c r="AP177" t="inlineStr">
        <is>
          <t>https://www.dutscher.com/search?initialFilters=brand:Benchmark</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seller of scientific instruments</t>
        </is>
      </c>
      <c r="P178" t="n">
        <v>11</v>
      </c>
      <c r="Q178" t="inlineStr">
        <is>
          <t>2023</t>
        </is>
      </c>
      <c r="R178" t="inlineStr">
        <is>
          <t>company</t>
        </is>
      </c>
      <c r="S178" t="inlineStr">
        <is>
          <t>wikidata</t>
        </is>
      </c>
      <c r="Y178" t="inlineStr">
        <is>
          <t>reported</t>
        </is>
      </c>
      <c r="Z178" t="inlineStr"/>
      <c r="AA178" t="inlineStr"/>
      <c r="AB178" t="inlineStr"/>
      <c r="AC178" t="inlineStr"/>
      <c r="AD178" t="inlineStr">
        <is>
          <t>לא נמצא בסריקת המפיצים</t>
        </is>
      </c>
      <c r="AE178" t="inlineStr">
        <is>
          <t>סריקת אתרי מפיצים</t>
        </is>
      </c>
      <c r="AG178" t="inlineStr"/>
      <c r="AH178" t="inlineStr"/>
      <c r="AJ178" t="inlineStr"/>
      <c r="AL178" t="inlineStr">
        <is>
          <t>Sayreville</t>
        </is>
      </c>
      <c r="AO178" t="inlineStr">
        <is>
          <t>Q117192945</t>
        </is>
      </c>
      <c r="AP178" t="inlineStr">
        <is>
          <t>https://www.thomassci.com/browse-by/suppliers/benchmark-scientific | https://www.wikidata.org/wiki/Q117192945</t>
        </is>
      </c>
    </row>
    <row r="179">
      <c r="A179" t="n">
        <v>178</v>
      </c>
      <c r="B179" t="inlineStr">
        <is>
          <t>BenchPro</t>
        </is>
      </c>
      <c r="C179" t="inlineStr">
        <is>
          <t>T+Q</t>
        </is>
      </c>
      <c r="E179" t="inlineStr">
        <is>
          <t>https://www.thomassci.com/browse-by/suppliers/benchpro</t>
        </is>
      </c>
      <c r="F179" t="inlineStr">
        <is>
          <t>yes</t>
        </is>
      </c>
      <c r="H179" t="inlineStr">
        <is>
          <t>https://benchpro.com</t>
        </is>
      </c>
      <c r="I179" t="inlineStr">
        <is>
          <t>clearbit</t>
        </is>
      </c>
      <c r="J179" t="inlineStr"/>
      <c r="Y179" t="inlineStr">
        <is>
          <t>unknown</t>
        </is>
      </c>
      <c r="Z179" t="inlineStr"/>
      <c r="AA179" t="inlineStr"/>
      <c r="AB179" t="inlineStr"/>
      <c r="AC179" t="inlineStr"/>
      <c r="AD179" t="inlineStr">
        <is>
          <t>לא נמצא בסריקת המפיצים</t>
        </is>
      </c>
      <c r="AE179" t="inlineStr">
        <is>
          <t>סריקת אתרי מפיצים</t>
        </is>
      </c>
      <c r="AG179" t="inlineStr"/>
      <c r="AH179" t="inlineStr"/>
      <c r="AJ179" t="inlineStr"/>
      <c r="AP179" t="inlineStr">
        <is>
          <t>https://www.quartzy.com/suppliers | https://www.thomassci.com/browse-by/suppliers/benchpro</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Y180" t="inlineStr">
        <is>
          <t>unknown</t>
        </is>
      </c>
      <c r="Z180" t="inlineStr"/>
      <c r="AA180" t="inlineStr"/>
      <c r="AB180" t="inlineStr"/>
      <c r="AC180" t="inlineStr"/>
      <c r="AD180" t="inlineStr">
        <is>
          <t>לא נמצא בסריקת המפיצים</t>
        </is>
      </c>
      <c r="AE180" t="inlineStr">
        <is>
          <t>סריקת אתרי מפיצים</t>
        </is>
      </c>
      <c r="AG180" t="inlineStr"/>
      <c r="AH180" t="inlineStr"/>
      <c r="AJ180" t="inlineStr"/>
      <c r="AP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Y181" t="inlineStr">
        <is>
          <t>unknown</t>
        </is>
      </c>
      <c r="Z181" t="inlineStr"/>
      <c r="AA181" t="inlineStr"/>
      <c r="AB181" t="inlineStr"/>
      <c r="AC181" t="inlineStr"/>
      <c r="AD181" t="inlineStr">
        <is>
          <t>לא נמצא בסריקת המפיצים</t>
        </is>
      </c>
      <c r="AE181" t="inlineStr">
        <is>
          <t>סריקת אתרי מפיצים</t>
        </is>
      </c>
      <c r="AG181" t="inlineStr"/>
      <c r="AH181" t="inlineStr"/>
      <c r="AJ181" t="inlineStr"/>
      <c r="AP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t>
        </is>
      </c>
      <c r="J182" t="inlineStr">
        <is>
          <t>ארה"ב</t>
        </is>
      </c>
      <c r="N182" t="inlineStr">
        <is>
          <t>food packaging</t>
        </is>
      </c>
      <c r="O182" t="inlineStr">
        <is>
          <t>American packaging corporation</t>
        </is>
      </c>
      <c r="Y182" t="inlineStr">
        <is>
          <t>unknown</t>
        </is>
      </c>
      <c r="Z182" t="inlineStr"/>
      <c r="AA182" t="inlineStr"/>
      <c r="AB182" t="inlineStr"/>
      <c r="AC182" t="inlineStr"/>
      <c r="AD182" t="inlineStr">
        <is>
          <t>לא נמצא בסריקת המפיצים</t>
        </is>
      </c>
      <c r="AE182" t="inlineStr">
        <is>
          <t>סריקת אתרי מפיצים</t>
        </is>
      </c>
      <c r="AG182" t="inlineStr"/>
      <c r="AH182" t="inlineStr"/>
      <c r="AJ182" t="inlineStr"/>
      <c r="AO182" t="inlineStr">
        <is>
          <t>Q4892453</t>
        </is>
      </c>
      <c r="AP182" t="inlineStr">
        <is>
          <t>https://www.thomassci.com/browse-by/suppliers/berlin-packaging | https://www.wikidata.org/wiki/Q4892453</t>
        </is>
      </c>
    </row>
    <row r="183">
      <c r="A183" t="n">
        <v>182</v>
      </c>
      <c r="B183" t="inlineStr">
        <is>
          <t>Bertin Corp</t>
        </is>
      </c>
      <c r="C183" t="inlineStr">
        <is>
          <t>T+Q</t>
        </is>
      </c>
      <c r="E183" t="inlineStr">
        <is>
          <t>https://www.thomassci.com/browse-by/suppliers/bertin-corp</t>
        </is>
      </c>
      <c r="F183" t="inlineStr">
        <is>
          <t>yes</t>
        </is>
      </c>
      <c r="J183" t="inlineStr"/>
      <c r="Y183" t="inlineStr">
        <is>
          <t>unknown</t>
        </is>
      </c>
      <c r="Z183" t="inlineStr"/>
      <c r="AA183" t="inlineStr"/>
      <c r="AB183" t="inlineStr"/>
      <c r="AC183" t="inlineStr"/>
      <c r="AD183" t="inlineStr">
        <is>
          <t>לא נמצא בסריקת המפיצים</t>
        </is>
      </c>
      <c r="AE183" t="inlineStr">
        <is>
          <t>סריקת אתרי מפיצים</t>
        </is>
      </c>
      <c r="AG183" t="inlineStr"/>
      <c r="AH183" t="inlineStr"/>
      <c r="AJ183" t="inlineStr"/>
      <c r="AP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t>
        </is>
      </c>
      <c r="J184" t="inlineStr"/>
      <c r="Y184" t="inlineStr">
        <is>
          <t>unknown</t>
        </is>
      </c>
      <c r="Z184" t="inlineStr"/>
      <c r="AA184" t="inlineStr"/>
      <c r="AB184" t="inlineStr"/>
      <c r="AC184" t="inlineStr"/>
      <c r="AD184" t="inlineStr">
        <is>
          <t>לא נמצא בסריקת המפיצים</t>
        </is>
      </c>
      <c r="AE184" t="inlineStr">
        <is>
          <t>סריקת אתרי מפיצים</t>
        </is>
      </c>
      <c r="AG184" t="inlineStr"/>
      <c r="AH184" t="inlineStr"/>
      <c r="AJ184" t="inlineStr"/>
      <c r="AP184" t="inlineStr">
        <is>
          <t>https://www.thomassci.com/browse-by/suppliers/best-sanitizers</t>
        </is>
      </c>
    </row>
    <row r="185">
      <c r="A185" t="n">
        <v>184</v>
      </c>
      <c r="B185" t="inlineStr">
        <is>
          <t>Best Value Vacs</t>
        </is>
      </c>
      <c r="C185" t="inlineStr">
        <is>
          <t>T</t>
        </is>
      </c>
      <c r="E185" t="inlineStr">
        <is>
          <t>https://www.thomassci.com/browse-by/suppliers/best-value-vacs</t>
        </is>
      </c>
      <c r="F185" t="inlineStr"/>
      <c r="J185" t="inlineStr"/>
      <c r="Y185" t="inlineStr">
        <is>
          <t>unknown</t>
        </is>
      </c>
      <c r="Z185" t="inlineStr"/>
      <c r="AA185" t="inlineStr"/>
      <c r="AB185" t="inlineStr"/>
      <c r="AC185" t="inlineStr"/>
      <c r="AD185" t="inlineStr">
        <is>
          <t>לא נמצא בסריקת המפיצים</t>
        </is>
      </c>
      <c r="AE185" t="inlineStr">
        <is>
          <t>סריקת אתרי מפיצים</t>
        </is>
      </c>
      <c r="AG185" t="inlineStr"/>
      <c r="AH185" t="inlineStr"/>
      <c r="AJ185" t="inlineStr"/>
      <c r="AP185" t="inlineStr">
        <is>
          <t>https://www.thomassci.com/browse-by/suppliers/best-value-vacs</t>
        </is>
      </c>
    </row>
    <row r="186">
      <c r="A186" t="n">
        <v>185</v>
      </c>
      <c r="B186" t="inlineStr">
        <is>
          <t>Bethyl Laboratories</t>
        </is>
      </c>
      <c r="C186" t="inlineStr">
        <is>
          <t>Q</t>
        </is>
      </c>
      <c r="F186" t="inlineStr">
        <is>
          <t>yes</t>
        </is>
      </c>
      <c r="J186" t="inlineStr"/>
      <c r="Y186" t="inlineStr">
        <is>
          <t>unknown</t>
        </is>
      </c>
      <c r="Z186" t="inlineStr"/>
      <c r="AA186" t="inlineStr"/>
      <c r="AB186" t="inlineStr"/>
      <c r="AC186" t="inlineStr"/>
      <c r="AD186" t="inlineStr">
        <is>
          <t>לא נמצא בסריקת המפיצים</t>
        </is>
      </c>
      <c r="AE186" t="inlineStr">
        <is>
          <t>סריקת אתרי מפיצים</t>
        </is>
      </c>
      <c r="AG186" t="inlineStr"/>
      <c r="AH186" t="inlineStr"/>
      <c r="AJ186" t="inlineStr"/>
      <c r="AP186" t="inlineStr">
        <is>
          <t>https://www.quartzy.com/suppliers</t>
        </is>
      </c>
    </row>
    <row r="187">
      <c r="A187" t="n">
        <v>186</v>
      </c>
      <c r="B187" t="inlineStr">
        <is>
          <t>Bevco</t>
        </is>
      </c>
      <c r="C187" t="inlineStr">
        <is>
          <t>T</t>
        </is>
      </c>
      <c r="E187" t="inlineStr">
        <is>
          <t>https://www.thomassci.com/browse-by/suppliers/bevco</t>
        </is>
      </c>
      <c r="F187" t="inlineStr"/>
      <c r="J187" t="inlineStr"/>
      <c r="Y187" t="inlineStr">
        <is>
          <t>unknown</t>
        </is>
      </c>
      <c r="Z187" t="inlineStr"/>
      <c r="AA187" t="inlineStr"/>
      <c r="AB187" t="inlineStr"/>
      <c r="AC187" t="inlineStr"/>
      <c r="AD187" t="inlineStr">
        <is>
          <t>לא נמצא בסריקת המפיצים</t>
        </is>
      </c>
      <c r="AE187" t="inlineStr">
        <is>
          <t>סריקת אתרי מפיצים</t>
        </is>
      </c>
      <c r="AG187" t="inlineStr"/>
      <c r="AH187" t="inlineStr"/>
      <c r="AJ187" t="inlineStr"/>
      <c r="AP187" t="inlineStr">
        <is>
          <t>https://www.thomassci.com/browse-by/suppliers/bevco</t>
        </is>
      </c>
    </row>
    <row r="188">
      <c r="A188" t="n">
        <v>187</v>
      </c>
      <c r="B188" t="inlineStr">
        <is>
          <t>Bimake.com (Biotool)</t>
        </is>
      </c>
      <c r="C188" t="inlineStr">
        <is>
          <t>Q</t>
        </is>
      </c>
      <c r="F188" t="inlineStr">
        <is>
          <t>yes</t>
        </is>
      </c>
      <c r="J188" t="inlineStr"/>
      <c r="Y188" t="inlineStr">
        <is>
          <t>unknown</t>
        </is>
      </c>
      <c r="Z188" t="inlineStr"/>
      <c r="AA188" t="inlineStr"/>
      <c r="AB188" t="inlineStr"/>
      <c r="AC188" t="inlineStr"/>
      <c r="AD188" t="inlineStr">
        <is>
          <t>לא נמצא בסריקת המפיצים</t>
        </is>
      </c>
      <c r="AE188" t="inlineStr">
        <is>
          <t>סריקת אתרי מפיצים</t>
        </is>
      </c>
      <c r="AG188" t="inlineStr"/>
      <c r="AH188" t="inlineStr"/>
      <c r="AJ188" t="inlineStr"/>
      <c r="AP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t>
        </is>
      </c>
      <c r="J189" t="inlineStr"/>
      <c r="Y189" t="inlineStr">
        <is>
          <t>unknown</t>
        </is>
      </c>
      <c r="Z189" t="inlineStr"/>
      <c r="AA189" t="inlineStr"/>
      <c r="AB189" t="inlineStr"/>
      <c r="AC189" t="inlineStr"/>
      <c r="AD189" t="inlineStr">
        <is>
          <t>לא נמצא בסריקת המפיצים</t>
        </is>
      </c>
      <c r="AE189" t="inlineStr">
        <is>
          <t>סריקת אתרי מפיצים</t>
        </is>
      </c>
      <c r="AG189" t="inlineStr"/>
      <c r="AH189" t="inlineStr"/>
      <c r="AJ189" t="inlineStr"/>
      <c r="AP189" t="inlineStr">
        <is>
          <t>https://www.dutscher.com/search?initialFilters=brand:Bimos</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P190" t="n">
        <v>400</v>
      </c>
      <c r="Q190" t="n">
        <v>2022</v>
      </c>
      <c r="R190" t="inlineStr">
        <is>
          <t>company</t>
        </is>
      </c>
      <c r="S190" t="inlineStr">
        <is>
          <t>prior</t>
        </is>
      </c>
      <c r="T190" t="n">
        <v>120</v>
      </c>
      <c r="U190" t="inlineStr">
        <is>
          <t>USD ~110-133 million (aggregator estimates: Prospeo ~110.5M, ZoomInfo/Datanyze ~133.1M)</t>
        </is>
      </c>
      <c r="V190" t="inlineStr">
        <is>
          <t>undated aggregator estimates (c. 2024)</t>
        </is>
      </c>
      <c r="W190" t="inlineStr">
        <is>
          <t>estimate</t>
        </is>
      </c>
      <c r="X190" t="inlineStr">
        <is>
          <t>prior</t>
        </is>
      </c>
      <c r="Y190" t="inlineStr">
        <is>
          <t>mixed</t>
        </is>
      </c>
      <c r="Z190" t="inlineStr">
        <is>
          <t>KBF / KBF P series</t>
        </is>
      </c>
      <c r="AA190" t="inlineStr">
        <is>
          <t>CB / CB-S series</t>
        </is>
      </c>
      <c r="AB190" t="inlineStr">
        <is>
          <t>FD / FED / FP series</t>
        </is>
      </c>
      <c r="AC190" t="inlineStr">
        <is>
          <t>prior</t>
        </is>
      </c>
      <c r="AD190" t="inlineStr">
        <is>
          <t>מפיץ/נציג בישראל</t>
        </is>
      </c>
      <c r="AE190" t="inlineStr">
        <is>
          <t>אומת</t>
        </is>
      </c>
      <c r="AF190" t="n">
        <v>2026</v>
      </c>
      <c r="AG190" t="inlineStr">
        <is>
          <t>Labotal Scientific Equipment Ltd.</t>
        </is>
      </c>
      <c r="AH190" t="inlineStr">
        <is>
          <t>Labotal Scientific Equipment Ltd.: +972 2-579-9222 Sales@labotal.co.il</t>
        </is>
      </c>
      <c r="AI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J190" t="inlineStr">
        <is>
          <t>+49 7462 2005-0</t>
        </is>
      </c>
      <c r="AK190" t="inlineStr">
        <is>
          <t>info@binder-world.com</t>
        </is>
      </c>
      <c r="AL190" t="inlineStr">
        <is>
          <t>Im Mittleren Ösch 5, 78532 Tuttlingen, Germany</t>
        </is>
      </c>
      <c r="AM190" t="inlineStr">
        <is>
          <t>https://www.binder-world.com/int-en/company/locations</t>
        </is>
      </c>
      <c r="AN190" t="inlineStr">
        <is>
          <t>https://www.binder-world.com/int-en/company/locations</t>
        </is>
      </c>
      <c r="AP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Y191" t="inlineStr">
        <is>
          <t>unknown</t>
        </is>
      </c>
      <c r="Z191" t="inlineStr"/>
      <c r="AA191" t="inlineStr"/>
      <c r="AB191" t="inlineStr"/>
      <c r="AC191" t="inlineStr"/>
      <c r="AD191" t="inlineStr">
        <is>
          <t>לא נמצא בסריקת המפיצים</t>
        </is>
      </c>
      <c r="AE191" t="inlineStr">
        <is>
          <t>סריקת אתרי מפיצים</t>
        </is>
      </c>
      <c r="AG191" t="inlineStr"/>
      <c r="AH191" t="inlineStr"/>
      <c r="AJ191" t="inlineStr"/>
      <c r="AP191" t="inlineStr">
        <is>
          <t>https://www.quartzy.com/suppliers | https://www.thomassci.com/browse-by/suppliers/bio-basic-inc-</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t>
        </is>
      </c>
      <c r="J192" t="inlineStr"/>
      <c r="Y192" t="inlineStr">
        <is>
          <t>unknown</t>
        </is>
      </c>
      <c r="Z192" t="inlineStr"/>
      <c r="AA192" t="inlineStr"/>
      <c r="AB192" t="inlineStr"/>
      <c r="AC192" t="inlineStr"/>
      <c r="AD192" t="inlineStr">
        <is>
          <t>לא נמצא בסריקת המפיצים</t>
        </is>
      </c>
      <c r="AE192" t="inlineStr">
        <is>
          <t>סריקת אתרי מפיצים</t>
        </is>
      </c>
      <c r="AG192" t="inlineStr"/>
      <c r="AH192" t="inlineStr"/>
      <c r="AJ192" t="inlineStr"/>
      <c r="AP192" t="inlineStr">
        <is>
          <t>https://www.quartzy.com/suppliers | https://www.thomassci.com/browse-by/suppliers/bio-plas</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P193" t="n">
        <v>7450</v>
      </c>
      <c r="Q193" t="n">
        <v>2025</v>
      </c>
      <c r="R193" t="inlineStr">
        <is>
          <t>company</t>
        </is>
      </c>
      <c r="S193" t="inlineStr">
        <is>
          <t>prior</t>
        </is>
      </c>
      <c r="T193" t="n">
        <v>2580</v>
      </c>
      <c r="U193" t="inlineStr">
        <is>
          <t>USD 2.58 billion</t>
        </is>
      </c>
      <c r="V193" t="inlineStr">
        <is>
          <t>FY2025</t>
        </is>
      </c>
      <c r="W193" t="inlineStr">
        <is>
          <t>company</t>
        </is>
      </c>
      <c r="X193" t="inlineStr">
        <is>
          <t>prior</t>
        </is>
      </c>
      <c r="Y193" t="inlineStr">
        <is>
          <t>mixed</t>
        </is>
      </c>
      <c r="Z193" t="inlineStr">
        <is>
          <t>QX600 Droplet Digital PCR</t>
        </is>
      </c>
      <c r="AA193" t="inlineStr">
        <is>
          <t>CFX Opus Real-Time PCR</t>
        </is>
      </c>
      <c r="AB193" t="inlineStr">
        <is>
          <t>ChemiDoc MP</t>
        </is>
      </c>
      <c r="AC193" t="inlineStr">
        <is>
          <t>prior</t>
        </is>
      </c>
      <c r="AD193" t="inlineStr">
        <is>
          <t>חברה-בת בישראל</t>
        </is>
      </c>
      <c r="AE193" t="inlineStr">
        <is>
          <t>אומת</t>
        </is>
      </c>
      <c r="AF193" t="n">
        <v>2006</v>
      </c>
      <c r="AG193" t="inlineStr">
        <is>
          <t>Bio-Rad Israel Ltd. (Bio-Rad Laboratories (Rishon)); Bio-Rad Haifa Ltd.</t>
        </is>
      </c>
      <c r="AH193" t="inlineStr">
        <is>
          <t>Bio-Rad Israel Ltd. (Bio-Rad Laboratories (Rishon)):; Bio-Rad Haifa Ltd.:</t>
        </is>
      </c>
      <c r="AI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J193" t="inlineStr"/>
      <c r="AL193" t="inlineStr">
        <is>
          <t>Hahoma Street 14, Rishon LeZion, Israel</t>
        </is>
      </c>
      <c r="AM193" t="inlineStr">
        <is>
          <t>https://www.bio-rad.com/en-il/contact-us</t>
        </is>
      </c>
      <c r="AN193" t="inlineStr">
        <is>
          <t>https://slimpages.startupim.com/company_page/bio-rad-laboratories</t>
        </is>
      </c>
      <c r="AP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H194" t="inlineStr">
        <is>
          <t>https://bxcell.co.kr</t>
        </is>
      </c>
      <c r="I194" t="inlineStr">
        <is>
          <t>clearbit</t>
        </is>
      </c>
      <c r="J194" t="inlineStr"/>
      <c r="Y194" t="inlineStr">
        <is>
          <t>unknown</t>
        </is>
      </c>
      <c r="Z194" t="inlineStr"/>
      <c r="AA194" t="inlineStr"/>
      <c r="AB194" t="inlineStr"/>
      <c r="AC194" t="inlineStr"/>
      <c r="AD194" t="inlineStr">
        <is>
          <t>לא נמצא בסריקת המפיצים</t>
        </is>
      </c>
      <c r="AE194" t="inlineStr">
        <is>
          <t>סריקת אתרי מפיצים</t>
        </is>
      </c>
      <c r="AG194" t="inlineStr"/>
      <c r="AH194" t="inlineStr"/>
      <c r="AJ194" t="inlineStr"/>
      <c r="AP194" t="inlineStr">
        <is>
          <t>https://www.quartzy.com/suppliers</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t>
        </is>
      </c>
      <c r="J195" t="inlineStr"/>
      <c r="Y195" t="inlineStr">
        <is>
          <t>unknown</t>
        </is>
      </c>
      <c r="Z195" t="inlineStr"/>
      <c r="AA195" t="inlineStr"/>
      <c r="AB195" t="inlineStr"/>
      <c r="AC195" t="inlineStr"/>
      <c r="AD195" t="inlineStr">
        <is>
          <t>לא נמצא בסריקת המפיצים</t>
        </is>
      </c>
      <c r="AE195" t="inlineStr">
        <is>
          <t>סריקת אתרי מפיצים</t>
        </is>
      </c>
      <c r="AG195" t="inlineStr"/>
      <c r="AH195" t="inlineStr"/>
      <c r="AJ195" t="inlineStr"/>
      <c r="AP195" t="inlineStr">
        <is>
          <t>https://www.thomassci.com/browse-by/suppliers/bioassay-systems</t>
        </is>
      </c>
    </row>
    <row r="196">
      <c r="A196" t="n">
        <v>195</v>
      </c>
      <c r="B196" t="inlineStr">
        <is>
          <t>Biocare Medical</t>
        </is>
      </c>
      <c r="C196" t="inlineStr">
        <is>
          <t>Q</t>
        </is>
      </c>
      <c r="F196" t="inlineStr">
        <is>
          <t>yes</t>
        </is>
      </c>
      <c r="H196" t="inlineStr">
        <is>
          <t>https://biocare.net</t>
        </is>
      </c>
      <c r="I196" t="inlineStr">
        <is>
          <t>clearbit</t>
        </is>
      </c>
      <c r="J196" t="inlineStr"/>
      <c r="Y196" t="inlineStr">
        <is>
          <t>unknown</t>
        </is>
      </c>
      <c r="Z196" t="inlineStr"/>
      <c r="AA196" t="inlineStr"/>
      <c r="AB196" t="inlineStr"/>
      <c r="AC196" t="inlineStr"/>
      <c r="AD196" t="inlineStr">
        <is>
          <t>לא נמצא בסריקת המפיצים</t>
        </is>
      </c>
      <c r="AE196" t="inlineStr">
        <is>
          <t>סריקת אתרי מפיצים</t>
        </is>
      </c>
      <c r="AG196" t="inlineStr"/>
      <c r="AH196" t="inlineStr"/>
      <c r="AJ196" t="inlineStr"/>
      <c r="AP196" t="inlineStr">
        <is>
          <t>https://www.quartzy.com/suppliers</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t>
        </is>
      </c>
      <c r="J197" t="inlineStr"/>
      <c r="Y197" t="inlineStr">
        <is>
          <t>unknown</t>
        </is>
      </c>
      <c r="Z197" t="inlineStr"/>
      <c r="AA197" t="inlineStr"/>
      <c r="AB197" t="inlineStr"/>
      <c r="AC197" t="inlineStr"/>
      <c r="AD197" t="inlineStr">
        <is>
          <t>לא נמצא בסריקת המפיצים</t>
        </is>
      </c>
      <c r="AE197" t="inlineStr">
        <is>
          <t>סריקת אתרי מפיצים</t>
        </is>
      </c>
      <c r="AG197" t="inlineStr"/>
      <c r="AH197" t="inlineStr"/>
      <c r="AJ197" t="inlineStr"/>
      <c r="AP197" t="inlineStr">
        <is>
          <t>https://www.dutscher.com/search?initialFilters=brand:Biochrom | https://www.quartzy.com/suppliers | https://www.thomassci.com/browse-by/suppliers/biochrom</t>
        </is>
      </c>
    </row>
    <row r="198">
      <c r="A198" t="n">
        <v>197</v>
      </c>
      <c r="B198" t="inlineStr">
        <is>
          <t>BioCision</t>
        </is>
      </c>
      <c r="C198" t="inlineStr">
        <is>
          <t>T</t>
        </is>
      </c>
      <c r="E198" t="inlineStr">
        <is>
          <t>https://www.thomassci.com/browse-by/suppliers/biocision</t>
        </is>
      </c>
      <c r="F198" t="inlineStr"/>
      <c r="J198" t="inlineStr"/>
      <c r="Y198" t="inlineStr">
        <is>
          <t>unknown</t>
        </is>
      </c>
      <c r="Z198" t="inlineStr"/>
      <c r="AA198" t="inlineStr"/>
      <c r="AB198" t="inlineStr"/>
      <c r="AC198" t="inlineStr"/>
      <c r="AD198" t="inlineStr">
        <is>
          <t>לא נמצא בסריקת המפיצים</t>
        </is>
      </c>
      <c r="AE198" t="inlineStr">
        <is>
          <t>סריקת אתרי מפיצים</t>
        </is>
      </c>
      <c r="AG198" t="inlineStr"/>
      <c r="AH198" t="inlineStr"/>
      <c r="AJ198" t="inlineStr"/>
      <c r="AP198" t="inlineStr">
        <is>
          <t>https://www.thomassci.com/browse-by/suppliers/biocision</t>
        </is>
      </c>
    </row>
    <row r="199">
      <c r="A199" t="n">
        <v>198</v>
      </c>
      <c r="B199" t="inlineStr">
        <is>
          <t>BioDesign of NY</t>
        </is>
      </c>
      <c r="C199" t="inlineStr">
        <is>
          <t>Q</t>
        </is>
      </c>
      <c r="F199" t="inlineStr">
        <is>
          <t>yes</t>
        </is>
      </c>
      <c r="J199" t="inlineStr"/>
      <c r="Y199" t="inlineStr">
        <is>
          <t>unknown</t>
        </is>
      </c>
      <c r="Z199" t="inlineStr"/>
      <c r="AA199" t="inlineStr"/>
      <c r="AB199" t="inlineStr"/>
      <c r="AC199" t="inlineStr"/>
      <c r="AD199" t="inlineStr">
        <is>
          <t>לא נמצא בסריקת המפיצים</t>
        </is>
      </c>
      <c r="AE199" t="inlineStr">
        <is>
          <t>סריקת אתרי מפיצים</t>
        </is>
      </c>
      <c r="AG199" t="inlineStr"/>
      <c r="AH199" t="inlineStr"/>
      <c r="AJ199" t="inlineStr"/>
      <c r="AP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Y200" t="inlineStr">
        <is>
          <t>unknown</t>
        </is>
      </c>
      <c r="Z200" t="inlineStr"/>
      <c r="AA200" t="inlineStr"/>
      <c r="AB200" t="inlineStr"/>
      <c r="AC200" t="inlineStr"/>
      <c r="AD200" t="inlineStr">
        <is>
          <t>לא נמצא בסריקת המפיצים</t>
        </is>
      </c>
      <c r="AE200" t="inlineStr">
        <is>
          <t>סריקת אתרי מפיצים</t>
        </is>
      </c>
      <c r="AG200" t="inlineStr"/>
      <c r="AH200" t="inlineStr"/>
      <c r="AJ200" t="inlineStr"/>
      <c r="AP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Y201" t="inlineStr">
        <is>
          <t>unknown</t>
        </is>
      </c>
      <c r="Z201" t="inlineStr"/>
      <c r="AA201" t="inlineStr"/>
      <c r="AB201" t="inlineStr"/>
      <c r="AC201" t="inlineStr"/>
      <c r="AD201" t="inlineStr">
        <is>
          <t>לא נמצא בסריקת המפיצים</t>
        </is>
      </c>
      <c r="AE201" t="inlineStr">
        <is>
          <t>סריקת אתרי מפיצים</t>
        </is>
      </c>
      <c r="AG201" t="inlineStr"/>
      <c r="AH201" t="inlineStr"/>
      <c r="AJ201" t="inlineStr"/>
      <c r="AP201" t="inlineStr">
        <is>
          <t>https://www.thomassci.com/browse-by/suppliers/biofit</t>
        </is>
      </c>
    </row>
    <row r="202">
      <c r="A202" t="n">
        <v>201</v>
      </c>
      <c r="B202" t="inlineStr">
        <is>
          <t>Bioland Scientific</t>
        </is>
      </c>
      <c r="C202" t="inlineStr">
        <is>
          <t>Q</t>
        </is>
      </c>
      <c r="F202" t="inlineStr">
        <is>
          <t>yes</t>
        </is>
      </c>
      <c r="J202" t="inlineStr"/>
      <c r="Y202" t="inlineStr">
        <is>
          <t>unknown</t>
        </is>
      </c>
      <c r="Z202" t="inlineStr"/>
      <c r="AA202" t="inlineStr"/>
      <c r="AB202" t="inlineStr"/>
      <c r="AC202" t="inlineStr"/>
      <c r="AD202" t="inlineStr">
        <is>
          <t>לא נמצא בסריקת המפיצים</t>
        </is>
      </c>
      <c r="AE202" t="inlineStr">
        <is>
          <t>סריקת אתרי מפיצים</t>
        </is>
      </c>
      <c r="AG202" t="inlineStr"/>
      <c r="AH202" t="inlineStr"/>
      <c r="AJ202" t="inlineStr"/>
      <c r="AP202" t="inlineStr">
        <is>
          <t>https://www.quartzy.com/suppliers</t>
        </is>
      </c>
    </row>
    <row r="203">
      <c r="A203" t="n">
        <v>202</v>
      </c>
      <c r="B203" t="inlineStr">
        <is>
          <t>Bioline</t>
        </is>
      </c>
      <c r="C203" t="inlineStr">
        <is>
          <t>Q</t>
        </is>
      </c>
      <c r="F203" t="inlineStr">
        <is>
          <t>yes</t>
        </is>
      </c>
      <c r="H203" t="inlineStr">
        <is>
          <t>https://bioline.com</t>
        </is>
      </c>
      <c r="I203" t="inlineStr">
        <is>
          <t>clearbit</t>
        </is>
      </c>
      <c r="J203" t="inlineStr"/>
      <c r="Y203" t="inlineStr">
        <is>
          <t>unknown</t>
        </is>
      </c>
      <c r="Z203" t="inlineStr"/>
      <c r="AA203" t="inlineStr"/>
      <c r="AB203" t="inlineStr"/>
      <c r="AC203" t="inlineStr"/>
      <c r="AD203" t="inlineStr">
        <is>
          <t>לא נמצא בסריקת המפיצים</t>
        </is>
      </c>
      <c r="AE203" t="inlineStr">
        <is>
          <t>סריקת אתרי מפיצים</t>
        </is>
      </c>
      <c r="AG203" t="inlineStr"/>
      <c r="AH203" t="inlineStr"/>
      <c r="AJ203" t="inlineStr"/>
      <c r="AP203" t="inlineStr">
        <is>
          <t>https://www.quartzy.com/suppliers</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https://biologix.com.br</t>
        </is>
      </c>
      <c r="I204" t="inlineStr">
        <is>
          <t>clearbit</t>
        </is>
      </c>
      <c r="J204" t="inlineStr"/>
      <c r="Y204" t="inlineStr">
        <is>
          <t>unknown</t>
        </is>
      </c>
      <c r="Z204" t="inlineStr"/>
      <c r="AA204" t="inlineStr"/>
      <c r="AB204" t="inlineStr"/>
      <c r="AC204" t="inlineStr"/>
      <c r="AD204" t="inlineStr">
        <is>
          <t>לא נמצא בסריקת המפיצים</t>
        </is>
      </c>
      <c r="AE204" t="inlineStr">
        <is>
          <t>סריקת אתרי מפיצים</t>
        </is>
      </c>
      <c r="AG204" t="inlineStr"/>
      <c r="AH204" t="inlineStr"/>
      <c r="AJ204" t="inlineStr"/>
      <c r="AP204" t="inlineStr">
        <is>
          <t>https://www.dutscher.com/search?initialFilters=brand:Biologix | https://www.quartzy.com/suppliers | https://www.thomassci.com/browse-by/suppliers/biologix</t>
        </is>
      </c>
    </row>
    <row r="205">
      <c r="A205" t="n">
        <v>204</v>
      </c>
      <c r="B205" t="inlineStr">
        <is>
          <t>Biomatik</t>
        </is>
      </c>
      <c r="C205" t="inlineStr">
        <is>
          <t>Q</t>
        </is>
      </c>
      <c r="F205" t="inlineStr">
        <is>
          <t>yes</t>
        </is>
      </c>
      <c r="H205" t="inlineStr">
        <is>
          <t>https://biomatik.com</t>
        </is>
      </c>
      <c r="I205" t="inlineStr">
        <is>
          <t>clearbit</t>
        </is>
      </c>
      <c r="J205" t="inlineStr"/>
      <c r="Y205" t="inlineStr">
        <is>
          <t>unknown</t>
        </is>
      </c>
      <c r="Z205" t="inlineStr"/>
      <c r="AA205" t="inlineStr"/>
      <c r="AB205" t="inlineStr"/>
      <c r="AC205" t="inlineStr"/>
      <c r="AD205" t="inlineStr">
        <is>
          <t>לא נמצא בסריקת המפיצים</t>
        </is>
      </c>
      <c r="AE205" t="inlineStr">
        <is>
          <t>סריקת אתרי מפיצים</t>
        </is>
      </c>
      <c r="AG205" t="inlineStr"/>
      <c r="AH205" t="inlineStr"/>
      <c r="AJ205" t="inlineStr"/>
      <c r="AP205" t="inlineStr">
        <is>
          <t>https://www.quartzy.com/suppliers</t>
        </is>
      </c>
    </row>
    <row r="206">
      <c r="A206" t="n">
        <v>205</v>
      </c>
      <c r="B206" t="inlineStr">
        <is>
          <t>Biomedical Polymers</t>
        </is>
      </c>
      <c r="C206" t="inlineStr">
        <is>
          <t>T+Q</t>
        </is>
      </c>
      <c r="E206" t="inlineStr">
        <is>
          <t>https://www.thomassci.com/browse-by/suppliers/biomedical-polymers</t>
        </is>
      </c>
      <c r="F206" t="inlineStr">
        <is>
          <t>yes</t>
        </is>
      </c>
      <c r="J206" t="inlineStr"/>
      <c r="Y206" t="inlineStr">
        <is>
          <t>unknown</t>
        </is>
      </c>
      <c r="Z206" t="inlineStr"/>
      <c r="AA206" t="inlineStr"/>
      <c r="AB206" t="inlineStr"/>
      <c r="AC206" t="inlineStr"/>
      <c r="AD206" t="inlineStr">
        <is>
          <t>לא נמצא בסריקת המפיצים</t>
        </is>
      </c>
      <c r="AE206" t="inlineStr">
        <is>
          <t>סריקת אתרי מפיצים</t>
        </is>
      </c>
      <c r="AG206" t="inlineStr"/>
      <c r="AH206" t="inlineStr"/>
      <c r="AJ206" t="inlineStr"/>
      <c r="AP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t>
        </is>
      </c>
      <c r="J207" t="inlineStr"/>
      <c r="O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Y207" t="inlineStr">
        <is>
          <t>unknown</t>
        </is>
      </c>
      <c r="Z207" t="inlineStr"/>
      <c r="AA207" t="inlineStr"/>
      <c r="AB207" t="inlineStr"/>
      <c r="AC207" t="inlineStr"/>
      <c r="AD207" t="inlineStr">
        <is>
          <t>לא נמצא בסריקת המפיצים</t>
        </is>
      </c>
      <c r="AE207" t="inlineStr">
        <is>
          <t>סריקת אתרי מפיצים</t>
        </is>
      </c>
      <c r="AG207" t="inlineStr"/>
      <c r="AH207" t="inlineStr"/>
      <c r="AJ207" t="inlineStr"/>
      <c r="AP207" t="inlineStr">
        <is>
          <t>https://www.quartzy.com/suppliers | https://info.quartzy.com/new-suppliers | https://www.thomassci.com/browse-by/suppliers/biomiga</t>
        </is>
      </c>
    </row>
    <row r="208">
      <c r="A208" t="n">
        <v>207</v>
      </c>
      <c r="B208" t="inlineStr">
        <is>
          <t>Bioneer</t>
        </is>
      </c>
      <c r="C208" t="inlineStr">
        <is>
          <t>T</t>
        </is>
      </c>
      <c r="E208" t="inlineStr">
        <is>
          <t>https://www.thomassci.com/browse-by/suppliers/bioneer</t>
        </is>
      </c>
      <c r="F208" t="inlineStr"/>
      <c r="H208" t="inlineStr">
        <is>
          <t>https://bioneer.com</t>
        </is>
      </c>
      <c r="I208" t="inlineStr">
        <is>
          <t>clearbit</t>
        </is>
      </c>
      <c r="J208" t="inlineStr"/>
      <c r="Y208" t="inlineStr">
        <is>
          <t>unknown</t>
        </is>
      </c>
      <c r="Z208" t="inlineStr"/>
      <c r="AA208" t="inlineStr"/>
      <c r="AB208" t="inlineStr"/>
      <c r="AC208" t="inlineStr"/>
      <c r="AD208" t="inlineStr">
        <is>
          <t>לא נמצא בסריקת המפיצים</t>
        </is>
      </c>
      <c r="AE208" t="inlineStr">
        <is>
          <t>סריקת אתרי מפיצים</t>
        </is>
      </c>
      <c r="AG208" t="inlineStr"/>
      <c r="AH208" t="inlineStr"/>
      <c r="AJ208" t="inlineStr"/>
      <c r="AP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Y209" t="inlineStr">
        <is>
          <t>unknown</t>
        </is>
      </c>
      <c r="Z209" t="inlineStr"/>
      <c r="AA209" t="inlineStr"/>
      <c r="AB209" t="inlineStr"/>
      <c r="AC209" t="inlineStr"/>
      <c r="AD209" t="inlineStr">
        <is>
          <t>לא נמצא בסריקת המפיצים</t>
        </is>
      </c>
      <c r="AE209" t="inlineStr">
        <is>
          <t>סריקת אתרי מפיצים</t>
        </is>
      </c>
      <c r="AG209" t="inlineStr"/>
      <c r="AH209" t="inlineStr"/>
      <c r="AJ209" t="inlineStr"/>
      <c r="AP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t>
        </is>
      </c>
      <c r="J210" t="inlineStr"/>
      <c r="Y210" t="inlineStr">
        <is>
          <t>unknown</t>
        </is>
      </c>
      <c r="Z210" t="inlineStr"/>
      <c r="AA210" t="inlineStr"/>
      <c r="AB210" t="inlineStr"/>
      <c r="AC210" t="inlineStr"/>
      <c r="AD210" t="inlineStr">
        <is>
          <t>לא נמצא בסריקת המפיצים</t>
        </is>
      </c>
      <c r="AE210" t="inlineStr">
        <is>
          <t>סריקת אתרי מפיצים</t>
        </is>
      </c>
      <c r="AG210" t="inlineStr"/>
      <c r="AH210" t="inlineStr"/>
      <c r="AJ210" t="inlineStr"/>
      <c r="AP210" t="inlineStr">
        <is>
          <t>https://www.quartzy.com/suppliers</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t>
        </is>
      </c>
      <c r="J211" t="inlineStr"/>
      <c r="Y211" t="inlineStr">
        <is>
          <t>unknown</t>
        </is>
      </c>
      <c r="Z211" t="inlineStr"/>
      <c r="AA211" t="inlineStr"/>
      <c r="AB211" t="inlineStr"/>
      <c r="AC211" t="inlineStr"/>
      <c r="AD211" t="inlineStr">
        <is>
          <t>לא נמצא בסריקת המפיצים</t>
        </is>
      </c>
      <c r="AE211" t="inlineStr">
        <is>
          <t>סריקת אתרי מפיצים</t>
        </is>
      </c>
      <c r="AG211" t="inlineStr"/>
      <c r="AH211" t="inlineStr"/>
      <c r="AJ211" t="inlineStr"/>
      <c r="AP211" t="inlineStr">
        <is>
          <t>https://www.dutscher.com/search?initialFilters=brand:Bioplastics</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t>
        </is>
      </c>
      <c r="J212" t="inlineStr"/>
      <c r="Y212" t="inlineStr">
        <is>
          <t>unknown</t>
        </is>
      </c>
      <c r="Z212" t="inlineStr"/>
      <c r="AA212" t="inlineStr"/>
      <c r="AB212" t="inlineStr"/>
      <c r="AC212" t="inlineStr"/>
      <c r="AD212" t="inlineStr">
        <is>
          <t>לא נמצא בסריקת המפיצים</t>
        </is>
      </c>
      <c r="AE212" t="inlineStr">
        <is>
          <t>סריקת אתרי מפיצים</t>
        </is>
      </c>
      <c r="AG212" t="inlineStr"/>
      <c r="AH212" t="inlineStr"/>
      <c r="AJ212" t="inlineStr"/>
      <c r="AP212" t="inlineStr">
        <is>
          <t>https://www.thomassci.com/browse-by/suppliers/bioptechs</t>
        </is>
      </c>
    </row>
    <row r="213">
      <c r="A213" t="n">
        <v>212</v>
      </c>
      <c r="B213" t="inlineStr">
        <is>
          <t>Biorbyt</t>
        </is>
      </c>
      <c r="C213" t="inlineStr">
        <is>
          <t>Q</t>
        </is>
      </c>
      <c r="F213" t="inlineStr">
        <is>
          <t>yes</t>
        </is>
      </c>
      <c r="H213" t="inlineStr">
        <is>
          <t>https://biorbyt.com</t>
        </is>
      </c>
      <c r="I213" t="inlineStr">
        <is>
          <t>clearbit</t>
        </is>
      </c>
      <c r="J213" t="inlineStr"/>
      <c r="Y213" t="inlineStr">
        <is>
          <t>unknown</t>
        </is>
      </c>
      <c r="Z213" t="inlineStr"/>
      <c r="AA213" t="inlineStr"/>
      <c r="AB213" t="inlineStr"/>
      <c r="AC213" t="inlineStr"/>
      <c r="AD213" t="inlineStr">
        <is>
          <t>לא נמצא בסריקת המפיצים</t>
        </is>
      </c>
      <c r="AE213" t="inlineStr">
        <is>
          <t>סריקת אתרי מפיצים</t>
        </is>
      </c>
      <c r="AG213" t="inlineStr"/>
      <c r="AH213" t="inlineStr"/>
      <c r="AJ213" t="inlineStr"/>
      <c r="AP213" t="inlineStr">
        <is>
          <t>https://www.quartzy.com/suppliers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t>
        </is>
      </c>
      <c r="J214" t="inlineStr"/>
      <c r="Y214" t="inlineStr">
        <is>
          <t>unknown</t>
        </is>
      </c>
      <c r="Z214" t="inlineStr"/>
      <c r="AA214" t="inlineStr"/>
      <c r="AB214" t="inlineStr"/>
      <c r="AC214" t="inlineStr"/>
      <c r="AD214" t="inlineStr">
        <is>
          <t>לא נמצא בסריקת המפיצים</t>
        </is>
      </c>
      <c r="AE214" t="inlineStr">
        <is>
          <t>סריקת אתרי מפיצים</t>
        </is>
      </c>
      <c r="AG214" t="inlineStr"/>
      <c r="AH214" t="inlineStr"/>
      <c r="AJ214" t="inlineStr"/>
      <c r="AP214" t="inlineStr">
        <is>
          <t>https://www.thomassci.com/browse-by/suppliers/bioscience-international</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Y215" t="inlineStr">
        <is>
          <t>unknown</t>
        </is>
      </c>
      <c r="Z215" t="inlineStr"/>
      <c r="AA215" t="inlineStr"/>
      <c r="AB215" t="inlineStr"/>
      <c r="AC215" t="inlineStr"/>
      <c r="AD215" t="inlineStr">
        <is>
          <t>לא נמצא בסריקת המפיצים</t>
        </is>
      </c>
      <c r="AE215" t="inlineStr">
        <is>
          <t>סריקת אתרי מפיצים</t>
        </is>
      </c>
      <c r="AG215" t="inlineStr"/>
      <c r="AH215" t="inlineStr"/>
      <c r="AJ215" t="inlineStr"/>
      <c r="AP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https://bio-solve.co.za</t>
        </is>
      </c>
      <c r="I216" t="inlineStr">
        <is>
          <t>clearbit</t>
        </is>
      </c>
      <c r="J216" t="inlineStr"/>
      <c r="Y216" t="inlineStr">
        <is>
          <t>unknown</t>
        </is>
      </c>
      <c r="Z216" t="inlineStr"/>
      <c r="AA216" t="inlineStr"/>
      <c r="AB216" t="inlineStr"/>
      <c r="AC216" t="inlineStr"/>
      <c r="AD216" t="inlineStr">
        <is>
          <t>לא נמצא בסריקת המפיצים</t>
        </is>
      </c>
      <c r="AE216" t="inlineStr">
        <is>
          <t>סריקת אתרי מפיצים</t>
        </is>
      </c>
      <c r="AG216" t="inlineStr"/>
      <c r="AH216" t="inlineStr"/>
      <c r="AJ216" t="inlineStr"/>
      <c r="AP216" t="inlineStr">
        <is>
          <t>https://www.dutscher.com/search?initialFilters=brand:Biosolve</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Y217" t="inlineStr">
        <is>
          <t>unknown</t>
        </is>
      </c>
      <c r="Z217" t="inlineStr"/>
      <c r="AA217" t="inlineStr"/>
      <c r="AB217" t="inlineStr"/>
      <c r="AC217" t="inlineStr"/>
      <c r="AD217" t="inlineStr">
        <is>
          <t>לא נמצא בסריקת המפיצים</t>
        </is>
      </c>
      <c r="AE217" t="inlineStr">
        <is>
          <t>סריקת אתרי מפיצים</t>
        </is>
      </c>
      <c r="AG217" t="inlineStr"/>
      <c r="AH217" t="inlineStr"/>
      <c r="AJ217" t="inlineStr"/>
      <c r="AP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P218" t="n">
        <v>700</v>
      </c>
      <c r="Q218" t="n">
        <v>2025</v>
      </c>
      <c r="R218" t="inlineStr">
        <is>
          <t>company</t>
        </is>
      </c>
      <c r="S218" t="inlineStr">
        <is>
          <t>prior</t>
        </is>
      </c>
      <c r="T218" t="n">
        <v>201</v>
      </c>
      <c r="U218" t="inlineStr">
        <is>
          <t>SEK 2,056 million</t>
        </is>
      </c>
      <c r="V218" t="inlineStr">
        <is>
          <t>FY2024</t>
        </is>
      </c>
      <c r="W218" t="inlineStr">
        <is>
          <t>company</t>
        </is>
      </c>
      <c r="X218" t="inlineStr">
        <is>
          <t>prior</t>
        </is>
      </c>
      <c r="Y218" t="inlineStr">
        <is>
          <t>reported</t>
        </is>
      </c>
      <c r="Z218" t="inlineStr">
        <is>
          <t>Biotage Selekt (with Sfär columns)</t>
        </is>
      </c>
      <c r="AA218" t="inlineStr">
        <is>
          <t>Biotage Extrahera</t>
        </is>
      </c>
      <c r="AB218" t="inlineStr">
        <is>
          <t>Biotage Initiator+ / Alstra+</t>
        </is>
      </c>
      <c r="AC218" t="inlineStr">
        <is>
          <t>prior</t>
        </is>
      </c>
      <c r="AD218" t="inlineStr">
        <is>
          <t>מפיץ/נציג בישראל</t>
        </is>
      </c>
      <c r="AE218" t="inlineStr">
        <is>
          <t>אומת</t>
        </is>
      </c>
      <c r="AF218" t="n">
        <v>2026</v>
      </c>
      <c r="AG218" t="inlineStr">
        <is>
          <t>Bargal Analytical Instruments Ltd.</t>
        </is>
      </c>
      <c r="AH218" t="inlineStr">
        <is>
          <t>Bargal Analytical Instruments Ltd.: +972-3-979-6533 sales@bargal.co.il</t>
        </is>
      </c>
      <c r="AI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J218" t="inlineStr">
        <is>
          <t>+46 18 56 59 00</t>
        </is>
      </c>
      <c r="AK218" t="inlineStr">
        <is>
          <t>info@biotage.com</t>
        </is>
      </c>
      <c r="AL218" t="inlineStr">
        <is>
          <t>Vimpelgatan 5 (visiting; postal: Box 8, 751 03 Uppsala), Uppsala, Sweden</t>
        </is>
      </c>
      <c r="AM218" t="inlineStr">
        <is>
          <t>https://www.biotage.com/contact</t>
        </is>
      </c>
      <c r="AN218" t="inlineStr">
        <is>
          <t>https://www.biotage.com/contact</t>
        </is>
      </c>
      <c r="AP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t>
        </is>
      </c>
      <c r="J219" t="inlineStr"/>
      <c r="Y219" t="inlineStr">
        <is>
          <t>unknown</t>
        </is>
      </c>
      <c r="Z219" t="inlineStr"/>
      <c r="AA219" t="inlineStr"/>
      <c r="AB219" t="inlineStr"/>
      <c r="AC219" t="inlineStr"/>
      <c r="AD219" t="inlineStr">
        <is>
          <t>לא נמצא בסריקת המפיצים</t>
        </is>
      </c>
      <c r="AE219" t="inlineStr">
        <is>
          <t>סריקת אתרי מפיצים</t>
        </is>
      </c>
      <c r="AG219" t="inlineStr"/>
      <c r="AH219" t="inlineStr"/>
      <c r="AJ219" t="inlineStr"/>
      <c r="AP219" t="inlineStr">
        <is>
          <t>https://www.dutscher.com/search?initialFilters=brand:Biotech+Rabbit</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Y220" t="inlineStr">
        <is>
          <t>unknown</t>
        </is>
      </c>
      <c r="Z220" t="inlineStr"/>
      <c r="AA220" t="inlineStr"/>
      <c r="AB220" t="inlineStr"/>
      <c r="AC220" t="inlineStr"/>
      <c r="AD220" t="inlineStr">
        <is>
          <t>לא נמצא בסריקת המפיצים</t>
        </is>
      </c>
      <c r="AE220" t="inlineStr">
        <is>
          <t>סריקת אתרי מפיצים</t>
        </is>
      </c>
      <c r="AG220" t="inlineStr"/>
      <c r="AH220" t="inlineStr"/>
      <c r="AJ220" t="inlineStr"/>
      <c r="AP220" t="inlineStr">
        <is>
          <t>https://www.dutscher.com/search?initialFilters=brand:Biotium | https://www.quartzy.com/suppliers | https://www.thomassci.com/browse-by/suppliers/biotium</t>
        </is>
      </c>
    </row>
    <row r="221">
      <c r="A221" t="n">
        <v>220</v>
      </c>
      <c r="B221" t="inlineStr">
        <is>
          <t>Biotix</t>
        </is>
      </c>
      <c r="C221" t="inlineStr">
        <is>
          <t>T</t>
        </is>
      </c>
      <c r="E221" t="inlineStr">
        <is>
          <t>https://www.thomassci.com/browse-by/suppliers/biotix</t>
        </is>
      </c>
      <c r="F221" t="inlineStr"/>
      <c r="H221" t="inlineStr">
        <is>
          <t>https://biotix.com</t>
        </is>
      </c>
      <c r="I221" t="inlineStr">
        <is>
          <t>clearbit</t>
        </is>
      </c>
      <c r="J221" t="inlineStr"/>
      <c r="Y221" t="inlineStr">
        <is>
          <t>unknown</t>
        </is>
      </c>
      <c r="Z221" t="inlineStr"/>
      <c r="AA221" t="inlineStr"/>
      <c r="AB221" t="inlineStr"/>
      <c r="AC221" t="inlineStr"/>
      <c r="AD221" t="inlineStr">
        <is>
          <t>לא נמצא בסריקת המפיצים</t>
        </is>
      </c>
      <c r="AE221" t="inlineStr">
        <is>
          <t>סריקת אתרי מפיצים</t>
        </is>
      </c>
      <c r="AG221" t="inlineStr"/>
      <c r="AH221" t="inlineStr"/>
      <c r="AJ221" t="inlineStr"/>
      <c r="AP221" t="inlineStr">
        <is>
          <t>https://www.thomassci.com/browse-by/suppliers/biotix</t>
        </is>
      </c>
    </row>
    <row r="222">
      <c r="A222" t="n">
        <v>221</v>
      </c>
      <c r="B222" t="inlineStr">
        <is>
          <t>BioVision</t>
        </is>
      </c>
      <c r="C222" t="inlineStr">
        <is>
          <t>Q</t>
        </is>
      </c>
      <c r="F222" t="inlineStr">
        <is>
          <t>yes</t>
        </is>
      </c>
      <c r="H222" t="inlineStr">
        <is>
          <t>https://biovision.com</t>
        </is>
      </c>
      <c r="I222" t="inlineStr">
        <is>
          <t>clearbit</t>
        </is>
      </c>
      <c r="J222" t="inlineStr"/>
      <c r="Y222" t="inlineStr">
        <is>
          <t>unknown</t>
        </is>
      </c>
      <c r="Z222" t="inlineStr"/>
      <c r="AA222" t="inlineStr"/>
      <c r="AB222" t="inlineStr"/>
      <c r="AC222" t="inlineStr"/>
      <c r="AD222" t="inlineStr">
        <is>
          <t>לא נמצא בסריקת המפיצים</t>
        </is>
      </c>
      <c r="AE222" t="inlineStr">
        <is>
          <t>סריקת אתרי מפיצים</t>
        </is>
      </c>
      <c r="AG222" t="inlineStr"/>
      <c r="AH222" t="inlineStr"/>
      <c r="AJ222" t="inlineStr"/>
      <c r="AP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t>
        </is>
      </c>
      <c r="J223" t="inlineStr"/>
      <c r="Y223" t="inlineStr">
        <is>
          <t>unknown</t>
        </is>
      </c>
      <c r="Z223" t="inlineStr"/>
      <c r="AA223" t="inlineStr"/>
      <c r="AB223" t="inlineStr"/>
      <c r="AC223" t="inlineStr"/>
      <c r="AD223" t="inlineStr">
        <is>
          <t>לא נמצא בסריקת המפיצים</t>
        </is>
      </c>
      <c r="AE223" t="inlineStr">
        <is>
          <t>סריקת אתרי מפיצים</t>
        </is>
      </c>
      <c r="AG223" t="inlineStr"/>
      <c r="AH223" t="inlineStr"/>
      <c r="AJ223" t="inlineStr"/>
      <c r="AP223" t="inlineStr">
        <is>
          <t>https://www.quartzy.com/suppliers | https://www.thomassci.com/browse-by/suppliers/bioworld</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t>
        </is>
      </c>
      <c r="J224" t="inlineStr"/>
      <c r="Y224" t="inlineStr">
        <is>
          <t>unknown</t>
        </is>
      </c>
      <c r="Z224" t="inlineStr"/>
      <c r="AA224" t="inlineStr"/>
      <c r="AB224" t="inlineStr"/>
      <c r="AC224" t="inlineStr"/>
      <c r="AD224" t="inlineStr">
        <is>
          <t>לא נמצא בסריקת המפיצים</t>
        </is>
      </c>
      <c r="AE224" t="inlineStr">
        <is>
          <t>סריקת אתרי מפיצים</t>
        </is>
      </c>
      <c r="AG224" t="inlineStr"/>
      <c r="AH224" t="inlineStr"/>
      <c r="AJ224" t="inlineStr"/>
      <c r="AP224" t="inlineStr">
        <is>
          <t>https://www.thomassci.com/browse-by/suppliers/birch-biotech</t>
        </is>
      </c>
    </row>
    <row r="225">
      <c r="A225" t="n">
        <v>224</v>
      </c>
      <c r="B225" t="inlineStr">
        <is>
          <t>Bird Applicator Inc.</t>
        </is>
      </c>
      <c r="C225" t="inlineStr">
        <is>
          <t>T</t>
        </is>
      </c>
      <c r="E225" t="inlineStr">
        <is>
          <t>https://www.thomassci.com/browse-by/suppliers/bird-applicator-inc-</t>
        </is>
      </c>
      <c r="F225" t="inlineStr"/>
      <c r="J225" t="inlineStr"/>
      <c r="Y225" t="inlineStr">
        <is>
          <t>unknown</t>
        </is>
      </c>
      <c r="Z225" t="inlineStr"/>
      <c r="AA225" t="inlineStr"/>
      <c r="AB225" t="inlineStr"/>
      <c r="AC225" t="inlineStr"/>
      <c r="AD225" t="inlineStr">
        <is>
          <t>לא נמצא בסריקת המפיצים</t>
        </is>
      </c>
      <c r="AE225" t="inlineStr">
        <is>
          <t>סריקת אתרי מפיצים</t>
        </is>
      </c>
      <c r="AG225" t="inlineStr"/>
      <c r="AH225" t="inlineStr"/>
      <c r="AJ225" t="inlineStr"/>
      <c r="AP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Y226" t="inlineStr">
        <is>
          <t>unknown</t>
        </is>
      </c>
      <c r="Z226" t="inlineStr"/>
      <c r="AA226" t="inlineStr"/>
      <c r="AB226" t="inlineStr"/>
      <c r="AC226" t="inlineStr"/>
      <c r="AD226" t="inlineStr">
        <is>
          <t>לא נמצא בסריקת המפיצים</t>
        </is>
      </c>
      <c r="AE226" t="inlineStr">
        <is>
          <t>סריקת אתרי מפיצים</t>
        </is>
      </c>
      <c r="AG226" t="inlineStr"/>
      <c r="AH226" t="inlineStr"/>
      <c r="AJ226" t="inlineStr"/>
      <c r="AP226" t="inlineStr">
        <is>
          <t>https://www.thomassci.com/browse-by/suppliers/blazer</t>
        </is>
      </c>
    </row>
    <row r="227">
      <c r="A227" t="n">
        <v>226</v>
      </c>
      <c r="B227" t="inlineStr">
        <is>
          <t>BLD Pharmatech</t>
        </is>
      </c>
      <c r="C227" t="inlineStr">
        <is>
          <t>Q</t>
        </is>
      </c>
      <c r="F227" t="inlineStr">
        <is>
          <t>yes</t>
        </is>
      </c>
      <c r="J227" t="inlineStr"/>
      <c r="Y227" t="inlineStr">
        <is>
          <t>unknown</t>
        </is>
      </c>
      <c r="Z227" t="inlineStr"/>
      <c r="AA227" t="inlineStr"/>
      <c r="AB227" t="inlineStr"/>
      <c r="AC227" t="inlineStr"/>
      <c r="AD227" t="inlineStr">
        <is>
          <t>לא נמצא בסריקת המפיצים</t>
        </is>
      </c>
      <c r="AE227" t="inlineStr">
        <is>
          <t>סריקת אתרי מפיצים</t>
        </is>
      </c>
      <c r="AG227" t="inlineStr"/>
      <c r="AH227" t="inlineStr"/>
      <c r="AJ227" t="inlineStr"/>
      <c r="AP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t>
        </is>
      </c>
      <c r="J228" t="inlineStr"/>
      <c r="Y228" t="inlineStr">
        <is>
          <t>unknown</t>
        </is>
      </c>
      <c r="Z228" t="inlineStr"/>
      <c r="AA228" t="inlineStr"/>
      <c r="AB228" t="inlineStr"/>
      <c r="AC228" t="inlineStr"/>
      <c r="AD228" t="inlineStr">
        <is>
          <t>לא נמצא בסריקת המפיצים</t>
        </is>
      </c>
      <c r="AE228" t="inlineStr">
        <is>
          <t>סריקת אתרי מפיצים</t>
        </is>
      </c>
      <c r="AG228" t="inlineStr"/>
      <c r="AH228" t="inlineStr"/>
      <c r="AJ228" t="inlineStr"/>
      <c r="AP228" t="inlineStr">
        <is>
          <t>https://www.thomassci.com/browse-by/suppliers/blue-ocean-life-sciences</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Y229" t="inlineStr">
        <is>
          <t>unknown</t>
        </is>
      </c>
      <c r="Z229" t="inlineStr"/>
      <c r="AA229" t="inlineStr"/>
      <c r="AB229" t="inlineStr"/>
      <c r="AC229" t="inlineStr"/>
      <c r="AD229" t="inlineStr">
        <is>
          <t>לא נמצא בסריקת המפיצים</t>
        </is>
      </c>
      <c r="AE229" t="inlineStr">
        <is>
          <t>סריקת אתרי מפיצים</t>
        </is>
      </c>
      <c r="AG229" t="inlineStr"/>
      <c r="AH229" t="inlineStr"/>
      <c r="AJ229" t="inlineStr"/>
      <c r="AP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Y230" t="inlineStr">
        <is>
          <t>unknown</t>
        </is>
      </c>
      <c r="Z230" t="inlineStr"/>
      <c r="AA230" t="inlineStr"/>
      <c r="AB230" t="inlineStr"/>
      <c r="AC230" t="inlineStr"/>
      <c r="AD230" t="inlineStr">
        <is>
          <t>לא נמצא בסריקת המפיצים</t>
        </is>
      </c>
      <c r="AE230" t="inlineStr">
        <is>
          <t>סריקת אתרי מפיצים</t>
        </is>
      </c>
      <c r="AG230" t="inlineStr"/>
      <c r="AH230" t="inlineStr"/>
      <c r="AJ230" t="inlineStr"/>
      <c r="AP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Y231" t="inlineStr">
        <is>
          <t>unknown</t>
        </is>
      </c>
      <c r="Z231" t="inlineStr"/>
      <c r="AA231" t="inlineStr"/>
      <c r="AB231" t="inlineStr"/>
      <c r="AC231" t="inlineStr"/>
      <c r="AD231" t="inlineStr">
        <is>
          <t>לא נמצא בסריקת המפיצים</t>
        </is>
      </c>
      <c r="AE231" t="inlineStr">
        <is>
          <t>סריקת אתרי מפיצים</t>
        </is>
      </c>
      <c r="AG231" t="inlineStr"/>
      <c r="AH231" t="inlineStr"/>
      <c r="AJ231" t="inlineStr"/>
      <c r="AP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Y232" t="inlineStr">
        <is>
          <t>unknown</t>
        </is>
      </c>
      <c r="Z232" t="inlineStr"/>
      <c r="AA232" t="inlineStr"/>
      <c r="AB232" t="inlineStr"/>
      <c r="AC232" t="inlineStr"/>
      <c r="AD232" t="inlineStr">
        <is>
          <t>לא נמצא בסריקת המפיצים</t>
        </is>
      </c>
      <c r="AE232" t="inlineStr">
        <is>
          <t>סריקת אתרי מפיצים</t>
        </is>
      </c>
      <c r="AG232" t="inlineStr"/>
      <c r="AH232" t="inlineStr"/>
      <c r="AJ232" t="inlineStr"/>
      <c r="AP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Y233" t="inlineStr">
        <is>
          <t>unknown</t>
        </is>
      </c>
      <c r="Z233" t="inlineStr"/>
      <c r="AA233" t="inlineStr"/>
      <c r="AB233" t="inlineStr"/>
      <c r="AC233" t="inlineStr"/>
      <c r="AD233" t="inlineStr">
        <is>
          <t>לא נמצא בסריקת המפיצים</t>
        </is>
      </c>
      <c r="AE233" t="inlineStr">
        <is>
          <t>סריקת אתרי מפיצים</t>
        </is>
      </c>
      <c r="AG233" t="inlineStr"/>
      <c r="AH233" t="inlineStr"/>
      <c r="AJ233" t="inlineStr"/>
      <c r="AP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Y234" t="inlineStr">
        <is>
          <t>unknown</t>
        </is>
      </c>
      <c r="Z234" t="inlineStr"/>
      <c r="AA234" t="inlineStr"/>
      <c r="AB234" t="inlineStr"/>
      <c r="AC234" t="inlineStr"/>
      <c r="AD234" t="inlineStr">
        <is>
          <t>לא נמצא בסריקת המפיצים</t>
        </is>
      </c>
      <c r="AE234" t="inlineStr">
        <is>
          <t>סריקת אתרי מפיצים</t>
        </is>
      </c>
      <c r="AG234" t="inlineStr"/>
      <c r="AH234" t="inlineStr"/>
      <c r="AJ234" t="inlineStr"/>
      <c r="AP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t>
        </is>
      </c>
      <c r="J235" t="inlineStr"/>
      <c r="Y235" t="inlineStr">
        <is>
          <t>unknown</t>
        </is>
      </c>
      <c r="Z235" t="inlineStr"/>
      <c r="AA235" t="inlineStr"/>
      <c r="AB235" t="inlineStr"/>
      <c r="AC235" t="inlineStr"/>
      <c r="AD235" t="inlineStr">
        <is>
          <t>לא נמצא בסריקת המפיצים</t>
        </is>
      </c>
      <c r="AE235" t="inlineStr">
        <is>
          <t>סריקת אתרי מפיצים</t>
        </is>
      </c>
      <c r="AG235" t="inlineStr"/>
      <c r="AH235" t="inlineStr"/>
      <c r="AJ235" t="inlineStr"/>
      <c r="AP235" t="inlineStr">
        <is>
          <t>https://www.thomassci.com/browse-by/suppliers/borosil</t>
        </is>
      </c>
    </row>
    <row r="236">
      <c r="A236" t="n">
        <v>235</v>
      </c>
      <c r="B236" t="inlineStr">
        <is>
          <t>Boss® by PIP Global Safety</t>
        </is>
      </c>
      <c r="C236" t="inlineStr">
        <is>
          <t>T</t>
        </is>
      </c>
      <c r="E236" t="inlineStr">
        <is>
          <t>https://www.thomassci.com/browse-by/suppliers/boss-by-pip-global-safety</t>
        </is>
      </c>
      <c r="F236" t="inlineStr"/>
      <c r="J236" t="inlineStr"/>
      <c r="Y236" t="inlineStr">
        <is>
          <t>unknown</t>
        </is>
      </c>
      <c r="Z236" t="inlineStr"/>
      <c r="AA236" t="inlineStr"/>
      <c r="AB236" t="inlineStr"/>
      <c r="AC236" t="inlineStr"/>
      <c r="AD236" t="inlineStr">
        <is>
          <t>לא נמצא בסריקת המפיצים</t>
        </is>
      </c>
      <c r="AE236" t="inlineStr">
        <is>
          <t>סריקת אתרי מפיצים</t>
        </is>
      </c>
      <c r="AG236" t="inlineStr"/>
      <c r="AH236" t="inlineStr"/>
      <c r="AJ236" t="inlineStr"/>
      <c r="AP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t>
        </is>
      </c>
      <c r="J237" t="inlineStr"/>
      <c r="Y237" t="inlineStr">
        <is>
          <t>unknown</t>
        </is>
      </c>
      <c r="Z237" t="inlineStr"/>
      <c r="AA237" t="inlineStr"/>
      <c r="AB237" t="inlineStr"/>
      <c r="AC237" t="inlineStr"/>
      <c r="AD237" t="inlineStr">
        <is>
          <t>לא נמצא בסריקת המפיצים</t>
        </is>
      </c>
      <c r="AE237" t="inlineStr">
        <is>
          <t>סריקת אתרי מפיצים</t>
        </is>
      </c>
      <c r="AG237" t="inlineStr"/>
      <c r="AH237" t="inlineStr"/>
      <c r="AJ237" t="inlineStr"/>
      <c r="AP237" t="inlineStr">
        <is>
          <t>https://www.quartzy.com/suppliers</t>
        </is>
      </c>
    </row>
    <row r="238">
      <c r="A238" t="n">
        <v>237</v>
      </c>
      <c r="B238" t="inlineStr">
        <is>
          <t>Boston Biochem</t>
        </is>
      </c>
      <c r="C238" t="inlineStr">
        <is>
          <t>Q</t>
        </is>
      </c>
      <c r="F238" t="inlineStr">
        <is>
          <t>yes</t>
        </is>
      </c>
      <c r="J238" t="inlineStr"/>
      <c r="Y238" t="inlineStr">
        <is>
          <t>unknown</t>
        </is>
      </c>
      <c r="Z238" t="inlineStr"/>
      <c r="AA238" t="inlineStr"/>
      <c r="AB238" t="inlineStr"/>
      <c r="AC238" t="inlineStr"/>
      <c r="AD238" t="inlineStr">
        <is>
          <t>לא נמצא בסריקת המפיצים</t>
        </is>
      </c>
      <c r="AE238" t="inlineStr">
        <is>
          <t>סריקת אתרי מפיצים</t>
        </is>
      </c>
      <c r="AG238" t="inlineStr"/>
      <c r="AH238" t="inlineStr"/>
      <c r="AJ238" t="inlineStr"/>
      <c r="AP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t>
        </is>
      </c>
      <c r="J239" t="inlineStr"/>
      <c r="Y239" t="inlineStr">
        <is>
          <t>unknown</t>
        </is>
      </c>
      <c r="Z239" t="inlineStr"/>
      <c r="AA239" t="inlineStr"/>
      <c r="AB239" t="inlineStr"/>
      <c r="AC239" t="inlineStr"/>
      <c r="AD239" t="inlineStr">
        <is>
          <t>לא נמצא בסריקת המפיצים</t>
        </is>
      </c>
      <c r="AE239" t="inlineStr">
        <is>
          <t>סריקת אתרי מפיצים</t>
        </is>
      </c>
      <c r="AG239" t="inlineStr"/>
      <c r="AH239" t="inlineStr"/>
      <c r="AJ239" t="inlineStr"/>
      <c r="AP239" t="inlineStr">
        <is>
          <t>https://www.quartzy.com/suppliers | https://www.thomassci.com/browse-by/suppliers/boston-bioproducts</t>
        </is>
      </c>
    </row>
    <row r="240">
      <c r="A240" t="n">
        <v>239</v>
      </c>
      <c r="B240" t="inlineStr">
        <is>
          <t>Botron</t>
        </is>
      </c>
      <c r="C240" t="inlineStr">
        <is>
          <t>T</t>
        </is>
      </c>
      <c r="E240" t="inlineStr">
        <is>
          <t>https://www.thomassci.com/browse-by/suppliers/botron</t>
        </is>
      </c>
      <c r="F240" t="inlineStr"/>
      <c r="H240" t="inlineStr">
        <is>
          <t>https://botron.com</t>
        </is>
      </c>
      <c r="I240" t="inlineStr">
        <is>
          <t>clearbit</t>
        </is>
      </c>
      <c r="J240" t="inlineStr"/>
      <c r="Y240" t="inlineStr">
        <is>
          <t>unknown</t>
        </is>
      </c>
      <c r="Z240" t="inlineStr"/>
      <c r="AA240" t="inlineStr"/>
      <c r="AB240" t="inlineStr"/>
      <c r="AC240" t="inlineStr"/>
      <c r="AD240" t="inlineStr">
        <is>
          <t>לא נמצא בסריקת המפיצים</t>
        </is>
      </c>
      <c r="AE240" t="inlineStr">
        <is>
          <t>סריקת אתרי מפיצים</t>
        </is>
      </c>
      <c r="AG240" t="inlineStr"/>
      <c r="AH240" t="inlineStr"/>
      <c r="AJ240" t="inlineStr"/>
      <c r="AP240" t="inlineStr">
        <is>
          <t>https://www.thomassci.com/browse-by/suppliers/botron</t>
        </is>
      </c>
    </row>
    <row r="241">
      <c r="A241" t="n">
        <v>240</v>
      </c>
      <c r="B241" t="inlineStr">
        <is>
          <t>Bouton® Optical by PIP Global Safety</t>
        </is>
      </c>
      <c r="C241" t="inlineStr">
        <is>
          <t>T</t>
        </is>
      </c>
      <c r="E241" t="inlineStr">
        <is>
          <t>https://www.thomassci.com/browse-by/suppliers/bouton-optical-by-pip-global-safety</t>
        </is>
      </c>
      <c r="F241" t="inlineStr"/>
      <c r="J241" t="inlineStr"/>
      <c r="Y241" t="inlineStr">
        <is>
          <t>unknown</t>
        </is>
      </c>
      <c r="Z241" t="inlineStr"/>
      <c r="AA241" t="inlineStr"/>
      <c r="AB241" t="inlineStr"/>
      <c r="AC241" t="inlineStr"/>
      <c r="AD241" t="inlineStr">
        <is>
          <t>לא נמצא בסריקת המפיצים</t>
        </is>
      </c>
      <c r="AE241" t="inlineStr">
        <is>
          <t>סריקת אתרי מפיצים</t>
        </is>
      </c>
      <c r="AG241" t="inlineStr"/>
      <c r="AH241" t="inlineStr"/>
      <c r="AJ241" t="inlineStr"/>
      <c r="AP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Y242" t="inlineStr">
        <is>
          <t>unknown</t>
        </is>
      </c>
      <c r="Z242" t="inlineStr"/>
      <c r="AA242" t="inlineStr"/>
      <c r="AB242" t="inlineStr"/>
      <c r="AC242" t="inlineStr"/>
      <c r="AD242" t="inlineStr">
        <is>
          <t>לא נמצא בסריקת המפיצים</t>
        </is>
      </c>
      <c r="AE242" t="inlineStr">
        <is>
          <t>סריקת אתרי מפיצים</t>
        </is>
      </c>
      <c r="AG242" t="inlineStr"/>
      <c r="AH242" t="inlineStr"/>
      <c r="AJ242" t="inlineStr"/>
      <c r="AP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Y243" t="inlineStr">
        <is>
          <t>unknown</t>
        </is>
      </c>
      <c r="Z243" t="inlineStr"/>
      <c r="AA243" t="inlineStr"/>
      <c r="AB243" t="inlineStr"/>
      <c r="AC243" t="inlineStr"/>
      <c r="AD243" t="inlineStr">
        <is>
          <t>לא נמצא בסריקת המפיצים</t>
        </is>
      </c>
      <c r="AE243" t="inlineStr">
        <is>
          <t>סריקת אתרי מפיצים</t>
        </is>
      </c>
      <c r="AG243" t="inlineStr"/>
      <c r="AH243" t="inlineStr"/>
      <c r="AJ243" t="inlineStr"/>
      <c r="AP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t>
        </is>
      </c>
      <c r="J244" t="inlineStr"/>
      <c r="Y244" t="inlineStr">
        <is>
          <t>unknown</t>
        </is>
      </c>
      <c r="Z244" t="inlineStr"/>
      <c r="AA244" t="inlineStr"/>
      <c r="AB244" t="inlineStr"/>
      <c r="AC244" t="inlineStr"/>
      <c r="AD244" t="inlineStr">
        <is>
          <t>לא נמצא בסריקת המפיצים</t>
        </is>
      </c>
      <c r="AE244" t="inlineStr">
        <is>
          <t>סריקת אתרי מפיצים</t>
        </is>
      </c>
      <c r="AG244" t="inlineStr"/>
      <c r="AH244" t="inlineStr"/>
      <c r="AJ244" t="inlineStr"/>
      <c r="AP244" t="inlineStr">
        <is>
          <t>https://www.thomassci.com/browse-by/suppliers/box-scientific</t>
        </is>
      </c>
    </row>
    <row r="245">
      <c r="A245" t="n">
        <v>244</v>
      </c>
      <c r="B245" t="inlineStr">
        <is>
          <t>Brady</t>
        </is>
      </c>
      <c r="C245" t="inlineStr">
        <is>
          <t>D+Q</t>
        </is>
      </c>
      <c r="D245" t="inlineStr">
        <is>
          <t>https://www.dutscher.com/search?initialFilters=brand:Brady</t>
        </is>
      </c>
      <c r="F245" t="inlineStr">
        <is>
          <t>yes</t>
        </is>
      </c>
      <c r="H245" t="inlineStr">
        <is>
          <t>https://bradyunited.org</t>
        </is>
      </c>
      <c r="I245" t="inlineStr">
        <is>
          <t>clearbit</t>
        </is>
      </c>
      <c r="J245" t="inlineStr"/>
      <c r="Y245" t="inlineStr">
        <is>
          <t>unknown</t>
        </is>
      </c>
      <c r="Z245" t="inlineStr"/>
      <c r="AA245" t="inlineStr"/>
      <c r="AB245" t="inlineStr"/>
      <c r="AC245" t="inlineStr"/>
      <c r="AD245" t="inlineStr">
        <is>
          <t>לא נמצא בסריקת המפיצים</t>
        </is>
      </c>
      <c r="AE245" t="inlineStr">
        <is>
          <t>סריקת אתרי מפיצים</t>
        </is>
      </c>
      <c r="AG245" t="inlineStr"/>
      <c r="AH245" t="inlineStr"/>
      <c r="AJ245" t="inlineStr"/>
      <c r="AP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Y246" t="inlineStr">
        <is>
          <t>unknown</t>
        </is>
      </c>
      <c r="Z246" t="inlineStr"/>
      <c r="AA246" t="inlineStr"/>
      <c r="AB246" t="inlineStr"/>
      <c r="AC246" t="inlineStr"/>
      <c r="AD246" t="inlineStr">
        <is>
          <t>לא נמצא בסריקת המפיצים</t>
        </is>
      </c>
      <c r="AE246" t="inlineStr">
        <is>
          <t>סריקת אתרי מפיצים</t>
        </is>
      </c>
      <c r="AG246" t="inlineStr"/>
      <c r="AH246" t="inlineStr"/>
      <c r="AJ246" t="inlineStr"/>
      <c r="AP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P247" t="n">
        <v>1000</v>
      </c>
      <c r="Q247" t="n">
        <v>2025</v>
      </c>
      <c r="R247" t="inlineStr">
        <is>
          <t>parent</t>
        </is>
      </c>
      <c r="S247" t="inlineStr">
        <is>
          <t>prior</t>
        </is>
      </c>
      <c r="T247" t="n">
        <v>176</v>
      </c>
      <c r="U247" t="inlineStr">
        <is>
          <t>EUR ~160 million p.a.</t>
        </is>
      </c>
      <c r="V247" t="inlineStr">
        <is>
          <t>c. FY2024 (undated current company brochure)</t>
        </is>
      </c>
      <c r="W247" t="inlineStr">
        <is>
          <t>parent</t>
        </is>
      </c>
      <c r="X247" t="inlineStr">
        <is>
          <t>prior</t>
        </is>
      </c>
      <c r="Y247" t="inlineStr">
        <is>
          <t>reported</t>
        </is>
      </c>
      <c r="Z247" t="inlineStr">
        <is>
          <t>Transferpette S / electronic</t>
        </is>
      </c>
      <c r="AA247" t="inlineStr">
        <is>
          <t>Dispensette S &amp; HandyStep</t>
        </is>
      </c>
      <c r="AB247" t="inlineStr">
        <is>
          <t>BLAUBRAND volumetric glassware</t>
        </is>
      </c>
      <c r="AC247" t="inlineStr">
        <is>
          <t>prior</t>
        </is>
      </c>
      <c r="AD247" t="inlineStr">
        <is>
          <t>מפיץ/נציג בישראל</t>
        </is>
      </c>
      <c r="AE247" t="inlineStr">
        <is>
          <t>אומת</t>
        </is>
      </c>
      <c r="AF247" t="n">
        <v>2026</v>
      </c>
      <c r="AG247" t="inlineStr">
        <is>
          <t>Labotal Scientific Equipment Ltd.; Yoel Naim Ltd.</t>
        </is>
      </c>
      <c r="AH247" t="inlineStr">
        <is>
          <t>Labotal Scientific Equipment Ltd.: +972 2-579-9222 Sales@labotal.co.il; Yoel Naim Ltd.:</t>
        </is>
      </c>
      <c r="AI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7" t="inlineStr">
        <is>
          <t>+49 9342 808-0</t>
        </is>
      </c>
      <c r="AK247" t="inlineStr">
        <is>
          <t>info@brand.de</t>
        </is>
      </c>
      <c r="AL247" t="inlineStr">
        <is>
          <t>Otto-Schott-Str. 25, 97877 Wertheim, Germany</t>
        </is>
      </c>
      <c r="AM247" t="inlineStr">
        <is>
          <t>https://brand.de/en/contact/how-to-find-us</t>
        </is>
      </c>
      <c r="AN247" t="inlineStr">
        <is>
          <t>https://www.brand.de/en/imprint/</t>
        </is>
      </c>
      <c r="AP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https://www.brand.de</t>
        </is>
      </c>
      <c r="I248" t="inlineStr">
        <is>
          <t>prior</t>
        </is>
      </c>
      <c r="J248" t="inlineStr">
        <is>
          <t>גרמניה</t>
        </is>
      </c>
      <c r="K248" t="inlineStr">
        <is>
          <t>Wertheim</t>
        </is>
      </c>
      <c r="M248" t="n">
        <v>1949</v>
      </c>
      <c r="N248" t="inlineStr">
        <is>
          <t>Liquid handling &amp; lab automation</t>
        </is>
      </c>
      <c r="P248" t="n">
        <v>1000</v>
      </c>
      <c r="Q248" t="n">
        <v>2025</v>
      </c>
      <c r="R248" t="inlineStr">
        <is>
          <t>parent</t>
        </is>
      </c>
      <c r="S248" t="inlineStr">
        <is>
          <t>prior</t>
        </is>
      </c>
      <c r="T248" t="n">
        <v>176</v>
      </c>
      <c r="U248" t="inlineStr">
        <is>
          <t>EUR ~160 million p.a.</t>
        </is>
      </c>
      <c r="V248" t="inlineStr">
        <is>
          <t>c. FY2024 (undated current company brochure)</t>
        </is>
      </c>
      <c r="W248" t="inlineStr">
        <is>
          <t>parent</t>
        </is>
      </c>
      <c r="X248" t="inlineStr">
        <is>
          <t>prior</t>
        </is>
      </c>
      <c r="Y248" t="inlineStr">
        <is>
          <t>reported</t>
        </is>
      </c>
      <c r="Z248" t="inlineStr">
        <is>
          <t>Transferpette S / electronic</t>
        </is>
      </c>
      <c r="AA248" t="inlineStr">
        <is>
          <t>Dispensette S &amp; HandyStep</t>
        </is>
      </c>
      <c r="AB248" t="inlineStr">
        <is>
          <t>BLAUBRAND volumetric glassware</t>
        </is>
      </c>
      <c r="AC248" t="inlineStr">
        <is>
          <t>prior</t>
        </is>
      </c>
      <c r="AD248" t="inlineStr">
        <is>
          <t>מפיץ/נציג בישראל</t>
        </is>
      </c>
      <c r="AE248" t="inlineStr">
        <is>
          <t>אומת</t>
        </is>
      </c>
      <c r="AF248" t="n">
        <v>2026</v>
      </c>
      <c r="AG248" t="inlineStr">
        <is>
          <t>Labotal Scientific Equipment Ltd.; Yoel Naim Ltd.</t>
        </is>
      </c>
      <c r="AH248" t="inlineStr">
        <is>
          <t>Labotal Scientific Equipment Ltd.: +972 2-579-9222 Sales@labotal.co.il; Yoel Naim Ltd.:</t>
        </is>
      </c>
      <c r="AI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8" t="inlineStr">
        <is>
          <t>+49 9342 808-0</t>
        </is>
      </c>
      <c r="AK248" t="inlineStr">
        <is>
          <t>info@brand.de</t>
        </is>
      </c>
      <c r="AL248" t="inlineStr">
        <is>
          <t>Otto-Schott-Str. 25, 97877 Wertheim, Germany</t>
        </is>
      </c>
      <c r="AM248" t="inlineStr">
        <is>
          <t>https://brand.de/en/contact/how-to-find-us</t>
        </is>
      </c>
      <c r="AN248" t="inlineStr">
        <is>
          <t>https://www.brand.de/en/imprint/</t>
        </is>
      </c>
      <c r="AP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9">
      <c r="A249" t="n">
        <v>248</v>
      </c>
      <c r="B249" t="inlineStr">
        <is>
          <t>Branson</t>
        </is>
      </c>
      <c r="C249" t="inlineStr">
        <is>
          <t>T</t>
        </is>
      </c>
      <c r="E249" t="inlineStr">
        <is>
          <t>https://www.thomassci.com/browse-by/suppliers/branson</t>
        </is>
      </c>
      <c r="F249" t="inlineStr"/>
      <c r="J249" t="inlineStr"/>
      <c r="Y249" t="inlineStr">
        <is>
          <t>unknown</t>
        </is>
      </c>
      <c r="Z249" t="inlineStr"/>
      <c r="AA249" t="inlineStr"/>
      <c r="AB249" t="inlineStr"/>
      <c r="AC249" t="inlineStr"/>
      <c r="AD249" t="inlineStr">
        <is>
          <t>לא נמצא בסריקת המפיצים</t>
        </is>
      </c>
      <c r="AE249" t="inlineStr">
        <is>
          <t>סריקת אתרי מפיצים</t>
        </is>
      </c>
      <c r="AG249" t="inlineStr"/>
      <c r="AH249" t="inlineStr"/>
      <c r="AJ249" t="inlineStr"/>
      <c r="AP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Y250" t="inlineStr">
        <is>
          <t>unknown</t>
        </is>
      </c>
      <c r="Z250" t="inlineStr"/>
      <c r="AA250" t="inlineStr"/>
      <c r="AB250" t="inlineStr"/>
      <c r="AC250" t="inlineStr"/>
      <c r="AD250" t="inlineStr">
        <is>
          <t>לא נמצא בסריקת המפיצים</t>
        </is>
      </c>
      <c r="AE250" t="inlineStr">
        <is>
          <t>סריקת אתרי מפיצים</t>
        </is>
      </c>
      <c r="AG250" t="inlineStr"/>
      <c r="AH250" t="inlineStr"/>
      <c r="AJ250" t="inlineStr"/>
      <c r="AP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Y251" t="inlineStr">
        <is>
          <t>unknown</t>
        </is>
      </c>
      <c r="Z251" t="inlineStr"/>
      <c r="AA251" t="inlineStr"/>
      <c r="AB251" t="inlineStr"/>
      <c r="AC251" t="inlineStr"/>
      <c r="AD251" t="inlineStr">
        <is>
          <t>לא נמצא בסריקת המפיצים</t>
        </is>
      </c>
      <c r="AE251" t="inlineStr">
        <is>
          <t>סריקת אתרי מפיצים</t>
        </is>
      </c>
      <c r="AG251" t="inlineStr"/>
      <c r="AH251" t="inlineStr"/>
      <c r="AJ251" t="inlineStr"/>
      <c r="AP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H252" t="inlineStr">
        <is>
          <t>https://brenntagpacific.com</t>
        </is>
      </c>
      <c r="I252" t="inlineStr">
        <is>
          <t>clearbit</t>
        </is>
      </c>
      <c r="J252" t="inlineStr"/>
      <c r="Y252" t="inlineStr">
        <is>
          <t>unknown</t>
        </is>
      </c>
      <c r="Z252" t="inlineStr"/>
      <c r="AA252" t="inlineStr"/>
      <c r="AB252" t="inlineStr"/>
      <c r="AC252" t="inlineStr"/>
      <c r="AD252" t="inlineStr">
        <is>
          <t>לא נמצא בסריקת המפיצים</t>
        </is>
      </c>
      <c r="AE252" t="inlineStr">
        <is>
          <t>סריקת אתרי מפיצים</t>
        </is>
      </c>
      <c r="AG252" t="inlineStr"/>
      <c r="AH252" t="inlineStr"/>
      <c r="AJ252" t="inlineStr"/>
      <c r="AP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t>
        </is>
      </c>
      <c r="J253" t="inlineStr"/>
      <c r="Y253" t="inlineStr">
        <is>
          <t>unknown</t>
        </is>
      </c>
      <c r="Z253" t="inlineStr"/>
      <c r="AA253" t="inlineStr"/>
      <c r="AB253" t="inlineStr"/>
      <c r="AC253" t="inlineStr"/>
      <c r="AD253" t="inlineStr">
        <is>
          <t>לא נמצא בסריקת המפיצים</t>
        </is>
      </c>
      <c r="AE253" t="inlineStr">
        <is>
          <t>סריקת אתרי מפיצים</t>
        </is>
      </c>
      <c r="AG253" t="inlineStr"/>
      <c r="AH253" t="inlineStr"/>
      <c r="AJ253" t="inlineStr"/>
      <c r="AP253" t="inlineStr">
        <is>
          <t>https://www.thomassci.com/browse-by/suppliers/briskheat</t>
        </is>
      </c>
    </row>
    <row r="254">
      <c r="A254" t="n">
        <v>253</v>
      </c>
      <c r="B254" t="inlineStr">
        <is>
          <t>BroadPharm</t>
        </is>
      </c>
      <c r="C254" t="inlineStr">
        <is>
          <t>Q</t>
        </is>
      </c>
      <c r="F254" t="inlineStr">
        <is>
          <t>yes</t>
        </is>
      </c>
      <c r="H254" t="inlineStr">
        <is>
          <t>https://broadpharm.com</t>
        </is>
      </c>
      <c r="I254" t="inlineStr">
        <is>
          <t>clearbit</t>
        </is>
      </c>
      <c r="J254" t="inlineStr"/>
      <c r="Y254" t="inlineStr">
        <is>
          <t>unknown</t>
        </is>
      </c>
      <c r="Z254" t="inlineStr"/>
      <c r="AA254" t="inlineStr"/>
      <c r="AB254" t="inlineStr"/>
      <c r="AC254" t="inlineStr"/>
      <c r="AD254" t="inlineStr">
        <is>
          <t>לא נמצא בסריקת המפיצים</t>
        </is>
      </c>
      <c r="AE254" t="inlineStr">
        <is>
          <t>סריקת אתרי מפיצים</t>
        </is>
      </c>
      <c r="AG254" t="inlineStr"/>
      <c r="AH254" t="inlineStr"/>
      <c r="AJ254" t="inlineStr"/>
      <c r="AP254" t="inlineStr">
        <is>
          <t>https://www.quartzy.com/suppliers</t>
        </is>
      </c>
    </row>
    <row r="255">
      <c r="A255" t="n">
        <v>254</v>
      </c>
      <c r="B255" t="inlineStr">
        <is>
          <t>Brother</t>
        </is>
      </c>
      <c r="C255" t="inlineStr">
        <is>
          <t>T</t>
        </is>
      </c>
      <c r="E255" t="inlineStr">
        <is>
          <t>https://www.thomassci.com/browse-by/suppliers/brother</t>
        </is>
      </c>
      <c r="F255" t="inlineStr"/>
      <c r="J255" t="inlineStr"/>
      <c r="Y255" t="inlineStr">
        <is>
          <t>unknown</t>
        </is>
      </c>
      <c r="Z255" t="inlineStr"/>
      <c r="AA255" t="inlineStr"/>
      <c r="AB255" t="inlineStr"/>
      <c r="AC255" t="inlineStr"/>
      <c r="AD255" t="inlineStr">
        <is>
          <t>לא נמצא בסריקת המפיצים</t>
        </is>
      </c>
      <c r="AE255" t="inlineStr">
        <is>
          <t>סריקת אתרי מפיצים</t>
        </is>
      </c>
      <c r="AG255" t="inlineStr"/>
      <c r="AH255" t="inlineStr"/>
      <c r="AJ255" t="inlineStr"/>
      <c r="AP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Y256" t="inlineStr">
        <is>
          <t>unknown</t>
        </is>
      </c>
      <c r="Z256" t="inlineStr"/>
      <c r="AA256" t="inlineStr"/>
      <c r="AB256" t="inlineStr"/>
      <c r="AC256" t="inlineStr"/>
      <c r="AD256" t="inlineStr">
        <is>
          <t>לא נמצא בסריקת המפיצים</t>
        </is>
      </c>
      <c r="AE256" t="inlineStr">
        <is>
          <t>סריקת אתרי מפיצים</t>
        </is>
      </c>
      <c r="AG256" t="inlineStr"/>
      <c r="AH256" t="inlineStr"/>
      <c r="AJ256" t="inlineStr"/>
      <c r="AP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Y257" t="inlineStr">
        <is>
          <t>unknown</t>
        </is>
      </c>
      <c r="Z257" t="inlineStr"/>
      <c r="AA257" t="inlineStr"/>
      <c r="AB257" t="inlineStr"/>
      <c r="AC257" t="inlineStr"/>
      <c r="AD257" t="inlineStr">
        <is>
          <t>לא נמצא בסריקת המפיצים</t>
        </is>
      </c>
      <c r="AE257" t="inlineStr">
        <is>
          <t>סריקת אתרי מפיצים</t>
        </is>
      </c>
      <c r="AG257" t="inlineStr"/>
      <c r="AH257" t="inlineStr"/>
      <c r="AJ257" t="inlineStr"/>
      <c r="AP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P258" t="n">
        <v>800</v>
      </c>
      <c r="Q258" t="n">
        <v>2025</v>
      </c>
      <c r="R258" t="inlineStr">
        <is>
          <t>company</t>
        </is>
      </c>
      <c r="S258" t="inlineStr">
        <is>
          <t>prior</t>
        </is>
      </c>
      <c r="T258" t="n">
        <v>204</v>
      </c>
      <c r="U258" t="inlineStr">
        <is>
          <t>USD ~204 million (aggregator estimate; other aggregators range from USD 8M to USD 750M)</t>
        </is>
      </c>
      <c r="V258" t="inlineStr">
        <is>
          <t>undated aggregator estimate (c. 2024)</t>
        </is>
      </c>
      <c r="W258" t="inlineStr">
        <is>
          <t>estimate</t>
        </is>
      </c>
      <c r="X258" t="inlineStr">
        <is>
          <t>prior</t>
        </is>
      </c>
      <c r="Y258" t="inlineStr">
        <is>
          <t>mixed</t>
        </is>
      </c>
      <c r="Z258" t="inlineStr">
        <is>
          <t>Rotavapor R-300</t>
        </is>
      </c>
      <c r="AA258" t="inlineStr">
        <is>
          <t>Mini Spray Dryer S-300 / B-290</t>
        </is>
      </c>
      <c r="AB258" t="inlineStr">
        <is>
          <t>KjelMaster K-375 / Kjeldahl line</t>
        </is>
      </c>
      <c r="AC258" t="inlineStr">
        <is>
          <t>prior</t>
        </is>
      </c>
      <c r="AD258" t="inlineStr">
        <is>
          <t>מפיץ/נציג בישראל</t>
        </is>
      </c>
      <c r="AE258" t="inlineStr">
        <is>
          <t>אומת</t>
        </is>
      </c>
      <c r="AF258" t="n">
        <v>2026</v>
      </c>
      <c r="AG258" t="inlineStr">
        <is>
          <t>Dr. Golik Scientific Solutions</t>
        </is>
      </c>
      <c r="AH258" t="inlineStr">
        <is>
          <t>Dr. Golik Scientific Solutions: +972-3-518-7555 marketing@golik.co.il</t>
        </is>
      </c>
      <c r="AI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J258" t="inlineStr">
        <is>
          <t>+41 71 394 63 63</t>
        </is>
      </c>
      <c r="AL258" t="inlineStr">
        <is>
          <t>Meierseggstrasse 40, Postfach, 9230 Flawil, Switzerland</t>
        </is>
      </c>
      <c r="AN258" t="inlineStr">
        <is>
          <t>https://www.americanpharmaceuticalreview.com/105589-BUCHI-Labortechnik-AG/</t>
        </is>
      </c>
      <c r="AP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t>
        </is>
      </c>
    </row>
    <row r="259">
      <c r="A259" t="n">
        <v>258</v>
      </c>
      <c r="B259" t="inlineStr">
        <is>
          <t>Bulbtronics Group</t>
        </is>
      </c>
      <c r="C259" t="inlineStr">
        <is>
          <t>T+Q</t>
        </is>
      </c>
      <c r="E259" t="inlineStr">
        <is>
          <t>https://www.thomassci.com/browse-by/suppliers/bulbtronics</t>
        </is>
      </c>
      <c r="F259" t="inlineStr">
        <is>
          <t>yes</t>
        </is>
      </c>
      <c r="J259" t="inlineStr"/>
      <c r="Y259" t="inlineStr">
        <is>
          <t>unknown</t>
        </is>
      </c>
      <c r="Z259" t="inlineStr"/>
      <c r="AA259" t="inlineStr"/>
      <c r="AB259" t="inlineStr"/>
      <c r="AC259" t="inlineStr"/>
      <c r="AD259" t="inlineStr">
        <is>
          <t>לא נמצא בסריקת המפיצים</t>
        </is>
      </c>
      <c r="AE259" t="inlineStr">
        <is>
          <t>סריקת אתרי מפיצים</t>
        </is>
      </c>
      <c r="AG259" t="inlineStr"/>
      <c r="AH259" t="inlineStr"/>
      <c r="AJ259" t="inlineStr"/>
      <c r="AP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t>
        </is>
      </c>
      <c r="J260" t="inlineStr"/>
      <c r="Y260" t="inlineStr">
        <is>
          <t>unknown</t>
        </is>
      </c>
      <c r="Z260" t="inlineStr"/>
      <c r="AA260" t="inlineStr"/>
      <c r="AB260" t="inlineStr"/>
      <c r="AC260" t="inlineStr"/>
      <c r="AD260" t="inlineStr">
        <is>
          <t>לא נמצא בסריקת המפיצים</t>
        </is>
      </c>
      <c r="AE260" t="inlineStr">
        <is>
          <t>סריקת אתרי מפיצים</t>
        </is>
      </c>
      <c r="AG260" t="inlineStr"/>
      <c r="AH260" t="inlineStr"/>
      <c r="AJ260" t="inlineStr"/>
      <c r="AP260" t="inlineStr">
        <is>
          <t>https://www.thomassci.com/browse-by/suppliers/bullard</t>
        </is>
      </c>
    </row>
    <row r="261">
      <c r="A261" t="n">
        <v>260</v>
      </c>
      <c r="B261" t="inlineStr">
        <is>
          <t>Bulldog Bio</t>
        </is>
      </c>
      <c r="C261" t="inlineStr">
        <is>
          <t>Q</t>
        </is>
      </c>
      <c r="F261" t="inlineStr">
        <is>
          <t>yes</t>
        </is>
      </c>
      <c r="H261" t="inlineStr">
        <is>
          <t>https://bulldog-bio.com</t>
        </is>
      </c>
      <c r="I261" t="inlineStr">
        <is>
          <t>clearbit</t>
        </is>
      </c>
      <c r="J261" t="inlineStr"/>
      <c r="Y261" t="inlineStr">
        <is>
          <t>unknown</t>
        </is>
      </c>
      <c r="Z261" t="inlineStr"/>
      <c r="AA261" t="inlineStr"/>
      <c r="AB261" t="inlineStr"/>
      <c r="AC261" t="inlineStr"/>
      <c r="AD261" t="inlineStr">
        <is>
          <t>לא נמצא בסריקת המפיצים</t>
        </is>
      </c>
      <c r="AE261" t="inlineStr">
        <is>
          <t>סריקת אתרי מפיצים</t>
        </is>
      </c>
      <c r="AG261" t="inlineStr"/>
      <c r="AH261" t="inlineStr"/>
      <c r="AJ261" t="inlineStr"/>
      <c r="AP261" t="inlineStr">
        <is>
          <t>https://www.quartzy.com/suppliers</t>
        </is>
      </c>
    </row>
    <row r="262">
      <c r="A262" t="n">
        <v>261</v>
      </c>
      <c r="B262" t="inlineStr">
        <is>
          <t>Bulwark FR</t>
        </is>
      </c>
      <c r="C262" t="inlineStr">
        <is>
          <t>T</t>
        </is>
      </c>
      <c r="E262" t="inlineStr">
        <is>
          <t>https://www.thomassci.com/browse-by/suppliers/bulwark-fr</t>
        </is>
      </c>
      <c r="F262" t="inlineStr"/>
      <c r="J262" t="inlineStr"/>
      <c r="Y262" t="inlineStr">
        <is>
          <t>unknown</t>
        </is>
      </c>
      <c r="Z262" t="inlineStr"/>
      <c r="AA262" t="inlineStr"/>
      <c r="AB262" t="inlineStr"/>
      <c r="AC262" t="inlineStr"/>
      <c r="AD262" t="inlineStr">
        <is>
          <t>לא נמצא בסריקת המפיצים</t>
        </is>
      </c>
      <c r="AE262" t="inlineStr">
        <is>
          <t>סריקת אתרי מפיצים</t>
        </is>
      </c>
      <c r="AG262" t="inlineStr"/>
      <c r="AH262" t="inlineStr"/>
      <c r="AJ262" t="inlineStr"/>
      <c r="AP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O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Y263" t="inlineStr">
        <is>
          <t>unknown</t>
        </is>
      </c>
      <c r="Z263" t="inlineStr"/>
      <c r="AA263" t="inlineStr"/>
      <c r="AB263" t="inlineStr"/>
      <c r="AC263" t="inlineStr"/>
      <c r="AD263" t="inlineStr">
        <is>
          <t>לא נמצא בסריקת המפיצים</t>
        </is>
      </c>
      <c r="AE263" t="inlineStr">
        <is>
          <t>סריקת אתרי מפיצים</t>
        </is>
      </c>
      <c r="AG263" t="inlineStr"/>
      <c r="AH263" t="inlineStr"/>
      <c r="AJ263" t="inlineStr"/>
      <c r="AP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Y264" t="inlineStr">
        <is>
          <t>unknown</t>
        </is>
      </c>
      <c r="Z264" t="inlineStr"/>
      <c r="AA264" t="inlineStr"/>
      <c r="AB264" t="inlineStr"/>
      <c r="AC264" t="inlineStr"/>
      <c r="AD264" t="inlineStr">
        <is>
          <t>לא נמצא בסריקת המפיצים</t>
        </is>
      </c>
      <c r="AE264" t="inlineStr">
        <is>
          <t>סריקת אתרי מפיצים</t>
        </is>
      </c>
      <c r="AG264" t="inlineStr"/>
      <c r="AH264" t="inlineStr"/>
      <c r="AJ264" t="inlineStr"/>
      <c r="AP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Y265" t="inlineStr">
        <is>
          <t>unknown</t>
        </is>
      </c>
      <c r="Z265" t="inlineStr"/>
      <c r="AA265" t="inlineStr"/>
      <c r="AB265" t="inlineStr"/>
      <c r="AC265" t="inlineStr"/>
      <c r="AD265" t="inlineStr">
        <is>
          <t>לא נמצא בסריקת המפיצים</t>
        </is>
      </c>
      <c r="AE265" t="inlineStr">
        <is>
          <t>סריקת אתרי מפיצים</t>
        </is>
      </c>
      <c r="AG265" t="inlineStr"/>
      <c r="AH265" t="inlineStr"/>
      <c r="AJ265" t="inlineStr"/>
      <c r="AP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Y266" t="inlineStr">
        <is>
          <t>unknown</t>
        </is>
      </c>
      <c r="Z266" t="inlineStr"/>
      <c r="AA266" t="inlineStr"/>
      <c r="AB266" t="inlineStr"/>
      <c r="AC266" t="inlineStr"/>
      <c r="AD266" t="inlineStr">
        <is>
          <t>לא נמצא בסריקת המפיצים</t>
        </is>
      </c>
      <c r="AE266" t="inlineStr">
        <is>
          <t>סריקת אתרי מפיצים</t>
        </is>
      </c>
      <c r="AG266" t="inlineStr"/>
      <c r="AH266" t="inlineStr"/>
      <c r="AJ266" t="inlineStr"/>
      <c r="AP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Y267" t="inlineStr">
        <is>
          <t>unknown</t>
        </is>
      </c>
      <c r="Z267" t="inlineStr"/>
      <c r="AA267" t="inlineStr"/>
      <c r="AB267" t="inlineStr"/>
      <c r="AC267" t="inlineStr"/>
      <c r="AD267" t="inlineStr">
        <is>
          <t>לא נמצא בסריקת המפיצים</t>
        </is>
      </c>
      <c r="AE267" t="inlineStr">
        <is>
          <t>סריקת אתרי מפיצים</t>
        </is>
      </c>
      <c r="AG267" t="inlineStr"/>
      <c r="AH267" t="inlineStr"/>
      <c r="AJ267" t="inlineStr"/>
      <c r="AP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Y268" t="inlineStr">
        <is>
          <t>unknown</t>
        </is>
      </c>
      <c r="Z268" t="inlineStr"/>
      <c r="AA268" t="inlineStr"/>
      <c r="AB268" t="inlineStr"/>
      <c r="AC268" t="inlineStr"/>
      <c r="AD268" t="inlineStr">
        <is>
          <t>לא נמצא בסריקת המפיצים</t>
        </is>
      </c>
      <c r="AE268" t="inlineStr">
        <is>
          <t>סריקת אתרי מפיצים</t>
        </is>
      </c>
      <c r="AG268" t="inlineStr"/>
      <c r="AH268" t="inlineStr"/>
      <c r="AJ268" t="inlineStr"/>
      <c r="AP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t>
        </is>
      </c>
      <c r="J269" t="inlineStr"/>
      <c r="Y269" t="inlineStr">
        <is>
          <t>unknown</t>
        </is>
      </c>
      <c r="Z269" t="inlineStr"/>
      <c r="AA269" t="inlineStr"/>
      <c r="AB269" t="inlineStr"/>
      <c r="AC269" t="inlineStr"/>
      <c r="AD269" t="inlineStr">
        <is>
          <t>לא נמצא בסריקת המפיצים</t>
        </is>
      </c>
      <c r="AE269" t="inlineStr">
        <is>
          <t>סריקת אתרי מפיצים</t>
        </is>
      </c>
      <c r="AG269" t="inlineStr"/>
      <c r="AH269" t="inlineStr"/>
      <c r="AJ269" t="inlineStr"/>
      <c r="AP269" t="inlineStr">
        <is>
          <t>https://www.thomassci.com/browse-by/suppliers/caframo</t>
        </is>
      </c>
    </row>
    <row r="270">
      <c r="A270" t="n">
        <v>269</v>
      </c>
      <c r="B270" t="inlineStr">
        <is>
          <t>Cahn Scientific</t>
        </is>
      </c>
      <c r="C270" t="inlineStr">
        <is>
          <t>T</t>
        </is>
      </c>
      <c r="E270" t="inlineStr">
        <is>
          <t>https://www.thomassci.com/browse-by/suppliers/cahn-scientific</t>
        </is>
      </c>
      <c r="F270" t="inlineStr"/>
      <c r="J270" t="inlineStr"/>
      <c r="Y270" t="inlineStr">
        <is>
          <t>unknown</t>
        </is>
      </c>
      <c r="Z270" t="inlineStr"/>
      <c r="AA270" t="inlineStr"/>
      <c r="AB270" t="inlineStr"/>
      <c r="AC270" t="inlineStr"/>
      <c r="AD270" t="inlineStr">
        <is>
          <t>לא נמצא בסריקת המפיצים</t>
        </is>
      </c>
      <c r="AE270" t="inlineStr">
        <is>
          <t>סריקת אתרי מפיצים</t>
        </is>
      </c>
      <c r="AG270" t="inlineStr"/>
      <c r="AH270" t="inlineStr"/>
      <c r="AJ270" t="inlineStr"/>
      <c r="AP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Y271" t="inlineStr">
        <is>
          <t>unknown</t>
        </is>
      </c>
      <c r="Z271" t="inlineStr"/>
      <c r="AA271" t="inlineStr"/>
      <c r="AB271" t="inlineStr"/>
      <c r="AC271" t="inlineStr"/>
      <c r="AD271" t="inlineStr">
        <is>
          <t>לא נמצא בסריקת המפיצים</t>
        </is>
      </c>
      <c r="AE271" t="inlineStr">
        <is>
          <t>סריקת אתרי מפיצים</t>
        </is>
      </c>
      <c r="AG271" t="inlineStr"/>
      <c r="AH271" t="inlineStr"/>
      <c r="AJ271" t="inlineStr"/>
      <c r="AP271" t="inlineStr">
        <is>
          <t>https://www.quartzy.com/suppliers</t>
        </is>
      </c>
    </row>
    <row r="272">
      <c r="A272" t="n">
        <v>271</v>
      </c>
      <c r="B272" t="inlineStr">
        <is>
          <t>Calapro</t>
        </is>
      </c>
      <c r="C272" t="inlineStr">
        <is>
          <t>T</t>
        </is>
      </c>
      <c r="E272" t="inlineStr">
        <is>
          <t>https://www.thomassci.com/browse-by/suppliers/calapro</t>
        </is>
      </c>
      <c r="F272" t="inlineStr"/>
      <c r="J272" t="inlineStr"/>
      <c r="Y272" t="inlineStr">
        <is>
          <t>unknown</t>
        </is>
      </c>
      <c r="Z272" t="inlineStr"/>
      <c r="AA272" t="inlineStr"/>
      <c r="AB272" t="inlineStr"/>
      <c r="AC272" t="inlineStr"/>
      <c r="AD272" t="inlineStr">
        <is>
          <t>לא נמצא בסריקת המפיצים</t>
        </is>
      </c>
      <c r="AE272" t="inlineStr">
        <is>
          <t>סריקת אתרי מפיצים</t>
        </is>
      </c>
      <c r="AG272" t="inlineStr"/>
      <c r="AH272" t="inlineStr"/>
      <c r="AJ272" t="inlineStr"/>
      <c r="AP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Y273" t="inlineStr">
        <is>
          <t>unknown</t>
        </is>
      </c>
      <c r="Z273" t="inlineStr"/>
      <c r="AA273" t="inlineStr"/>
      <c r="AB273" t="inlineStr"/>
      <c r="AC273" t="inlineStr"/>
      <c r="AD273" t="inlineStr">
        <is>
          <t>לא נמצא בסריקת המפיצים</t>
        </is>
      </c>
      <c r="AE273" t="inlineStr">
        <is>
          <t>סריקת אתרי מפיצים</t>
        </is>
      </c>
      <c r="AG273" t="inlineStr"/>
      <c r="AH273" t="inlineStr"/>
      <c r="AJ273" t="inlineStr"/>
      <c r="AP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t>
        </is>
      </c>
      <c r="J274" t="inlineStr"/>
      <c r="Y274" t="inlineStr">
        <is>
          <t>unknown</t>
        </is>
      </c>
      <c r="Z274" t="inlineStr"/>
      <c r="AA274" t="inlineStr"/>
      <c r="AB274" t="inlineStr"/>
      <c r="AC274" t="inlineStr"/>
      <c r="AD274" t="inlineStr">
        <is>
          <t>לא נמצא בסריקת המפיצים</t>
        </is>
      </c>
      <c r="AE274" t="inlineStr">
        <is>
          <t>סריקת אתרי מפיצים</t>
        </is>
      </c>
      <c r="AG274" t="inlineStr"/>
      <c r="AH274" t="inlineStr"/>
      <c r="AJ274" t="inlineStr"/>
      <c r="AP274" t="inlineStr">
        <is>
          <t>https://www.thomassci.com/browse-by/suppliers/cannon-instrument</t>
        </is>
      </c>
    </row>
    <row r="275">
      <c r="A275" t="n">
        <v>274</v>
      </c>
      <c r="B275" t="inlineStr">
        <is>
          <t>Caplugs</t>
        </is>
      </c>
      <c r="C275" t="inlineStr">
        <is>
          <t>Q</t>
        </is>
      </c>
      <c r="F275" t="inlineStr">
        <is>
          <t>yes</t>
        </is>
      </c>
      <c r="H275" t="inlineStr">
        <is>
          <t>https://caplugs.com</t>
        </is>
      </c>
      <c r="I275" t="inlineStr">
        <is>
          <t>clearbit</t>
        </is>
      </c>
      <c r="J275" t="inlineStr"/>
      <c r="Y275" t="inlineStr">
        <is>
          <t>unknown</t>
        </is>
      </c>
      <c r="Z275" t="inlineStr"/>
      <c r="AA275" t="inlineStr"/>
      <c r="AB275" t="inlineStr"/>
      <c r="AC275" t="inlineStr"/>
      <c r="AD275" t="inlineStr">
        <is>
          <t>לא נמצא בסריקת המפיצים</t>
        </is>
      </c>
      <c r="AE275" t="inlineStr">
        <is>
          <t>סריקת אתרי מפיצים</t>
        </is>
      </c>
      <c r="AG275" t="inlineStr"/>
      <c r="AH275" t="inlineStr"/>
      <c r="AJ275" t="inlineStr"/>
      <c r="AP275" t="inlineStr">
        <is>
          <t>https://www.quartzy.com/suppliers</t>
        </is>
      </c>
    </row>
    <row r="276">
      <c r="A276" t="n">
        <v>275</v>
      </c>
      <c r="B276" t="inlineStr">
        <is>
          <t>Caplugs Evergreen®</t>
        </is>
      </c>
      <c r="C276" t="inlineStr">
        <is>
          <t>T</t>
        </is>
      </c>
      <c r="E276" t="inlineStr">
        <is>
          <t>https://www.thomassci.com/browse-by/suppliers/caplugs-evergreen</t>
        </is>
      </c>
      <c r="F276" t="inlineStr"/>
      <c r="J276" t="inlineStr"/>
      <c r="Y276" t="inlineStr">
        <is>
          <t>unknown</t>
        </is>
      </c>
      <c r="Z276" t="inlineStr"/>
      <c r="AA276" t="inlineStr"/>
      <c r="AB276" t="inlineStr"/>
      <c r="AC276" t="inlineStr"/>
      <c r="AD276" t="inlineStr">
        <is>
          <t>לא נמצא בסריקת המפיצים</t>
        </is>
      </c>
      <c r="AE276" t="inlineStr">
        <is>
          <t>סריקת אתרי מפיצים</t>
        </is>
      </c>
      <c r="AG276" t="inlineStr"/>
      <c r="AH276" t="inlineStr"/>
      <c r="AJ276" t="inlineStr"/>
      <c r="AP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Y277" t="inlineStr">
        <is>
          <t>unknown</t>
        </is>
      </c>
      <c r="Z277" t="inlineStr"/>
      <c r="AA277" t="inlineStr"/>
      <c r="AB277" t="inlineStr"/>
      <c r="AC277" t="inlineStr"/>
      <c r="AD277" t="inlineStr">
        <is>
          <t>לא נמצא בסריקת המפיצים</t>
        </is>
      </c>
      <c r="AE277" t="inlineStr">
        <is>
          <t>סריקת אתרי מפיצים</t>
        </is>
      </c>
      <c r="AG277" t="inlineStr"/>
      <c r="AH277" t="inlineStr"/>
      <c r="AJ277" t="inlineStr"/>
      <c r="AP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t>
        </is>
      </c>
      <c r="J278" t="inlineStr"/>
      <c r="Y278" t="inlineStr">
        <is>
          <t>unknown</t>
        </is>
      </c>
      <c r="Z278" t="inlineStr"/>
      <c r="AA278" t="inlineStr"/>
      <c r="AB278" t="inlineStr"/>
      <c r="AC278" t="inlineStr"/>
      <c r="AD278" t="inlineStr">
        <is>
          <t>לא נמצא בסריקת המפיצים</t>
        </is>
      </c>
      <c r="AE278" t="inlineStr">
        <is>
          <t>סריקת אתרי מפיצים</t>
        </is>
      </c>
      <c r="AG278" t="inlineStr"/>
      <c r="AH278" t="inlineStr"/>
      <c r="AJ278" t="inlineStr"/>
      <c r="AP278" t="inlineStr">
        <is>
          <t>https://www.quartzy.com/suppliers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Y279" t="inlineStr">
        <is>
          <t>unknown</t>
        </is>
      </c>
      <c r="Z279" t="inlineStr"/>
      <c r="AA279" t="inlineStr"/>
      <c r="AB279" t="inlineStr"/>
      <c r="AC279" t="inlineStr"/>
      <c r="AD279" t="inlineStr">
        <is>
          <t>לא נמצא בסריקת המפיצים</t>
        </is>
      </c>
      <c r="AE279" t="inlineStr">
        <is>
          <t>סריקת אתרי מפיצים</t>
        </is>
      </c>
      <c r="AG279" t="inlineStr"/>
      <c r="AH279" t="inlineStr"/>
      <c r="AJ279" t="inlineStr"/>
      <c r="AP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t>
        </is>
      </c>
      <c r="J280" t="inlineStr"/>
      <c r="Y280" t="inlineStr">
        <is>
          <t>unknown</t>
        </is>
      </c>
      <c r="Z280" t="inlineStr"/>
      <c r="AA280" t="inlineStr"/>
      <c r="AB280" t="inlineStr"/>
      <c r="AC280" t="inlineStr"/>
      <c r="AD280" t="inlineStr">
        <is>
          <t>לא נמצא בסריקת המפיצים</t>
        </is>
      </c>
      <c r="AE280" t="inlineStr">
        <is>
          <t>סריקת אתרי מפיצים</t>
        </is>
      </c>
      <c r="AG280" t="inlineStr"/>
      <c r="AH280" t="inlineStr"/>
      <c r="AJ280" t="inlineStr"/>
      <c r="AP280" t="inlineStr">
        <is>
          <t>https://www.thomassci.com/browse-by/suppliers/cargille</t>
        </is>
      </c>
    </row>
    <row r="281">
      <c r="A281" t="n">
        <v>280</v>
      </c>
      <c r="B281" t="inlineStr">
        <is>
          <t>Carlo Erba</t>
        </is>
      </c>
      <c r="C281" t="inlineStr">
        <is>
          <t>D</t>
        </is>
      </c>
      <c r="D281" t="inlineStr">
        <is>
          <t>https://www.dutscher.com/search?initialFilters=brand:Carlo+Erba</t>
        </is>
      </c>
      <c r="F281" t="inlineStr"/>
      <c r="J281" t="inlineStr"/>
      <c r="Y281" t="inlineStr">
        <is>
          <t>unknown</t>
        </is>
      </c>
      <c r="Z281" t="inlineStr"/>
      <c r="AA281" t="inlineStr"/>
      <c r="AB281" t="inlineStr"/>
      <c r="AC281" t="inlineStr"/>
      <c r="AD281" t="inlineStr">
        <is>
          <t>לא נמצא בסריקת המפיצים</t>
        </is>
      </c>
      <c r="AE281" t="inlineStr">
        <is>
          <t>סריקת אתרי מפיצים</t>
        </is>
      </c>
      <c r="AG281" t="inlineStr"/>
      <c r="AH281" t="inlineStr"/>
      <c r="AJ281" t="inlineStr"/>
      <c r="AP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t>
        </is>
      </c>
      <c r="J282" t="inlineStr"/>
      <c r="Y282" t="inlineStr">
        <is>
          <t>unknown</t>
        </is>
      </c>
      <c r="Z282" t="inlineStr"/>
      <c r="AA282" t="inlineStr"/>
      <c r="AB282" t="inlineStr"/>
      <c r="AC282" t="inlineStr"/>
      <c r="AD282" t="inlineStr">
        <is>
          <t>לא נמצא בסריקת המפיצים</t>
        </is>
      </c>
      <c r="AE282" t="inlineStr">
        <is>
          <t>סריקת אתרי מפיצים</t>
        </is>
      </c>
      <c r="AG282" t="inlineStr"/>
      <c r="AH282" t="inlineStr"/>
      <c r="AJ282" t="inlineStr"/>
      <c r="AP282" t="inlineStr">
        <is>
          <t>https://www.thomassci.com/browse-by/suppliers/carolina-components-group</t>
        </is>
      </c>
    </row>
    <row r="283">
      <c r="A283" t="n">
        <v>282</v>
      </c>
      <c r="B283" t="inlineStr">
        <is>
          <t>Caron Products and Services Inc.</t>
        </is>
      </c>
      <c r="C283" t="inlineStr">
        <is>
          <t>T</t>
        </is>
      </c>
      <c r="E283" t="inlineStr">
        <is>
          <t>https://www.thomassci.com/browse-by/suppliers/caron-products-and-services-inc-</t>
        </is>
      </c>
      <c r="F283" t="inlineStr"/>
      <c r="J283" t="inlineStr"/>
      <c r="Y283" t="inlineStr">
        <is>
          <t>unknown</t>
        </is>
      </c>
      <c r="Z283" t="inlineStr"/>
      <c r="AA283" t="inlineStr"/>
      <c r="AB283" t="inlineStr"/>
      <c r="AC283" t="inlineStr"/>
      <c r="AD283" t="inlineStr">
        <is>
          <t>לא נמצא בסריקת המפיצים</t>
        </is>
      </c>
      <c r="AE283" t="inlineStr">
        <is>
          <t>סריקת אתרי מפיצים</t>
        </is>
      </c>
      <c r="AG283" t="inlineStr"/>
      <c r="AH283" t="inlineStr"/>
      <c r="AJ283" t="inlineStr"/>
      <c r="AP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Y284" t="inlineStr">
        <is>
          <t>unknown</t>
        </is>
      </c>
      <c r="Z284" t="inlineStr"/>
      <c r="AA284" t="inlineStr"/>
      <c r="AB284" t="inlineStr"/>
      <c r="AC284" t="inlineStr"/>
      <c r="AD284" t="inlineStr">
        <is>
          <t>לא נמצא בסריקת המפיצים</t>
        </is>
      </c>
      <c r="AE284" t="inlineStr">
        <is>
          <t>סריקת אתרי מפיצים</t>
        </is>
      </c>
      <c r="AG284" t="inlineStr"/>
      <c r="AH284" t="inlineStr"/>
      <c r="AJ284" t="inlineStr"/>
      <c r="AP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Y285" t="inlineStr">
        <is>
          <t>unknown</t>
        </is>
      </c>
      <c r="Z285" t="inlineStr"/>
      <c r="AA285" t="inlineStr"/>
      <c r="AB285" t="inlineStr"/>
      <c r="AC285" t="inlineStr"/>
      <c r="AD285" t="inlineStr">
        <is>
          <t>לא נמצא בסריקת המפיצים</t>
        </is>
      </c>
      <c r="AE285" t="inlineStr">
        <is>
          <t>סריקת אתרי מפיצים</t>
        </is>
      </c>
      <c r="AG285" t="inlineStr"/>
      <c r="AH285" t="inlineStr"/>
      <c r="AJ285" t="inlineStr"/>
      <c r="AP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Y286" t="inlineStr">
        <is>
          <t>unknown</t>
        </is>
      </c>
      <c r="Z286" t="inlineStr"/>
      <c r="AA286" t="inlineStr"/>
      <c r="AB286" t="inlineStr"/>
      <c r="AC286" t="inlineStr"/>
      <c r="AD286" t="inlineStr">
        <is>
          <t>לא נמצא בסריקת המפיצים</t>
        </is>
      </c>
      <c r="AE286" t="inlineStr">
        <is>
          <t>סריקת אתרי מפיצים</t>
        </is>
      </c>
      <c r="AG286" t="inlineStr"/>
      <c r="AH286" t="inlineStr"/>
      <c r="AJ286" t="inlineStr"/>
      <c r="AP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Y287" t="inlineStr">
        <is>
          <t>unknown</t>
        </is>
      </c>
      <c r="Z287" t="inlineStr"/>
      <c r="AA287" t="inlineStr"/>
      <c r="AB287" t="inlineStr"/>
      <c r="AC287" t="inlineStr"/>
      <c r="AD287" t="inlineStr">
        <is>
          <t>לא נמצא בסריקת המפיצים</t>
        </is>
      </c>
      <c r="AE287" t="inlineStr">
        <is>
          <t>סריקת אתרי מפיצים</t>
        </is>
      </c>
      <c r="AG287" t="inlineStr"/>
      <c r="AH287" t="inlineStr"/>
      <c r="AJ287" t="inlineStr"/>
      <c r="AP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Y288" t="inlineStr">
        <is>
          <t>unknown</t>
        </is>
      </c>
      <c r="Z288" t="inlineStr"/>
      <c r="AA288" t="inlineStr"/>
      <c r="AB288" t="inlineStr"/>
      <c r="AC288" t="inlineStr"/>
      <c r="AD288" t="inlineStr">
        <is>
          <t>לא נמצא בסריקת המפיצים</t>
        </is>
      </c>
      <c r="AE288" t="inlineStr">
        <is>
          <t>סריקת אתרי מפיצים</t>
        </is>
      </c>
      <c r="AG288" t="inlineStr"/>
      <c r="AH288" t="inlineStr"/>
      <c r="AJ288" t="inlineStr"/>
      <c r="AP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Y289" t="inlineStr">
        <is>
          <t>unknown</t>
        </is>
      </c>
      <c r="Z289" t="inlineStr"/>
      <c r="AA289" t="inlineStr"/>
      <c r="AB289" t="inlineStr"/>
      <c r="AC289" t="inlineStr"/>
      <c r="AD289" t="inlineStr">
        <is>
          <t>לא נמצא בסריקת המפיצים</t>
        </is>
      </c>
      <c r="AE289" t="inlineStr">
        <is>
          <t>סריקת אתרי מפיצים</t>
        </is>
      </c>
      <c r="AG289" t="inlineStr"/>
      <c r="AH289" t="inlineStr"/>
      <c r="AJ289" t="inlineStr"/>
      <c r="AP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J290" t="inlineStr"/>
      <c r="Y290" t="inlineStr">
        <is>
          <t>unknown</t>
        </is>
      </c>
      <c r="Z290" t="inlineStr"/>
      <c r="AA290" t="inlineStr"/>
      <c r="AB290" t="inlineStr"/>
      <c r="AC290" t="inlineStr"/>
      <c r="AD290" t="inlineStr">
        <is>
          <t>לא נמצא בסריקת המפיצים</t>
        </is>
      </c>
      <c r="AE290" t="inlineStr">
        <is>
          <t>סריקת אתרי מפיצים</t>
        </is>
      </c>
      <c r="AG290" t="inlineStr"/>
      <c r="AH290" t="inlineStr"/>
      <c r="AJ290" t="inlineStr"/>
      <c r="AP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Y291" t="inlineStr">
        <is>
          <t>unknown</t>
        </is>
      </c>
      <c r="Z291" t="inlineStr"/>
      <c r="AA291" t="inlineStr"/>
      <c r="AB291" t="inlineStr"/>
      <c r="AC291" t="inlineStr"/>
      <c r="AD291" t="inlineStr">
        <is>
          <t>לא נמצא בסריקת המפיצים</t>
        </is>
      </c>
      <c r="AE291" t="inlineStr">
        <is>
          <t>סריקת אתרי מפיצים</t>
        </is>
      </c>
      <c r="AG291" t="inlineStr"/>
      <c r="AH291" t="inlineStr"/>
      <c r="AJ291" t="inlineStr"/>
      <c r="AP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Y292" t="inlineStr">
        <is>
          <t>unknown</t>
        </is>
      </c>
      <c r="Z292" t="inlineStr"/>
      <c r="AA292" t="inlineStr"/>
      <c r="AB292" t="inlineStr"/>
      <c r="AC292" t="inlineStr"/>
      <c r="AD292" t="inlineStr">
        <is>
          <t>לא נמצא בסריקת המפיצים</t>
        </is>
      </c>
      <c r="AE292" t="inlineStr">
        <is>
          <t>סריקת אתרי מפיצים</t>
        </is>
      </c>
      <c r="AG292" t="inlineStr"/>
      <c r="AH292" t="inlineStr"/>
      <c r="AJ292" t="inlineStr"/>
      <c r="AP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t>
        </is>
      </c>
      <c r="J293" t="inlineStr"/>
      <c r="Y293" t="inlineStr">
        <is>
          <t>unknown</t>
        </is>
      </c>
      <c r="Z293" t="inlineStr"/>
      <c r="AA293" t="inlineStr"/>
      <c r="AB293" t="inlineStr"/>
      <c r="AC293" t="inlineStr"/>
      <c r="AD293" t="inlineStr">
        <is>
          <t>לא נמצא בסריקת המפיצים</t>
        </is>
      </c>
      <c r="AE293" t="inlineStr">
        <is>
          <t>סריקת אתרי מפיצים</t>
        </is>
      </c>
      <c r="AG293" t="inlineStr"/>
      <c r="AH293" t="inlineStr"/>
      <c r="AJ293" t="inlineStr"/>
      <c r="AP293" t="inlineStr">
        <is>
          <t>https://www.quartzy.com/suppliers</t>
        </is>
      </c>
    </row>
    <row r="294">
      <c r="A294" t="n">
        <v>293</v>
      </c>
      <c r="B294" t="inlineStr">
        <is>
          <t>Cell Point Scientific</t>
        </is>
      </c>
      <c r="C294" t="inlineStr">
        <is>
          <t>T</t>
        </is>
      </c>
      <c r="E294" t="inlineStr">
        <is>
          <t>https://www.thomassci.com/browse-by/suppliers/cell-point-scientific</t>
        </is>
      </c>
      <c r="F294" t="inlineStr"/>
      <c r="J294" t="inlineStr"/>
      <c r="Y294" t="inlineStr">
        <is>
          <t>unknown</t>
        </is>
      </c>
      <c r="Z294" t="inlineStr"/>
      <c r="AA294" t="inlineStr"/>
      <c r="AB294" t="inlineStr"/>
      <c r="AC294" t="inlineStr"/>
      <c r="AD294" t="inlineStr">
        <is>
          <t>לא נמצא בסריקת המפיצים</t>
        </is>
      </c>
      <c r="AE294" t="inlineStr">
        <is>
          <t>סריקת אתרי מפיצים</t>
        </is>
      </c>
      <c r="AG294" t="inlineStr"/>
      <c r="AH294" t="inlineStr"/>
      <c r="AJ294" t="inlineStr"/>
      <c r="AP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t>
        </is>
      </c>
      <c r="J295" t="inlineStr"/>
      <c r="Y295" t="inlineStr">
        <is>
          <t>unknown</t>
        </is>
      </c>
      <c r="Z295" t="inlineStr"/>
      <c r="AA295" t="inlineStr"/>
      <c r="AB295" t="inlineStr"/>
      <c r="AC295" t="inlineStr"/>
      <c r="AD295" t="inlineStr">
        <is>
          <t>מפיץ/נציג בישראל</t>
        </is>
      </c>
      <c r="AE295" t="inlineStr">
        <is>
          <t>סריקת אתרי מפיצים</t>
        </is>
      </c>
      <c r="AG295" t="inlineStr">
        <is>
          <t>Ornat BioChemicals &amp; Lab Equipment Ltd.</t>
        </is>
      </c>
      <c r="AH295" t="inlineStr">
        <is>
          <t>Ornat BioChemicals &amp; Lab Equipment Ltd.:</t>
        </is>
      </c>
      <c r="AJ295" t="inlineStr"/>
      <c r="AP295" t="inlineStr">
        <is>
          <t>https://www.quartzy.com/suppliers | https://www.fiseb.org/vendors/</t>
        </is>
      </c>
    </row>
    <row r="296">
      <c r="A296" t="n">
        <v>295</v>
      </c>
      <c r="B296" t="inlineStr">
        <is>
          <t>Cell Systems</t>
        </is>
      </c>
      <c r="C296" t="inlineStr">
        <is>
          <t>Q</t>
        </is>
      </c>
      <c r="F296" t="inlineStr">
        <is>
          <t>yes</t>
        </is>
      </c>
      <c r="H296" t="inlineStr">
        <is>
          <t>https://cell-systems.com</t>
        </is>
      </c>
      <c r="I296" t="inlineStr">
        <is>
          <t>clearbit</t>
        </is>
      </c>
      <c r="J296" t="inlineStr"/>
      <c r="Y296" t="inlineStr">
        <is>
          <t>unknown</t>
        </is>
      </c>
      <c r="Z296" t="inlineStr"/>
      <c r="AA296" t="inlineStr"/>
      <c r="AB296" t="inlineStr"/>
      <c r="AC296" t="inlineStr"/>
      <c r="AD296" t="inlineStr">
        <is>
          <t>לא נמצא בסריקת המפיצים</t>
        </is>
      </c>
      <c r="AE296" t="inlineStr">
        <is>
          <t>סריקת אתרי מפיצים</t>
        </is>
      </c>
      <c r="AG296" t="inlineStr"/>
      <c r="AH296" t="inlineStr"/>
      <c r="AJ296" t="inlineStr"/>
      <c r="AP296" t="inlineStr">
        <is>
          <t>https://www.quartzy.com/suppliers</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t>
        </is>
      </c>
      <c r="J297" t="inlineStr"/>
      <c r="Y297" t="inlineStr">
        <is>
          <t>unknown</t>
        </is>
      </c>
      <c r="Z297" t="inlineStr"/>
      <c r="AA297" t="inlineStr"/>
      <c r="AB297" t="inlineStr"/>
      <c r="AC297" t="inlineStr"/>
      <c r="AD297" t="inlineStr">
        <is>
          <t>לא נמצא בסריקת המפיצים</t>
        </is>
      </c>
      <c r="AE297" t="inlineStr">
        <is>
          <t>סריקת אתרי מפיצים</t>
        </is>
      </c>
      <c r="AG297" t="inlineStr"/>
      <c r="AH297" t="inlineStr"/>
      <c r="AJ297" t="inlineStr"/>
      <c r="AP297" t="inlineStr">
        <is>
          <t>https://www.dutscher.com/search?initialFilters=brand:Cellaven</t>
        </is>
      </c>
    </row>
    <row r="298">
      <c r="A298" t="n">
        <v>297</v>
      </c>
      <c r="B298" t="inlineStr">
        <is>
          <t>Cellecta</t>
        </is>
      </c>
      <c r="C298" t="inlineStr">
        <is>
          <t>Q</t>
        </is>
      </c>
      <c r="F298" t="inlineStr">
        <is>
          <t>yes</t>
        </is>
      </c>
      <c r="H298" t="inlineStr">
        <is>
          <t>https://cellecta.com</t>
        </is>
      </c>
      <c r="I298" t="inlineStr">
        <is>
          <t>clearbit</t>
        </is>
      </c>
      <c r="J298" t="inlineStr"/>
      <c r="Y298" t="inlineStr">
        <is>
          <t>unknown</t>
        </is>
      </c>
      <c r="Z298" t="inlineStr"/>
      <c r="AA298" t="inlineStr"/>
      <c r="AB298" t="inlineStr"/>
      <c r="AC298" t="inlineStr"/>
      <c r="AD298" t="inlineStr">
        <is>
          <t>לא נמצא בסריקת המפיצים</t>
        </is>
      </c>
      <c r="AE298" t="inlineStr">
        <is>
          <t>סריקת אתרי מפיצים</t>
        </is>
      </c>
      <c r="AG298" t="inlineStr"/>
      <c r="AH298" t="inlineStr"/>
      <c r="AJ298" t="inlineStr"/>
      <c r="AP298" t="inlineStr">
        <is>
          <t>https://www.quartzy.com/suppliers</t>
        </is>
      </c>
    </row>
    <row r="299">
      <c r="A299" t="n">
        <v>298</v>
      </c>
      <c r="B299" t="inlineStr">
        <is>
          <t>Cellomics</t>
        </is>
      </c>
      <c r="C299" t="inlineStr">
        <is>
          <t>Q</t>
        </is>
      </c>
      <c r="F299" t="inlineStr">
        <is>
          <t>yes</t>
        </is>
      </c>
      <c r="J299" t="inlineStr"/>
      <c r="Y299" t="inlineStr">
        <is>
          <t>unknown</t>
        </is>
      </c>
      <c r="Z299" t="inlineStr"/>
      <c r="AA299" t="inlineStr"/>
      <c r="AB299" t="inlineStr"/>
      <c r="AC299" t="inlineStr"/>
      <c r="AD299" t="inlineStr">
        <is>
          <t>לא נמצא בסריקת המפיצים</t>
        </is>
      </c>
      <c r="AE299" t="inlineStr">
        <is>
          <t>סריקת אתרי מפיצים</t>
        </is>
      </c>
      <c r="AG299" t="inlineStr"/>
      <c r="AH299" t="inlineStr"/>
      <c r="AJ299" t="inlineStr"/>
      <c r="AP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t>
        </is>
      </c>
      <c r="J300" t="inlineStr"/>
      <c r="Y300" t="inlineStr">
        <is>
          <t>unknown</t>
        </is>
      </c>
      <c r="Z300" t="inlineStr"/>
      <c r="AA300" t="inlineStr"/>
      <c r="AB300" t="inlineStr"/>
      <c r="AC300" t="inlineStr"/>
      <c r="AD300" t="inlineStr">
        <is>
          <t>לא נמצא בסריקת המפיצים</t>
        </is>
      </c>
      <c r="AE300" t="inlineStr">
        <is>
          <t>סריקת אתרי מפיצים</t>
        </is>
      </c>
      <c r="AG300" t="inlineStr"/>
      <c r="AH300" t="inlineStr"/>
      <c r="AJ300" t="inlineStr"/>
      <c r="AP300" t="inlineStr">
        <is>
          <t>https://www.thomassci.com/browse-by/suppliers/cellomics-technology</t>
        </is>
      </c>
    </row>
    <row r="301">
      <c r="A301" t="n">
        <v>300</v>
      </c>
      <c r="B301" t="inlineStr">
        <is>
          <t>Cells Online</t>
        </is>
      </c>
      <c r="C301" t="inlineStr">
        <is>
          <t>Q</t>
        </is>
      </c>
      <c r="F301" t="inlineStr">
        <is>
          <t>yes</t>
        </is>
      </c>
      <c r="H301" t="inlineStr">
        <is>
          <t>https://cells-online.com</t>
        </is>
      </c>
      <c r="I301" t="inlineStr">
        <is>
          <t>clearbit</t>
        </is>
      </c>
      <c r="J301" t="inlineStr"/>
      <c r="Y301" t="inlineStr">
        <is>
          <t>unknown</t>
        </is>
      </c>
      <c r="Z301" t="inlineStr"/>
      <c r="AA301" t="inlineStr"/>
      <c r="AB301" t="inlineStr"/>
      <c r="AC301" t="inlineStr"/>
      <c r="AD301" t="inlineStr">
        <is>
          <t>לא נמצא בסריקת המפיצים</t>
        </is>
      </c>
      <c r="AE301" t="inlineStr">
        <is>
          <t>סריקת אתרי מפיצים</t>
        </is>
      </c>
      <c r="AG301" t="inlineStr"/>
      <c r="AH301" t="inlineStr"/>
      <c r="AJ301" t="inlineStr"/>
      <c r="AP301" t="inlineStr">
        <is>
          <t>https://www.quartzy.com/suppliers</t>
        </is>
      </c>
    </row>
    <row r="302">
      <c r="A302" t="n">
        <v>301</v>
      </c>
      <c r="B302" t="inlineStr">
        <is>
          <t>Celltreat</t>
        </is>
      </c>
      <c r="C302" t="inlineStr">
        <is>
          <t>D+Q</t>
        </is>
      </c>
      <c r="D302" t="inlineStr">
        <is>
          <t>https://www.dutscher.com/search?initialFilters=brand:Celltreat</t>
        </is>
      </c>
      <c r="F302" t="inlineStr">
        <is>
          <t>yes</t>
        </is>
      </c>
      <c r="J302" t="inlineStr"/>
      <c r="Y302" t="inlineStr">
        <is>
          <t>unknown</t>
        </is>
      </c>
      <c r="Z302" t="inlineStr"/>
      <c r="AA302" t="inlineStr"/>
      <c r="AB302" t="inlineStr"/>
      <c r="AC302" t="inlineStr"/>
      <c r="AD302" t="inlineStr">
        <is>
          <t>לא נמצא בסריקת המפיצים</t>
        </is>
      </c>
      <c r="AE302" t="inlineStr">
        <is>
          <t>סריקת אתרי מפיצים</t>
        </is>
      </c>
      <c r="AG302" t="inlineStr"/>
      <c r="AH302" t="inlineStr"/>
      <c r="AJ302" t="inlineStr"/>
      <c r="AP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Y303" t="inlineStr">
        <is>
          <t>unknown</t>
        </is>
      </c>
      <c r="Z303" t="inlineStr"/>
      <c r="AA303" t="inlineStr"/>
      <c r="AB303" t="inlineStr"/>
      <c r="AC303" t="inlineStr"/>
      <c r="AD303" t="inlineStr">
        <is>
          <t>לא נמצא בסריקת המפיצים</t>
        </is>
      </c>
      <c r="AE303" t="inlineStr">
        <is>
          <t>סריקת אתרי מפיצים</t>
        </is>
      </c>
      <c r="AG303" t="inlineStr"/>
      <c r="AH303" t="inlineStr"/>
      <c r="AJ303" t="inlineStr"/>
      <c r="AP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Y304" t="inlineStr">
        <is>
          <t>unknown</t>
        </is>
      </c>
      <c r="Z304" t="inlineStr"/>
      <c r="AA304" t="inlineStr"/>
      <c r="AB304" t="inlineStr"/>
      <c r="AC304" t="inlineStr"/>
      <c r="AD304" t="inlineStr">
        <is>
          <t>לא נמצא בסריקת המפיצים</t>
        </is>
      </c>
      <c r="AE304" t="inlineStr">
        <is>
          <t>סריקת אתרי מפיצים</t>
        </is>
      </c>
      <c r="AG304" t="inlineStr"/>
      <c r="AH304" t="inlineStr"/>
      <c r="AJ304" t="inlineStr"/>
      <c r="AP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Y305" t="inlineStr">
        <is>
          <t>unknown</t>
        </is>
      </c>
      <c r="Z305" t="inlineStr"/>
      <c r="AA305" t="inlineStr"/>
      <c r="AB305" t="inlineStr"/>
      <c r="AC305" t="inlineStr"/>
      <c r="AD305" t="inlineStr">
        <is>
          <t>לא נמצא בסריקת המפיצים</t>
        </is>
      </c>
      <c r="AE305" t="inlineStr">
        <is>
          <t>סריקת אתרי מפיצים</t>
        </is>
      </c>
      <c r="AG305" t="inlineStr"/>
      <c r="AH305" t="inlineStr"/>
      <c r="AJ305" t="inlineStr"/>
      <c r="AP305" t="inlineStr">
        <is>
          <t>https://www.thomassci.com/browse-by/suppliers/cellular-engineering-technologies</t>
        </is>
      </c>
    </row>
    <row r="306">
      <c r="A306" t="n">
        <v>305</v>
      </c>
      <c r="B306" t="inlineStr">
        <is>
          <t>Cellvis</t>
        </is>
      </c>
      <c r="C306" t="inlineStr">
        <is>
          <t>Q</t>
        </is>
      </c>
      <c r="F306" t="inlineStr">
        <is>
          <t>yes</t>
        </is>
      </c>
      <c r="J306" t="inlineStr"/>
      <c r="Y306" t="inlineStr">
        <is>
          <t>unknown</t>
        </is>
      </c>
      <c r="Z306" t="inlineStr"/>
      <c r="AA306" t="inlineStr"/>
      <c r="AB306" t="inlineStr"/>
      <c r="AC306" t="inlineStr"/>
      <c r="AD306" t="inlineStr">
        <is>
          <t>לא נמצא בסריקת המפיצים</t>
        </is>
      </c>
      <c r="AE306" t="inlineStr">
        <is>
          <t>סריקת אתרי מפיצים</t>
        </is>
      </c>
      <c r="AG306" t="inlineStr"/>
      <c r="AH306" t="inlineStr"/>
      <c r="AJ306" t="inlineStr"/>
      <c r="AP306" t="inlineStr">
        <is>
          <t>https://www.quartzy.com/suppliers</t>
        </is>
      </c>
    </row>
    <row r="307">
      <c r="A307" t="n">
        <v>306</v>
      </c>
      <c r="B307" t="inlineStr">
        <is>
          <t>CEM</t>
        </is>
      </c>
      <c r="C307" t="inlineStr">
        <is>
          <t>D</t>
        </is>
      </c>
      <c r="D307" t="inlineStr">
        <is>
          <t>https://www.dutscher.com/search?initialFilters=brand:CEM</t>
        </is>
      </c>
      <c r="F307" t="inlineStr"/>
      <c r="J307" t="inlineStr"/>
      <c r="Y307" t="inlineStr">
        <is>
          <t>unknown</t>
        </is>
      </c>
      <c r="Z307" t="inlineStr"/>
      <c r="AA307" t="inlineStr"/>
      <c r="AB307" t="inlineStr"/>
      <c r="AC307" t="inlineStr"/>
      <c r="AD307" t="inlineStr">
        <is>
          <t>לא נמצא בסריקת המפיצים</t>
        </is>
      </c>
      <c r="AE307" t="inlineStr">
        <is>
          <t>סריקת אתרי מפיצים</t>
        </is>
      </c>
      <c r="AG307" t="inlineStr"/>
      <c r="AH307" t="inlineStr"/>
      <c r="AJ307" t="inlineStr"/>
      <c r="AP307" t="inlineStr">
        <is>
          <t>https://www.dutscher.com/search?initialFilters=brand:CEM</t>
        </is>
      </c>
    </row>
    <row r="308">
      <c r="A308" t="n">
        <v>307</v>
      </c>
      <c r="B308" t="inlineStr">
        <is>
          <t>Cenmed</t>
        </is>
      </c>
      <c r="C308" t="inlineStr">
        <is>
          <t>Q</t>
        </is>
      </c>
      <c r="F308" t="inlineStr">
        <is>
          <t>yes</t>
        </is>
      </c>
      <c r="J308" t="inlineStr"/>
      <c r="Y308" t="inlineStr">
        <is>
          <t>unknown</t>
        </is>
      </c>
      <c r="Z308" t="inlineStr"/>
      <c r="AA308" t="inlineStr"/>
      <c r="AB308" t="inlineStr"/>
      <c r="AC308" t="inlineStr"/>
      <c r="AD308" t="inlineStr">
        <is>
          <t>לא נמצא בסריקת המפיצים</t>
        </is>
      </c>
      <c r="AE308" t="inlineStr">
        <is>
          <t>סריקת אתרי מפיצים</t>
        </is>
      </c>
      <c r="AG308" t="inlineStr"/>
      <c r="AH308" t="inlineStr"/>
      <c r="AJ308" t="inlineStr"/>
      <c r="AP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t>
        </is>
      </c>
      <c r="J309" t="inlineStr"/>
      <c r="Y309" t="inlineStr">
        <is>
          <t>unknown</t>
        </is>
      </c>
      <c r="Z309" t="inlineStr"/>
      <c r="AA309" t="inlineStr"/>
      <c r="AB309" t="inlineStr"/>
      <c r="AC309" t="inlineStr"/>
      <c r="AD309" t="inlineStr">
        <is>
          <t>לא נמצא בסריקת המפיצים</t>
        </is>
      </c>
      <c r="AE309" t="inlineStr">
        <is>
          <t>סריקת אתרי מפיצים</t>
        </is>
      </c>
      <c r="AG309" t="inlineStr"/>
      <c r="AH309" t="inlineStr"/>
      <c r="AJ309" t="inlineStr"/>
      <c r="AP309" t="inlineStr">
        <is>
          <t>https://www.dutscher.com/search?initialFilters=brand:Certoclav</t>
        </is>
      </c>
    </row>
    <row r="310">
      <c r="A310" t="n">
        <v>309</v>
      </c>
      <c r="B310" t="inlineStr">
        <is>
          <t>Charles River Laboratories</t>
        </is>
      </c>
      <c r="C310" t="inlineStr">
        <is>
          <t>Q</t>
        </is>
      </c>
      <c r="F310" t="inlineStr">
        <is>
          <t>yes</t>
        </is>
      </c>
      <c r="H310" t="inlineStr">
        <is>
          <t>https://criver.com</t>
        </is>
      </c>
      <c r="I310" t="inlineStr">
        <is>
          <t>clearbit</t>
        </is>
      </c>
      <c r="J310" t="inlineStr"/>
      <c r="Y310" t="inlineStr">
        <is>
          <t>unknown</t>
        </is>
      </c>
      <c r="Z310" t="inlineStr"/>
      <c r="AA310" t="inlineStr"/>
      <c r="AB310" t="inlineStr"/>
      <c r="AC310" t="inlineStr"/>
      <c r="AD310" t="inlineStr">
        <is>
          <t>לא נמצא בסריקת המפיצים</t>
        </is>
      </c>
      <c r="AE310" t="inlineStr">
        <is>
          <t>סריקת אתרי מפיצים</t>
        </is>
      </c>
      <c r="AG310" t="inlineStr"/>
      <c r="AH310" t="inlineStr"/>
      <c r="AJ310" t="inlineStr"/>
      <c r="AP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Y311" t="inlineStr">
        <is>
          <t>unknown</t>
        </is>
      </c>
      <c r="Z311" t="inlineStr"/>
      <c r="AA311" t="inlineStr"/>
      <c r="AB311" t="inlineStr"/>
      <c r="AC311" t="inlineStr"/>
      <c r="AD311" t="inlineStr">
        <is>
          <t>לא נמצא בסריקת המפיצים</t>
        </is>
      </c>
      <c r="AE311" t="inlineStr">
        <is>
          <t>סריקת אתרי מפיצים</t>
        </is>
      </c>
      <c r="AG311" t="inlineStr"/>
      <c r="AH311" t="inlineStr"/>
      <c r="AJ311" t="inlineStr"/>
      <c r="AP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Y312" t="inlineStr">
        <is>
          <t>unknown</t>
        </is>
      </c>
      <c r="Z312" t="inlineStr"/>
      <c r="AA312" t="inlineStr"/>
      <c r="AB312" t="inlineStr"/>
      <c r="AC312" t="inlineStr"/>
      <c r="AD312" t="inlineStr">
        <is>
          <t>לא נמצא בסריקת המפיצים</t>
        </is>
      </c>
      <c r="AE312" t="inlineStr">
        <is>
          <t>סריקת אתרי מפיצים</t>
        </is>
      </c>
      <c r="AG312" t="inlineStr"/>
      <c r="AH312" t="inlineStr"/>
      <c r="AJ312" t="inlineStr"/>
      <c r="AP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t>
        </is>
      </c>
      <c r="J313" t="inlineStr"/>
      <c r="Y313" t="inlineStr">
        <is>
          <t>unknown</t>
        </is>
      </c>
      <c r="Z313" t="inlineStr"/>
      <c r="AA313" t="inlineStr"/>
      <c r="AB313" t="inlineStr"/>
      <c r="AC313" t="inlineStr"/>
      <c r="AD313" t="inlineStr">
        <is>
          <t>לא נמצא בסריקת המפיצים</t>
        </is>
      </c>
      <c r="AE313" t="inlineStr">
        <is>
          <t>סריקת אתרי מפיצים</t>
        </is>
      </c>
      <c r="AG313" t="inlineStr"/>
      <c r="AH313" t="inlineStr"/>
      <c r="AJ313" t="inlineStr"/>
      <c r="AP313" t="inlineStr">
        <is>
          <t>https://www.thomassci.com/browse-by/suppliers/chase-scientific</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t>
        </is>
      </c>
      <c r="J314" t="inlineStr"/>
      <c r="Y314" t="inlineStr">
        <is>
          <t>unknown</t>
        </is>
      </c>
      <c r="Z314" t="inlineStr"/>
      <c r="AA314" t="inlineStr"/>
      <c r="AB314" t="inlineStr"/>
      <c r="AC314" t="inlineStr"/>
      <c r="AD314" t="inlineStr">
        <is>
          <t>לא נמצא בסריקת המפיצים</t>
        </is>
      </c>
      <c r="AE314" t="inlineStr">
        <is>
          <t>סריקת אתרי מפיצים</t>
        </is>
      </c>
      <c r="AG314" t="inlineStr"/>
      <c r="AH314" t="inlineStr"/>
      <c r="AJ314" t="inlineStr"/>
      <c r="AP314" t="inlineStr">
        <is>
          <t>https://www.thomassci.com/browse-by/suppliers/checksammy</t>
        </is>
      </c>
    </row>
    <row r="315">
      <c r="A315" t="n">
        <v>314</v>
      </c>
      <c r="B315" t="inlineStr">
        <is>
          <t>Chem-Impex</t>
        </is>
      </c>
      <c r="C315" t="inlineStr">
        <is>
          <t>Q</t>
        </is>
      </c>
      <c r="F315" t="inlineStr">
        <is>
          <t>yes</t>
        </is>
      </c>
      <c r="H315" t="inlineStr">
        <is>
          <t>https://chemimpex.com</t>
        </is>
      </c>
      <c r="I315" t="inlineStr">
        <is>
          <t>clearbit</t>
        </is>
      </c>
      <c r="J315" t="inlineStr"/>
      <c r="Y315" t="inlineStr">
        <is>
          <t>unknown</t>
        </is>
      </c>
      <c r="Z315" t="inlineStr"/>
      <c r="AA315" t="inlineStr"/>
      <c r="AB315" t="inlineStr"/>
      <c r="AC315" t="inlineStr"/>
      <c r="AD315" t="inlineStr">
        <is>
          <t>לא נמצא בסריקת המפיצים</t>
        </is>
      </c>
      <c r="AE315" t="inlineStr">
        <is>
          <t>סריקת אתרי מפיצים</t>
        </is>
      </c>
      <c r="AG315" t="inlineStr"/>
      <c r="AH315" t="inlineStr"/>
      <c r="AJ315" t="inlineStr"/>
      <c r="AP315" t="inlineStr">
        <is>
          <t>https://www.quartzy.com/suppliers</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t>
        </is>
      </c>
      <c r="J316" t="inlineStr"/>
      <c r="Y316" t="inlineStr">
        <is>
          <t>unknown</t>
        </is>
      </c>
      <c r="Z316" t="inlineStr"/>
      <c r="AA316" t="inlineStr"/>
      <c r="AB316" t="inlineStr"/>
      <c r="AC316" t="inlineStr"/>
      <c r="AD316" t="inlineStr">
        <is>
          <t>לא נמצא בסריקת המפיצים</t>
        </is>
      </c>
      <c r="AE316" t="inlineStr">
        <is>
          <t>סריקת אתרי מפיצים</t>
        </is>
      </c>
      <c r="AG316" t="inlineStr"/>
      <c r="AH316" t="inlineStr"/>
      <c r="AJ316" t="inlineStr"/>
      <c r="AP316" t="inlineStr">
        <is>
          <t>https://www.thomassci.com/browse-by/suppliers/chemetrics</t>
        </is>
      </c>
    </row>
    <row r="317">
      <c r="A317" t="n">
        <v>316</v>
      </c>
      <c r="B317" t="inlineStr">
        <is>
          <t>chemForce® (powered by Thomas Scientific)</t>
        </is>
      </c>
      <c r="C317" t="inlineStr">
        <is>
          <t>T</t>
        </is>
      </c>
      <c r="E317" t="inlineStr">
        <is>
          <t>https://www.thomassci.com/browse-by/suppliers/chemforce-powered-by-thomas-scientific</t>
        </is>
      </c>
      <c r="F317" t="inlineStr"/>
      <c r="J317" t="inlineStr"/>
      <c r="Y317" t="inlineStr">
        <is>
          <t>unknown</t>
        </is>
      </c>
      <c r="Z317" t="inlineStr"/>
      <c r="AA317" t="inlineStr"/>
      <c r="AB317" t="inlineStr"/>
      <c r="AC317" t="inlineStr"/>
      <c r="AD317" t="inlineStr">
        <is>
          <t>לא נמצא בסריקת המפיצים</t>
        </is>
      </c>
      <c r="AE317" t="inlineStr">
        <is>
          <t>סריקת אתרי מפיצים</t>
        </is>
      </c>
      <c r="AG317" t="inlineStr"/>
      <c r="AH317" t="inlineStr"/>
      <c r="AJ317" t="inlineStr"/>
      <c r="AP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https://chemglass.co.uk</t>
        </is>
      </c>
      <c r="I318" t="inlineStr">
        <is>
          <t>clearbit</t>
        </is>
      </c>
      <c r="J318" t="inlineStr"/>
      <c r="Y318" t="inlineStr">
        <is>
          <t>unknown</t>
        </is>
      </c>
      <c r="Z318" t="inlineStr"/>
      <c r="AA318" t="inlineStr"/>
      <c r="AB318" t="inlineStr"/>
      <c r="AC318" t="inlineStr"/>
      <c r="AD318" t="inlineStr">
        <is>
          <t>לא נמצא בסריקת המפיצים</t>
        </is>
      </c>
      <c r="AE318" t="inlineStr">
        <is>
          <t>סריקת אתרי מפיצים</t>
        </is>
      </c>
      <c r="AG318" t="inlineStr"/>
      <c r="AH318" t="inlineStr"/>
      <c r="AJ318" t="inlineStr"/>
      <c r="AP318" t="inlineStr">
        <is>
          <t>https://www.quartzy.com/suppliers | https://www.thomassci.com/browse-by/suppliers/chemglass</t>
        </is>
      </c>
    </row>
    <row r="319">
      <c r="A319" t="n">
        <v>318</v>
      </c>
      <c r="B319" t="inlineStr">
        <is>
          <t>Chemicals Reagents W</t>
        </is>
      </c>
      <c r="C319" t="inlineStr">
        <is>
          <t>T</t>
        </is>
      </c>
      <c r="E319" t="inlineStr">
        <is>
          <t>https://www.thomassci.com/browse-by/suppliers/chemicals-reagents-w</t>
        </is>
      </c>
      <c r="F319" t="inlineStr"/>
      <c r="J319" t="inlineStr"/>
      <c r="Y319" t="inlineStr">
        <is>
          <t>unknown</t>
        </is>
      </c>
      <c r="Z319" t="inlineStr"/>
      <c r="AA319" t="inlineStr"/>
      <c r="AB319" t="inlineStr"/>
      <c r="AC319" t="inlineStr"/>
      <c r="AD319" t="inlineStr">
        <is>
          <t>לא נמצא בסריקת המפיצים</t>
        </is>
      </c>
      <c r="AE319" t="inlineStr">
        <is>
          <t>סריקת אתרי מפיצים</t>
        </is>
      </c>
      <c r="AG319" t="inlineStr"/>
      <c r="AH319" t="inlineStr"/>
      <c r="AJ319" t="inlineStr"/>
      <c r="AP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Y320" t="inlineStr">
        <is>
          <t>unknown</t>
        </is>
      </c>
      <c r="Z320" t="inlineStr"/>
      <c r="AA320" t="inlineStr"/>
      <c r="AB320" t="inlineStr"/>
      <c r="AC320" t="inlineStr"/>
      <c r="AD320" t="inlineStr">
        <is>
          <t>לא נמצא בסריקת המפיצים</t>
        </is>
      </c>
      <c r="AE320" t="inlineStr">
        <is>
          <t>סריקת אתרי מפיצים</t>
        </is>
      </c>
      <c r="AG320" t="inlineStr"/>
      <c r="AH320" t="inlineStr"/>
      <c r="AJ320" t="inlineStr"/>
      <c r="AP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Y321" t="inlineStr">
        <is>
          <t>unknown</t>
        </is>
      </c>
      <c r="Z321" t="inlineStr"/>
      <c r="AA321" t="inlineStr"/>
      <c r="AB321" t="inlineStr"/>
      <c r="AC321" t="inlineStr"/>
      <c r="AD321" t="inlineStr">
        <is>
          <t>לא נמצא בסריקת המפיצים</t>
        </is>
      </c>
      <c r="AE321" t="inlineStr">
        <is>
          <t>סריקת אתרי מפיצים</t>
        </is>
      </c>
      <c r="AG321" t="inlineStr"/>
      <c r="AH321" t="inlineStr"/>
      <c r="AJ321" t="inlineStr"/>
      <c r="AP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Y322" t="inlineStr">
        <is>
          <t>unknown</t>
        </is>
      </c>
      <c r="Z322" t="inlineStr"/>
      <c r="AA322" t="inlineStr"/>
      <c r="AB322" t="inlineStr"/>
      <c r="AC322" t="inlineStr"/>
      <c r="AD322" t="inlineStr">
        <is>
          <t>לא נמצא בסריקת המפיצים</t>
        </is>
      </c>
      <c r="AE322" t="inlineStr">
        <is>
          <t>סריקת אתרי מפיצים</t>
        </is>
      </c>
      <c r="AG322" t="inlineStr"/>
      <c r="AH322" t="inlineStr"/>
      <c r="AJ322" t="inlineStr"/>
      <c r="AP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t>
        </is>
      </c>
      <c r="J323" t="inlineStr"/>
      <c r="Y323" t="inlineStr">
        <is>
          <t>unknown</t>
        </is>
      </c>
      <c r="Z323" t="inlineStr"/>
      <c r="AA323" t="inlineStr"/>
      <c r="AB323" t="inlineStr"/>
      <c r="AC323" t="inlineStr"/>
      <c r="AD323" t="inlineStr">
        <is>
          <t>לא נמצא בסריקת המפיצים</t>
        </is>
      </c>
      <c r="AE323" t="inlineStr">
        <is>
          <t>סריקת אתרי מפיצים</t>
        </is>
      </c>
      <c r="AG323" t="inlineStr"/>
      <c r="AH323" t="inlineStr"/>
      <c r="AJ323" t="inlineStr"/>
      <c r="AP323" t="inlineStr">
        <is>
          <t>https://www.thomassci.com/browse-by/suppliers/chemtronics</t>
        </is>
      </c>
    </row>
    <row r="324">
      <c r="A324" t="n">
        <v>323</v>
      </c>
      <c r="B324" t="inlineStr">
        <is>
          <t>Choice Taq Blue Mastermix™</t>
        </is>
      </c>
      <c r="C324" t="inlineStr">
        <is>
          <t>T</t>
        </is>
      </c>
      <c r="E324" t="inlineStr">
        <is>
          <t>https://www.thomassci.com/browse-by/suppliers/choice-taq-blue-mastermix</t>
        </is>
      </c>
      <c r="F324" t="inlineStr"/>
      <c r="J324" t="inlineStr"/>
      <c r="Y324" t="inlineStr">
        <is>
          <t>unknown</t>
        </is>
      </c>
      <c r="Z324" t="inlineStr"/>
      <c r="AA324" t="inlineStr"/>
      <c r="AB324" t="inlineStr"/>
      <c r="AC324" t="inlineStr"/>
      <c r="AD324" t="inlineStr">
        <is>
          <t>לא נמצא בסריקת המפיצים</t>
        </is>
      </c>
      <c r="AE324" t="inlineStr">
        <is>
          <t>סריקת אתרי מפיצים</t>
        </is>
      </c>
      <c r="AG324" t="inlineStr"/>
      <c r="AH324" t="inlineStr"/>
      <c r="AJ324" t="inlineStr"/>
      <c r="AP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t>
        </is>
      </c>
      <c r="J325" t="inlineStr"/>
      <c r="Y325" t="inlineStr">
        <is>
          <t>unknown</t>
        </is>
      </c>
      <c r="Z325" t="inlineStr"/>
      <c r="AA325" t="inlineStr"/>
      <c r="AB325" t="inlineStr"/>
      <c r="AC325" t="inlineStr"/>
      <c r="AD325" t="inlineStr">
        <is>
          <t>לא נמצא בסריקת המפיצים</t>
        </is>
      </c>
      <c r="AE325" t="inlineStr">
        <is>
          <t>סריקת אתרי מפיצים</t>
        </is>
      </c>
      <c r="AG325" t="inlineStr"/>
      <c r="AH325" t="inlineStr"/>
      <c r="AJ325" t="inlineStr"/>
      <c r="AP325" t="inlineStr">
        <is>
          <t>https://www.quartzy.com/suppliers</t>
        </is>
      </c>
    </row>
    <row r="326">
      <c r="A326" t="n">
        <v>325</v>
      </c>
      <c r="B326" t="inlineStr">
        <is>
          <t>ChromoTek</t>
        </is>
      </c>
      <c r="C326" t="inlineStr">
        <is>
          <t>Q</t>
        </is>
      </c>
      <c r="F326" t="inlineStr">
        <is>
          <t>yes</t>
        </is>
      </c>
      <c r="J326" t="inlineStr"/>
      <c r="Y326" t="inlineStr">
        <is>
          <t>unknown</t>
        </is>
      </c>
      <c r="Z326" t="inlineStr"/>
      <c r="AA326" t="inlineStr"/>
      <c r="AB326" t="inlineStr"/>
      <c r="AC326" t="inlineStr"/>
      <c r="AD326" t="inlineStr">
        <is>
          <t>לא נמצא בסריקת המפיצים</t>
        </is>
      </c>
      <c r="AE326" t="inlineStr">
        <is>
          <t>סריקת אתרי מפיצים</t>
        </is>
      </c>
      <c r="AG326" t="inlineStr"/>
      <c r="AH326" t="inlineStr"/>
      <c r="AJ326" t="inlineStr"/>
      <c r="AP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clearbit</t>
        </is>
      </c>
      <c r="J327" t="inlineStr"/>
      <c r="Y327" t="inlineStr">
        <is>
          <t>unknown</t>
        </is>
      </c>
      <c r="Z327" t="inlineStr"/>
      <c r="AA327" t="inlineStr"/>
      <c r="AB327" t="inlineStr"/>
      <c r="AC327" t="inlineStr"/>
      <c r="AD327" t="inlineStr">
        <is>
          <t>לא נמצא בסריקת המפיצים</t>
        </is>
      </c>
      <c r="AE327" t="inlineStr">
        <is>
          <t>סריקת אתרי מפיצים</t>
        </is>
      </c>
      <c r="AG327" t="inlineStr"/>
      <c r="AH327" t="inlineStr"/>
      <c r="AJ327" t="inlineStr"/>
      <c r="AP327" t="inlineStr">
        <is>
          <t>https://www.thomassci.com/browse-by/suppliers/chums</t>
        </is>
      </c>
    </row>
    <row r="328">
      <c r="A328" t="n">
        <v>327</v>
      </c>
      <c r="B328" t="inlineStr">
        <is>
          <t>Cincinnati Surgical</t>
        </is>
      </c>
      <c r="C328" t="inlineStr">
        <is>
          <t>T</t>
        </is>
      </c>
      <c r="E328" t="inlineStr">
        <is>
          <t>https://www.thomassci.com/browse-by/suppliers/cincinnati-surgical</t>
        </is>
      </c>
      <c r="F328" t="inlineStr"/>
      <c r="J328" t="inlineStr"/>
      <c r="Y328" t="inlineStr">
        <is>
          <t>unknown</t>
        </is>
      </c>
      <c r="Z328" t="inlineStr"/>
      <c r="AA328" t="inlineStr"/>
      <c r="AB328" t="inlineStr"/>
      <c r="AC328" t="inlineStr"/>
      <c r="AD328" t="inlineStr">
        <is>
          <t>לא נמצא בסריקת המפיצים</t>
        </is>
      </c>
      <c r="AE328" t="inlineStr">
        <is>
          <t>סריקת אתרי מפיצים</t>
        </is>
      </c>
      <c r="AG328" t="inlineStr"/>
      <c r="AH328" t="inlineStr"/>
      <c r="AJ328" t="inlineStr"/>
      <c r="AP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Y329" t="inlineStr">
        <is>
          <t>unknown</t>
        </is>
      </c>
      <c r="Z329" t="inlineStr"/>
      <c r="AA329" t="inlineStr"/>
      <c r="AB329" t="inlineStr"/>
      <c r="AC329" t="inlineStr"/>
      <c r="AD329" t="inlineStr">
        <is>
          <t>לא נמצא בסריקת המפיצים</t>
        </is>
      </c>
      <c r="AE329" t="inlineStr">
        <is>
          <t>סריקת אתרי מפיצים</t>
        </is>
      </c>
      <c r="AG329" t="inlineStr"/>
      <c r="AH329" t="inlineStr"/>
      <c r="AJ329" t="inlineStr"/>
      <c r="AP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Y330" t="inlineStr">
        <is>
          <t>unknown</t>
        </is>
      </c>
      <c r="Z330" t="inlineStr"/>
      <c r="AA330" t="inlineStr"/>
      <c r="AB330" t="inlineStr"/>
      <c r="AC330" t="inlineStr"/>
      <c r="AD330" t="inlineStr">
        <is>
          <t>לא נמצא בסריקת המפיצים</t>
        </is>
      </c>
      <c r="AE330" t="inlineStr">
        <is>
          <t>סריקת אתרי מפיצים</t>
        </is>
      </c>
      <c r="AG330" t="inlineStr"/>
      <c r="AH330" t="inlineStr"/>
      <c r="AJ330" t="inlineStr"/>
      <c r="AP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Y331" t="inlineStr">
        <is>
          <t>unknown</t>
        </is>
      </c>
      <c r="Z331" t="inlineStr"/>
      <c r="AA331" t="inlineStr"/>
      <c r="AB331" t="inlineStr"/>
      <c r="AC331" t="inlineStr"/>
      <c r="AD331" t="inlineStr">
        <is>
          <t>לא נמצא בסריקת המפיצים</t>
        </is>
      </c>
      <c r="AE331" t="inlineStr">
        <is>
          <t>סריקת אתרי מפיצים</t>
        </is>
      </c>
      <c r="AG331" t="inlineStr"/>
      <c r="AH331" t="inlineStr"/>
      <c r="AJ331" t="inlineStr"/>
      <c r="AP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t>
        </is>
      </c>
      <c r="J332" t="inlineStr"/>
      <c r="Y332" t="inlineStr">
        <is>
          <t>unknown</t>
        </is>
      </c>
      <c r="Z332" t="inlineStr"/>
      <c r="AA332" t="inlineStr"/>
      <c r="AB332" t="inlineStr"/>
      <c r="AC332" t="inlineStr"/>
      <c r="AD332" t="inlineStr">
        <is>
          <t>לא נמצא בסריקת המפיצים</t>
        </is>
      </c>
      <c r="AE332" t="inlineStr">
        <is>
          <t>סריקת אתרי מפיצים</t>
        </is>
      </c>
      <c r="AG332" t="inlineStr"/>
      <c r="AH332" t="inlineStr"/>
      <c r="AJ332" t="inlineStr"/>
      <c r="AP332" t="inlineStr">
        <is>
          <t>https://www.thomassci.com/browse-by/suppliers/clean-edge</t>
        </is>
      </c>
    </row>
    <row r="333">
      <c r="A333" t="n">
        <v>332</v>
      </c>
      <c r="B333" t="inlineStr">
        <is>
          <t>Clean Packaging Solutions LLC</t>
        </is>
      </c>
      <c r="C333" t="inlineStr">
        <is>
          <t>T</t>
        </is>
      </c>
      <c r="E333" t="inlineStr">
        <is>
          <t>https://www.thomassci.com/browse-by/suppliers/clean-packaging-solutions-llc</t>
        </is>
      </c>
      <c r="F333" t="inlineStr"/>
      <c r="J333" t="inlineStr"/>
      <c r="Y333" t="inlineStr">
        <is>
          <t>unknown</t>
        </is>
      </c>
      <c r="Z333" t="inlineStr"/>
      <c r="AA333" t="inlineStr"/>
      <c r="AB333" t="inlineStr"/>
      <c r="AC333" t="inlineStr"/>
      <c r="AD333" t="inlineStr">
        <is>
          <t>לא נמצא בסריקת המפיצים</t>
        </is>
      </c>
      <c r="AE333" t="inlineStr">
        <is>
          <t>סריקת אתרי מפיצים</t>
        </is>
      </c>
      <c r="AG333" t="inlineStr"/>
      <c r="AH333" t="inlineStr"/>
      <c r="AJ333" t="inlineStr"/>
      <c r="AP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Y334" t="inlineStr">
        <is>
          <t>unknown</t>
        </is>
      </c>
      <c r="Z334" t="inlineStr"/>
      <c r="AA334" t="inlineStr"/>
      <c r="AB334" t="inlineStr"/>
      <c r="AC334" t="inlineStr"/>
      <c r="AD334" t="inlineStr">
        <is>
          <t>לא נמצא בסריקת המפיצים</t>
        </is>
      </c>
      <c r="AE334" t="inlineStr">
        <is>
          <t>סריקת אתרי מפיצים</t>
        </is>
      </c>
      <c r="AG334" t="inlineStr"/>
      <c r="AH334" t="inlineStr"/>
      <c r="AJ334" t="inlineStr"/>
      <c r="AP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t>
        </is>
      </c>
      <c r="J335" t="inlineStr"/>
      <c r="Y335" t="inlineStr">
        <is>
          <t>unknown</t>
        </is>
      </c>
      <c r="Z335" t="inlineStr"/>
      <c r="AA335" t="inlineStr"/>
      <c r="AB335" t="inlineStr"/>
      <c r="AC335" t="inlineStr"/>
      <c r="AD335" t="inlineStr">
        <is>
          <t>לא נמצא בסריקת המפיצים</t>
        </is>
      </c>
      <c r="AE335" t="inlineStr">
        <is>
          <t>סריקת אתרי מפיצים</t>
        </is>
      </c>
      <c r="AG335" t="inlineStr"/>
      <c r="AH335" t="inlineStr"/>
      <c r="AJ335" t="inlineStr"/>
      <c r="AP335" t="inlineStr">
        <is>
          <t>https://www.thomassci.com/browse-by/suppliers/cleanmark-labels</t>
        </is>
      </c>
    </row>
    <row r="336">
      <c r="A336" t="n">
        <v>335</v>
      </c>
      <c r="B336" t="inlineStr">
        <is>
          <t>Cleanmo</t>
        </is>
      </c>
      <c r="C336" t="inlineStr">
        <is>
          <t>T</t>
        </is>
      </c>
      <c r="E336" t="inlineStr">
        <is>
          <t>https://www.thomassci.com/browse-by/suppliers/cleanmo</t>
        </is>
      </c>
      <c r="F336" t="inlineStr"/>
      <c r="J336" t="inlineStr"/>
      <c r="Y336" t="inlineStr">
        <is>
          <t>unknown</t>
        </is>
      </c>
      <c r="Z336" t="inlineStr"/>
      <c r="AA336" t="inlineStr"/>
      <c r="AB336" t="inlineStr"/>
      <c r="AC336" t="inlineStr"/>
      <c r="AD336" t="inlineStr">
        <is>
          <t>לא נמצא בסריקת המפיצים</t>
        </is>
      </c>
      <c r="AE336" t="inlineStr">
        <is>
          <t>סריקת אתרי מפיצים</t>
        </is>
      </c>
      <c r="AG336" t="inlineStr"/>
      <c r="AH336" t="inlineStr"/>
      <c r="AJ336" t="inlineStr"/>
      <c r="AP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t>
        </is>
      </c>
      <c r="J337" t="inlineStr"/>
      <c r="Y337" t="inlineStr">
        <is>
          <t>unknown</t>
        </is>
      </c>
      <c r="Z337" t="inlineStr"/>
      <c r="AA337" t="inlineStr"/>
      <c r="AB337" t="inlineStr"/>
      <c r="AC337" t="inlineStr"/>
      <c r="AD337" t="inlineStr">
        <is>
          <t>לא נמצא בסריקת המפיצים</t>
        </is>
      </c>
      <c r="AE337" t="inlineStr">
        <is>
          <t>סריקת אתרי מפיצים</t>
        </is>
      </c>
      <c r="AG337" t="inlineStr"/>
      <c r="AH337" t="inlineStr"/>
      <c r="AJ337" t="inlineStr"/>
      <c r="AP337" t="inlineStr">
        <is>
          <t>https://www.thomassci.com/browse-by/suppliers/cleanroom-film-and-bags</t>
        </is>
      </c>
    </row>
    <row r="338">
      <c r="A338" t="n">
        <v>337</v>
      </c>
      <c r="B338" t="inlineStr">
        <is>
          <t>CleanTeam® by PIP Global Safety</t>
        </is>
      </c>
      <c r="C338" t="inlineStr">
        <is>
          <t>T</t>
        </is>
      </c>
      <c r="E338" t="inlineStr">
        <is>
          <t>https://www.thomassci.com/browse-by/suppliers/cleanteam-by-pip-global-safety</t>
        </is>
      </c>
      <c r="F338" t="inlineStr"/>
      <c r="J338" t="inlineStr"/>
      <c r="Y338" t="inlineStr">
        <is>
          <t>unknown</t>
        </is>
      </c>
      <c r="Z338" t="inlineStr"/>
      <c r="AA338" t="inlineStr"/>
      <c r="AB338" t="inlineStr"/>
      <c r="AC338" t="inlineStr"/>
      <c r="AD338" t="inlineStr">
        <is>
          <t>לא נמצא בסריקת המפיצים</t>
        </is>
      </c>
      <c r="AE338" t="inlineStr">
        <is>
          <t>סריקת אתרי מפיצים</t>
        </is>
      </c>
      <c r="AG338" t="inlineStr"/>
      <c r="AH338" t="inlineStr"/>
      <c r="AJ338" t="inlineStr"/>
      <c r="AP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Y339" t="inlineStr">
        <is>
          <t>unknown</t>
        </is>
      </c>
      <c r="Z339" t="inlineStr"/>
      <c r="AA339" t="inlineStr"/>
      <c r="AB339" t="inlineStr"/>
      <c r="AC339" t="inlineStr"/>
      <c r="AD339" t="inlineStr">
        <is>
          <t>לא נמצא בסריקת המפיצים</t>
        </is>
      </c>
      <c r="AE339" t="inlineStr">
        <is>
          <t>סריקת אתרי מפיצים</t>
        </is>
      </c>
      <c r="AG339" t="inlineStr"/>
      <c r="AH339" t="inlineStr"/>
      <c r="AJ339" t="inlineStr"/>
      <c r="AP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t>
        </is>
      </c>
      <c r="J340" t="inlineStr"/>
      <c r="Y340" t="inlineStr">
        <is>
          <t>unknown</t>
        </is>
      </c>
      <c r="Z340" t="inlineStr"/>
      <c r="AA340" t="inlineStr"/>
      <c r="AB340" t="inlineStr"/>
      <c r="AC340" t="inlineStr"/>
      <c r="AD340" t="inlineStr">
        <is>
          <t>לא נמצא בסריקת המפיצים</t>
        </is>
      </c>
      <c r="AE340" t="inlineStr">
        <is>
          <t>סריקת אתרי מפיצים</t>
        </is>
      </c>
      <c r="AG340" t="inlineStr"/>
      <c r="AH340" t="inlineStr"/>
      <c r="AJ340" t="inlineStr"/>
      <c r="AP340" t="inlineStr">
        <is>
          <t>https://www.dutscher.com/search?initialFilters=brand:ClearLine</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Y341" t="inlineStr">
        <is>
          <t>unknown</t>
        </is>
      </c>
      <c r="Z341" t="inlineStr"/>
      <c r="AA341" t="inlineStr"/>
      <c r="AB341" t="inlineStr"/>
      <c r="AC341" t="inlineStr"/>
      <c r="AD341" t="inlineStr">
        <is>
          <t>לא נמצא בסריקת המפיצים</t>
        </is>
      </c>
      <c r="AE341" t="inlineStr">
        <is>
          <t>סריקת אתרי מפיצים</t>
        </is>
      </c>
      <c r="AG341" t="inlineStr"/>
      <c r="AH341" t="inlineStr"/>
      <c r="AJ341" t="inlineStr"/>
      <c r="AP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H342" t="inlineStr">
        <is>
          <t>https://click-bio.com</t>
        </is>
      </c>
      <c r="I342" t="inlineStr">
        <is>
          <t>clearbit</t>
        </is>
      </c>
      <c r="J342" t="inlineStr"/>
      <c r="Y342" t="inlineStr">
        <is>
          <t>unknown</t>
        </is>
      </c>
      <c r="Z342" t="inlineStr"/>
      <c r="AA342" t="inlineStr"/>
      <c r="AB342" t="inlineStr"/>
      <c r="AC342" t="inlineStr"/>
      <c r="AD342" t="inlineStr">
        <is>
          <t>לא נמצא בסריקת המפיצים</t>
        </is>
      </c>
      <c r="AE342" t="inlineStr">
        <is>
          <t>סריקת אתרי מפיצים</t>
        </is>
      </c>
      <c r="AG342" t="inlineStr"/>
      <c r="AH342" t="inlineStr"/>
      <c r="AJ342" t="inlineStr"/>
      <c r="AP342" t="inlineStr">
        <is>
          <t>https://www.thomassci.com/browse-by/suppliers/clickbio</t>
        </is>
      </c>
    </row>
    <row r="343">
      <c r="A343" t="n">
        <v>342</v>
      </c>
      <c r="B343" t="inlineStr">
        <is>
          <t>Clorox</t>
        </is>
      </c>
      <c r="C343" t="inlineStr">
        <is>
          <t>T</t>
        </is>
      </c>
      <c r="E343" t="inlineStr">
        <is>
          <t>https://www.thomassci.com/browse-by/suppliers/clorox</t>
        </is>
      </c>
      <c r="F343" t="inlineStr"/>
      <c r="H343" t="inlineStr">
        <is>
          <t>https://clorox.com</t>
        </is>
      </c>
      <c r="I343" t="inlineStr">
        <is>
          <t>clearbit</t>
        </is>
      </c>
      <c r="J343" t="inlineStr"/>
      <c r="Y343" t="inlineStr">
        <is>
          <t>unknown</t>
        </is>
      </c>
      <c r="Z343" t="inlineStr"/>
      <c r="AA343" t="inlineStr"/>
      <c r="AB343" t="inlineStr"/>
      <c r="AC343" t="inlineStr"/>
      <c r="AD343" t="inlineStr">
        <is>
          <t>לא נמצא בסריקת המפיצים</t>
        </is>
      </c>
      <c r="AE343" t="inlineStr">
        <is>
          <t>סריקת אתרי מפיצים</t>
        </is>
      </c>
      <c r="AG343" t="inlineStr"/>
      <c r="AH343" t="inlineStr"/>
      <c r="AJ343" t="inlineStr"/>
      <c r="AP343" t="inlineStr">
        <is>
          <t>https://www.thomassci.com/browse-by/suppliers/clorox</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t>
        </is>
      </c>
      <c r="J344" t="inlineStr"/>
      <c r="Y344" t="inlineStr">
        <is>
          <t>unknown</t>
        </is>
      </c>
      <c r="Z344" t="inlineStr"/>
      <c r="AA344" t="inlineStr"/>
      <c r="AB344" t="inlineStr"/>
      <c r="AC344" t="inlineStr"/>
      <c r="AD344" t="inlineStr">
        <is>
          <t>לא נמצא בסריקת המפיצים</t>
        </is>
      </c>
      <c r="AE344" t="inlineStr">
        <is>
          <t>סריקת אתרי מפיצים</t>
        </is>
      </c>
      <c r="AG344" t="inlineStr"/>
      <c r="AH344" t="inlineStr"/>
      <c r="AJ344" t="inlineStr"/>
      <c r="AP344" t="inlineStr">
        <is>
          <t>https://www.dutscher.com/search?initialFilters=brand:Codigel</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t>
        </is>
      </c>
      <c r="J345" t="inlineStr"/>
      <c r="K345" t="inlineStr">
        <is>
          <t>Franklin</t>
        </is>
      </c>
      <c r="Y345" t="inlineStr">
        <is>
          <t>unknown</t>
        </is>
      </c>
      <c r="Z345" t="inlineStr"/>
      <c r="AA345" t="inlineStr"/>
      <c r="AB345" t="inlineStr"/>
      <c r="AC345" t="inlineStr"/>
      <c r="AD345" t="inlineStr">
        <is>
          <t>לא נמצא בסריקת המפיצים</t>
        </is>
      </c>
      <c r="AE345" t="inlineStr">
        <is>
          <t>סריקת אתרי מפיצים</t>
        </is>
      </c>
      <c r="AG345" t="inlineStr"/>
      <c r="AH345" t="inlineStr"/>
      <c r="AJ345" t="inlineStr"/>
      <c r="AL345" t="inlineStr">
        <is>
          <t>Franklin</t>
        </is>
      </c>
      <c r="AO345" t="inlineStr">
        <is>
          <t>Q140305457</t>
        </is>
      </c>
      <c r="AP345" t="inlineStr">
        <is>
          <t>https://www.thomassci.com/browse-by/suppliers/cold-chain-technologies | https://www.wikidata.org/wiki/Q140305457</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medical and environmental products company</t>
        </is>
      </c>
      <c r="P346" t="n">
        <v>2000</v>
      </c>
      <c r="Q346" t="n">
        <v>2024</v>
      </c>
      <c r="R346" t="inlineStr">
        <is>
          <t>estimate</t>
        </is>
      </c>
      <c r="S346" t="inlineStr">
        <is>
          <t>prior</t>
        </is>
      </c>
      <c r="T346" t="n">
        <v>400</v>
      </c>
      <c r="U346" t="inlineStr">
        <is>
          <t>approx. USD 400 million (third-party directory estimate)</t>
        </is>
      </c>
      <c r="V346" t="inlineStr">
        <is>
          <t>n/a (directory estimate seen Oct 2026)</t>
        </is>
      </c>
      <c r="W346" t="inlineStr">
        <is>
          <t>estimate</t>
        </is>
      </c>
      <c r="X346" t="inlineStr">
        <is>
          <t>prior</t>
        </is>
      </c>
      <c r="Y346" t="inlineStr">
        <is>
          <t>estimate</t>
        </is>
      </c>
      <c r="Z346" t="inlineStr">
        <is>
          <t>Jenway spectrophotometers</t>
        </is>
      </c>
      <c r="AA346" t="inlineStr">
        <is>
          <t>Environmental Express HotBlock</t>
        </is>
      </c>
      <c r="AB346" t="inlineStr">
        <is>
          <t>Stuart / Techne benchtop equipment</t>
        </is>
      </c>
      <c r="AC346" t="inlineStr">
        <is>
          <t>prior</t>
        </is>
      </c>
      <c r="AD346" t="inlineStr">
        <is>
          <t>מפיץ/נציג בישראל</t>
        </is>
      </c>
      <c r="AE346" t="inlineStr">
        <is>
          <t>אומת</t>
        </is>
      </c>
      <c r="AF346" t="n">
        <v>2026</v>
      </c>
      <c r="AG346" t="inlineStr">
        <is>
          <t>Medent Scientific Instruments</t>
        </is>
      </c>
      <c r="AH346" t="inlineStr">
        <is>
          <t>Medent Scientific Instruments: +972 72-395-0508 (sales); +972 8-683-6306 (service) info@medent.co.il</t>
        </is>
      </c>
      <c r="AI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346" t="inlineStr">
        <is>
          <t>+1 800-323-4340</t>
        </is>
      </c>
      <c r="AK346" t="inlineStr">
        <is>
          <t>sales@antylia.com</t>
        </is>
      </c>
      <c r="AL346" t="inlineStr">
        <is>
          <t>625 East Bunker Court, Vernon Hills, IL 60061, USA</t>
        </is>
      </c>
      <c r="AN346" t="inlineStr">
        <is>
          <t>https://www.thomasnet.com/company/cole-parmer-1148924/profile</t>
        </is>
      </c>
      <c r="AO346" t="inlineStr">
        <is>
          <t>Q5142613</t>
        </is>
      </c>
      <c r="AP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Y347" t="inlineStr">
        <is>
          <t>unknown</t>
        </is>
      </c>
      <c r="Z347" t="inlineStr"/>
      <c r="AA347" t="inlineStr"/>
      <c r="AB347" t="inlineStr"/>
      <c r="AC347" t="inlineStr"/>
      <c r="AD347" t="inlineStr">
        <is>
          <t>לא נמצא בסריקת המפיצים</t>
        </is>
      </c>
      <c r="AE347" t="inlineStr">
        <is>
          <t>סריקת אתרי מפיצים</t>
        </is>
      </c>
      <c r="AG347" t="inlineStr"/>
      <c r="AH347" t="inlineStr"/>
      <c r="AJ347" t="inlineStr"/>
      <c r="AP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t>
        </is>
      </c>
      <c r="J348" t="inlineStr"/>
      <c r="Y348" t="inlineStr">
        <is>
          <t>unknown</t>
        </is>
      </c>
      <c r="Z348" t="inlineStr"/>
      <c r="AA348" t="inlineStr"/>
      <c r="AB348" t="inlineStr"/>
      <c r="AC348" t="inlineStr"/>
      <c r="AD348" t="inlineStr">
        <is>
          <t>לא נמצא בסריקת המפיצים</t>
        </is>
      </c>
      <c r="AE348" t="inlineStr">
        <is>
          <t>סריקת אתרי מפיצים</t>
        </is>
      </c>
      <c r="AG348" t="inlineStr"/>
      <c r="AH348" t="inlineStr"/>
      <c r="AJ348" t="inlineStr"/>
      <c r="AP348" t="inlineStr">
        <is>
          <t>https://www.thomassci.com/browse-by/suppliers/columbus-chemical-industries</t>
        </is>
      </c>
    </row>
    <row r="349">
      <c r="A349" t="n">
        <v>348</v>
      </c>
      <c r="B349" t="inlineStr">
        <is>
          <t>Combi-Blocks</t>
        </is>
      </c>
      <c r="C349" t="inlineStr">
        <is>
          <t>Q</t>
        </is>
      </c>
      <c r="F349" t="inlineStr">
        <is>
          <t>yes</t>
        </is>
      </c>
      <c r="H349" t="inlineStr">
        <is>
          <t>https://combi-blocks.com</t>
        </is>
      </c>
      <c r="I349" t="inlineStr">
        <is>
          <t>clearbit</t>
        </is>
      </c>
      <c r="J349" t="inlineStr"/>
      <c r="Y349" t="inlineStr">
        <is>
          <t>unknown</t>
        </is>
      </c>
      <c r="Z349" t="inlineStr"/>
      <c r="AA349" t="inlineStr"/>
      <c r="AB349" t="inlineStr"/>
      <c r="AC349" t="inlineStr"/>
      <c r="AD349" t="inlineStr">
        <is>
          <t>לא נמצא בסריקת המפיצים</t>
        </is>
      </c>
      <c r="AE349" t="inlineStr">
        <is>
          <t>סריקת אתרי מפיצים</t>
        </is>
      </c>
      <c r="AG349" t="inlineStr"/>
      <c r="AH349" t="inlineStr"/>
      <c r="AJ349" t="inlineStr"/>
      <c r="AP349" t="inlineStr">
        <is>
          <t>https://www.quartzy.com/suppliers</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t>
        </is>
      </c>
      <c r="J350" t="inlineStr"/>
      <c r="Y350" t="inlineStr">
        <is>
          <t>unknown</t>
        </is>
      </c>
      <c r="Z350" t="inlineStr"/>
      <c r="AA350" t="inlineStr"/>
      <c r="AB350" t="inlineStr"/>
      <c r="AC350" t="inlineStr"/>
      <c r="AD350" t="inlineStr">
        <is>
          <t>לא נמצא בסריקת המפיצים</t>
        </is>
      </c>
      <c r="AE350" t="inlineStr">
        <is>
          <t>סריקת אתרי מפיצים</t>
        </is>
      </c>
      <c r="AG350" t="inlineStr"/>
      <c r="AH350" t="inlineStr"/>
      <c r="AJ350" t="inlineStr"/>
      <c r="AP350" t="inlineStr">
        <is>
          <t>https://www.thomassci.com/browse-by/suppliers/complete-environmental-products</t>
        </is>
      </c>
    </row>
    <row r="351">
      <c r="A351" t="n">
        <v>350</v>
      </c>
      <c r="B351" t="inlineStr">
        <is>
          <t>Computype, Inc</t>
        </is>
      </c>
      <c r="C351" t="inlineStr">
        <is>
          <t>T</t>
        </is>
      </c>
      <c r="E351" t="inlineStr">
        <is>
          <t>https://www.thomassci.com/browse-by/suppliers/computype-inc</t>
        </is>
      </c>
      <c r="F351" t="inlineStr"/>
      <c r="J351" t="inlineStr"/>
      <c r="Y351" t="inlineStr">
        <is>
          <t>unknown</t>
        </is>
      </c>
      <c r="Z351" t="inlineStr"/>
      <c r="AA351" t="inlineStr"/>
      <c r="AB351" t="inlineStr"/>
      <c r="AC351" t="inlineStr"/>
      <c r="AD351" t="inlineStr">
        <is>
          <t>לא נמצא בסריקת המפיצים</t>
        </is>
      </c>
      <c r="AE351" t="inlineStr">
        <is>
          <t>סריקת אתרי מפיצים</t>
        </is>
      </c>
      <c r="AG351" t="inlineStr"/>
      <c r="AH351" t="inlineStr"/>
      <c r="AJ351" t="inlineStr"/>
      <c r="AP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Y352" t="inlineStr">
        <is>
          <t>unknown</t>
        </is>
      </c>
      <c r="Z352" t="inlineStr"/>
      <c r="AA352" t="inlineStr"/>
      <c r="AB352" t="inlineStr"/>
      <c r="AC352" t="inlineStr"/>
      <c r="AD352" t="inlineStr">
        <is>
          <t>לא נמצא בסריקת המפיצים</t>
        </is>
      </c>
      <c r="AE352" t="inlineStr">
        <is>
          <t>סריקת אתרי מפיצים</t>
        </is>
      </c>
      <c r="AG352" t="inlineStr"/>
      <c r="AH352" t="inlineStr"/>
      <c r="AJ352" t="inlineStr"/>
      <c r="AP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t>
        </is>
      </c>
      <c r="J353" t="inlineStr"/>
      <c r="Y353" t="inlineStr">
        <is>
          <t>unknown</t>
        </is>
      </c>
      <c r="Z353" t="inlineStr"/>
      <c r="AA353" t="inlineStr"/>
      <c r="AB353" t="inlineStr"/>
      <c r="AC353" t="inlineStr"/>
      <c r="AD353" t="inlineStr">
        <is>
          <t>לא נמצא בסריקת המפיצים</t>
        </is>
      </c>
      <c r="AE353" t="inlineStr">
        <is>
          <t>סריקת אתרי מפיצים</t>
        </is>
      </c>
      <c r="AG353" t="inlineStr"/>
      <c r="AH353" t="inlineStr"/>
      <c r="AJ353" t="inlineStr"/>
      <c r="AP353" t="inlineStr">
        <is>
          <t>https://www.thomassci.com/browse-by/suppliers/conlon-products</t>
        </is>
      </c>
    </row>
    <row r="354">
      <c r="A354" t="n">
        <v>353</v>
      </c>
      <c r="B354" t="inlineStr">
        <is>
          <t>Connecticut Cleanroom</t>
        </is>
      </c>
      <c r="C354" t="inlineStr">
        <is>
          <t>T</t>
        </is>
      </c>
      <c r="E354" t="inlineStr">
        <is>
          <t>https://www.thomassci.com/browse-by/suppliers/connecticut-cleanroom</t>
        </is>
      </c>
      <c r="F354" t="inlineStr"/>
      <c r="J354" t="inlineStr"/>
      <c r="Y354" t="inlineStr">
        <is>
          <t>unknown</t>
        </is>
      </c>
      <c r="Z354" t="inlineStr"/>
      <c r="AA354" t="inlineStr"/>
      <c r="AB354" t="inlineStr"/>
      <c r="AC354" t="inlineStr"/>
      <c r="AD354" t="inlineStr">
        <is>
          <t>לא נמצא בסריקת המפיצים</t>
        </is>
      </c>
      <c r="AE354" t="inlineStr">
        <is>
          <t>סריקת אתרי מפיצים</t>
        </is>
      </c>
      <c r="AG354" t="inlineStr"/>
      <c r="AH354" t="inlineStr"/>
      <c r="AJ354" t="inlineStr"/>
      <c r="AP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t>
        </is>
      </c>
      <c r="J355" t="inlineStr"/>
      <c r="Y355" t="inlineStr">
        <is>
          <t>unknown</t>
        </is>
      </c>
      <c r="Z355" t="inlineStr"/>
      <c r="AA355" t="inlineStr"/>
      <c r="AB355" t="inlineStr"/>
      <c r="AC355" t="inlineStr"/>
      <c r="AD355" t="inlineStr">
        <is>
          <t>לא נמצא בסריקת המפיצים</t>
        </is>
      </c>
      <c r="AE355" t="inlineStr">
        <is>
          <t>סריקת אתרי מפיצים</t>
        </is>
      </c>
      <c r="AG355" t="inlineStr"/>
      <c r="AH355" t="inlineStr"/>
      <c r="AJ355" t="inlineStr"/>
      <c r="AP355" t="inlineStr">
        <is>
          <t>https://www.thomassci.com/browse-by/suppliers/consolidated-plastics</t>
        </is>
      </c>
    </row>
    <row r="356">
      <c r="A356" t="n">
        <v>355</v>
      </c>
      <c r="B356" t="inlineStr">
        <is>
          <t>Consort</t>
        </is>
      </c>
      <c r="C356" t="inlineStr">
        <is>
          <t>D</t>
        </is>
      </c>
      <c r="D356" t="inlineStr">
        <is>
          <t>https://www.dutscher.com/search?initialFilters=brand:Consort</t>
        </is>
      </c>
      <c r="F356" t="inlineStr"/>
      <c r="J356" t="inlineStr"/>
      <c r="Y356" t="inlineStr">
        <is>
          <t>unknown</t>
        </is>
      </c>
      <c r="Z356" t="inlineStr"/>
      <c r="AA356" t="inlineStr"/>
      <c r="AB356" t="inlineStr"/>
      <c r="AC356" t="inlineStr"/>
      <c r="AD356" t="inlineStr">
        <is>
          <t>לא נמצא בסריקת המפיצים</t>
        </is>
      </c>
      <c r="AE356" t="inlineStr">
        <is>
          <t>סריקת אתרי מפיצים</t>
        </is>
      </c>
      <c r="AG356" t="inlineStr"/>
      <c r="AH356" t="inlineStr"/>
      <c r="AJ356" t="inlineStr"/>
      <c r="AP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Y357" t="inlineStr">
        <is>
          <t>unknown</t>
        </is>
      </c>
      <c r="Z357" t="inlineStr"/>
      <c r="AA357" t="inlineStr"/>
      <c r="AB357" t="inlineStr"/>
      <c r="AC357" t="inlineStr"/>
      <c r="AD357" t="inlineStr">
        <is>
          <t>לא נמצא בסריקת המפיצים</t>
        </is>
      </c>
      <c r="AE357" t="inlineStr">
        <is>
          <t>סריקת אתרי מפיצים</t>
        </is>
      </c>
      <c r="AG357" t="inlineStr"/>
      <c r="AH357" t="inlineStr"/>
      <c r="AJ357" t="inlineStr"/>
      <c r="AP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Y358" t="inlineStr">
        <is>
          <t>unknown</t>
        </is>
      </c>
      <c r="Z358" t="inlineStr"/>
      <c r="AA358" t="inlineStr"/>
      <c r="AB358" t="inlineStr"/>
      <c r="AC358" t="inlineStr"/>
      <c r="AD358" t="inlineStr">
        <is>
          <t>לא נמצא בסריקת המפיצים</t>
        </is>
      </c>
      <c r="AE358" t="inlineStr">
        <is>
          <t>סריקת אתרי מפיצים</t>
        </is>
      </c>
      <c r="AG358" t="inlineStr"/>
      <c r="AH358" t="inlineStr"/>
      <c r="AJ358" t="inlineStr"/>
      <c r="AP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t>
        </is>
      </c>
      <c r="J359" t="inlineStr"/>
      <c r="Y359" t="inlineStr">
        <is>
          <t>unknown</t>
        </is>
      </c>
      <c r="Z359" t="inlineStr"/>
      <c r="AA359" t="inlineStr"/>
      <c r="AB359" t="inlineStr"/>
      <c r="AC359" t="inlineStr"/>
      <c r="AD359" t="inlineStr">
        <is>
          <t>לא נמצא בסריקת המפיצים</t>
        </is>
      </c>
      <c r="AE359" t="inlineStr">
        <is>
          <t>סריקת אתרי מפיצים</t>
        </is>
      </c>
      <c r="AG359" t="inlineStr"/>
      <c r="AH359" t="inlineStr"/>
      <c r="AJ359" t="inlineStr"/>
      <c r="AP359" t="inlineStr">
        <is>
          <t>https://www.dutscher.com/search?initialFilters=brand:Copan | https://www.thomassci.com/browse-by/suppliers/copan</t>
        </is>
      </c>
    </row>
    <row r="360">
      <c r="A360" t="n">
        <v>359</v>
      </c>
      <c r="B360" t="inlineStr">
        <is>
          <t>Copeland</t>
        </is>
      </c>
      <c r="C360" t="inlineStr">
        <is>
          <t>T</t>
        </is>
      </c>
      <c r="E360" t="inlineStr">
        <is>
          <t>https://www.thomassci.com/browse-by/suppliers/copeland</t>
        </is>
      </c>
      <c r="F360" t="inlineStr"/>
      <c r="H360" t="inlineStr">
        <is>
          <t>https://copeland.band</t>
        </is>
      </c>
      <c r="I360" t="inlineStr">
        <is>
          <t>clearbit</t>
        </is>
      </c>
      <c r="J360" t="inlineStr"/>
      <c r="Y360" t="inlineStr">
        <is>
          <t>unknown</t>
        </is>
      </c>
      <c r="Z360" t="inlineStr"/>
      <c r="AA360" t="inlineStr"/>
      <c r="AB360" t="inlineStr"/>
      <c r="AC360" t="inlineStr"/>
      <c r="AD360" t="inlineStr">
        <is>
          <t>לא נמצא בסריקת המפיצים</t>
        </is>
      </c>
      <c r="AE360" t="inlineStr">
        <is>
          <t>סריקת אתרי מפיצים</t>
        </is>
      </c>
      <c r="AG360" t="inlineStr"/>
      <c r="AH360" t="inlineStr"/>
      <c r="AJ360" t="inlineStr"/>
      <c r="AP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Y361" t="inlineStr">
        <is>
          <t>unknown</t>
        </is>
      </c>
      <c r="Z361" t="inlineStr"/>
      <c r="AA361" t="inlineStr"/>
      <c r="AB361" t="inlineStr"/>
      <c r="AC361" t="inlineStr"/>
      <c r="AD361" t="inlineStr">
        <is>
          <t>לא נמצא בסריקת המפיצים</t>
        </is>
      </c>
      <c r="AE361" t="inlineStr">
        <is>
          <t>סריקת אתרי מפיצים</t>
        </is>
      </c>
      <c r="AG361" t="inlineStr"/>
      <c r="AH361" t="inlineStr"/>
      <c r="AJ361" t="inlineStr"/>
      <c r="AP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Y362" t="inlineStr">
        <is>
          <t>unknown</t>
        </is>
      </c>
      <c r="Z362" t="inlineStr"/>
      <c r="AA362" t="inlineStr"/>
      <c r="AB362" t="inlineStr"/>
      <c r="AC362" t="inlineStr"/>
      <c r="AD362" t="inlineStr">
        <is>
          <t>לא נמצא בסריקת המפיצים</t>
        </is>
      </c>
      <c r="AE362" t="inlineStr">
        <is>
          <t>סריקת אתרי מפיצים</t>
        </is>
      </c>
      <c r="AG362" t="inlineStr"/>
      <c r="AH362" t="inlineStr"/>
      <c r="AJ362" t="inlineStr"/>
      <c r="AP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P363" t="n">
        <v>67200</v>
      </c>
      <c r="Q363" t="n">
        <v>2025</v>
      </c>
      <c r="R363" t="inlineStr">
        <is>
          <t>parent</t>
        </is>
      </c>
      <c r="S363" t="inlineStr">
        <is>
          <t>prior</t>
        </is>
      </c>
      <c r="T363" t="n">
        <v>972</v>
      </c>
      <c r="U363" t="inlineStr">
        <is>
          <t>USD 972 million</t>
        </is>
      </c>
      <c r="V363" t="inlineStr">
        <is>
          <t>FY2025</t>
        </is>
      </c>
      <c r="W363" t="inlineStr">
        <is>
          <t>segment</t>
        </is>
      </c>
      <c r="X363" t="inlineStr">
        <is>
          <t>prior</t>
        </is>
      </c>
      <c r="Y363" t="inlineStr">
        <is>
          <t>reported</t>
        </is>
      </c>
      <c r="Z363" t="inlineStr">
        <is>
          <t>Falcon</t>
        </is>
      </c>
      <c r="AA363" t="inlineStr">
        <is>
          <t>Corning Matrigel Matrix</t>
        </is>
      </c>
      <c r="AB363" t="inlineStr">
        <is>
          <t>Axygen</t>
        </is>
      </c>
      <c r="AC363" t="inlineStr">
        <is>
          <t>prior</t>
        </is>
      </c>
      <c r="AD363" t="inlineStr">
        <is>
          <t>מפיץ/נציג בישראל</t>
        </is>
      </c>
      <c r="AE363" t="inlineStr">
        <is>
          <t>אומת</t>
        </is>
      </c>
      <c r="AF363" t="n">
        <v>2026</v>
      </c>
      <c r="AG363" t="inlineStr">
        <is>
          <t>Getter Group (Getter Bio-Med)</t>
        </is>
      </c>
      <c r="AH363" t="inlineStr">
        <is>
          <t>Getter Group (Getter Bio-Med): +972 3-576-1555 (Getter Group switchboard)</t>
        </is>
      </c>
      <c r="AI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J363" t="inlineStr">
        <is>
          <t>+1 978-442-2200</t>
        </is>
      </c>
      <c r="AK363" t="inlineStr">
        <is>
          <t>CLSCustServ@corning.com</t>
        </is>
      </c>
      <c r="AL363" t="inlineStr">
        <is>
          <t>One Riverfront Plaza, Corning, NY 14831, USA</t>
        </is>
      </c>
      <c r="AM363" t="inlineStr">
        <is>
          <t>https://www.corning.com/emea/en/products/life-sciences/support-main.html</t>
        </is>
      </c>
      <c r="AN363" t="inlineStr">
        <is>
          <t>https://www.corning.com/emea/en/products/life-sciences/support-main.html</t>
        </is>
      </c>
      <c r="AP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Y364" t="inlineStr">
        <is>
          <t>unknown</t>
        </is>
      </c>
      <c r="Z364" t="inlineStr"/>
      <c r="AA364" t="inlineStr"/>
      <c r="AB364" t="inlineStr"/>
      <c r="AC364" t="inlineStr"/>
      <c r="AD364" t="inlineStr">
        <is>
          <t>לא נמצא בסריקת המפיצים</t>
        </is>
      </c>
      <c r="AE364" t="inlineStr">
        <is>
          <t>סריקת אתרי מפיצים</t>
        </is>
      </c>
      <c r="AG364" t="inlineStr"/>
      <c r="AH364" t="inlineStr"/>
      <c r="AJ364" t="inlineStr"/>
      <c r="AP364" t="inlineStr">
        <is>
          <t>https://www.thomassci.com/browse-by/suppliers/covidien</t>
        </is>
      </c>
    </row>
    <row r="365">
      <c r="A365" t="n">
        <v>364</v>
      </c>
      <c r="B365" t="inlineStr">
        <is>
          <t>Cowie</t>
        </is>
      </c>
      <c r="C365" t="inlineStr">
        <is>
          <t>D</t>
        </is>
      </c>
      <c r="D365" t="inlineStr">
        <is>
          <t>https://www.dutscher.com/search?initialFilters=brand:Cowie</t>
        </is>
      </c>
      <c r="F365" t="inlineStr"/>
      <c r="H365" t="inlineStr">
        <is>
          <t>https://cowieenvironmental.com.au</t>
        </is>
      </c>
      <c r="I365" t="inlineStr">
        <is>
          <t>clearbit</t>
        </is>
      </c>
      <c r="J365" t="inlineStr"/>
      <c r="Y365" t="inlineStr">
        <is>
          <t>unknown</t>
        </is>
      </c>
      <c r="Z365" t="inlineStr"/>
      <c r="AA365" t="inlineStr"/>
      <c r="AB365" t="inlineStr"/>
      <c r="AC365" t="inlineStr"/>
      <c r="AD365" t="inlineStr">
        <is>
          <t>לא נמצא בסריקת המפיצים</t>
        </is>
      </c>
      <c r="AE365" t="inlineStr">
        <is>
          <t>סריקת אתרי מפיצים</t>
        </is>
      </c>
      <c r="AG365" t="inlineStr"/>
      <c r="AH365" t="inlineStr"/>
      <c r="AJ365" t="inlineStr"/>
      <c r="AP365" t="inlineStr">
        <is>
          <t>https://www.dutscher.com/search?initialFilters=brand:Cowie</t>
        </is>
      </c>
    </row>
    <row r="366">
      <c r="A366" t="n">
        <v>365</v>
      </c>
      <c r="B366" t="inlineStr">
        <is>
          <t>CoWin Biosciences</t>
        </is>
      </c>
      <c r="C366" t="inlineStr">
        <is>
          <t>Q</t>
        </is>
      </c>
      <c r="F366" t="inlineStr">
        <is>
          <t>yes</t>
        </is>
      </c>
      <c r="J366" t="inlineStr"/>
      <c r="Y366" t="inlineStr">
        <is>
          <t>unknown</t>
        </is>
      </c>
      <c r="Z366" t="inlineStr"/>
      <c r="AA366" t="inlineStr"/>
      <c r="AB366" t="inlineStr"/>
      <c r="AC366" t="inlineStr"/>
      <c r="AD366" t="inlineStr">
        <is>
          <t>לא נמצא בסריקת המפיצים</t>
        </is>
      </c>
      <c r="AE366" t="inlineStr">
        <is>
          <t>סריקת אתרי מפיצים</t>
        </is>
      </c>
      <c r="AG366" t="inlineStr"/>
      <c r="AH366" t="inlineStr"/>
      <c r="AJ366" t="inlineStr"/>
      <c r="AP366" t="inlineStr">
        <is>
          <t>https://www.quartzy.com/suppliers</t>
        </is>
      </c>
    </row>
    <row r="367">
      <c r="A367" t="n">
        <v>366</v>
      </c>
      <c r="B367" t="inlineStr">
        <is>
          <t>CP Lab Safety</t>
        </is>
      </c>
      <c r="C367" t="inlineStr">
        <is>
          <t>Q</t>
        </is>
      </c>
      <c r="F367" t="inlineStr">
        <is>
          <t>yes</t>
        </is>
      </c>
      <c r="H367" t="inlineStr">
        <is>
          <t>https://calpaclab.com</t>
        </is>
      </c>
      <c r="I367" t="inlineStr">
        <is>
          <t>clearbit</t>
        </is>
      </c>
      <c r="J367" t="inlineStr"/>
      <c r="Y367" t="inlineStr">
        <is>
          <t>unknown</t>
        </is>
      </c>
      <c r="Z367" t="inlineStr"/>
      <c r="AA367" t="inlineStr"/>
      <c r="AB367" t="inlineStr"/>
      <c r="AC367" t="inlineStr"/>
      <c r="AD367" t="inlineStr">
        <is>
          <t>לא נמצא בסריקת המפיצים</t>
        </is>
      </c>
      <c r="AE367" t="inlineStr">
        <is>
          <t>סריקת אתרי מפיצים</t>
        </is>
      </c>
      <c r="AG367" t="inlineStr"/>
      <c r="AH367" t="inlineStr"/>
      <c r="AJ367" t="inlineStr"/>
      <c r="AP367" t="inlineStr">
        <is>
          <t>https://www.quartzy.com/suppliers</t>
        </is>
      </c>
    </row>
    <row r="368">
      <c r="A368" t="n">
        <v>367</v>
      </c>
      <c r="B368" t="inlineStr">
        <is>
          <t>CPS Serum</t>
        </is>
      </c>
      <c r="C368" t="inlineStr">
        <is>
          <t>Q</t>
        </is>
      </c>
      <c r="F368" t="inlineStr">
        <is>
          <t>yes</t>
        </is>
      </c>
      <c r="H368" t="inlineStr">
        <is>
          <t>https://cpsserum.com</t>
        </is>
      </c>
      <c r="I368" t="inlineStr">
        <is>
          <t>clearbit</t>
        </is>
      </c>
      <c r="J368" t="inlineStr"/>
      <c r="Y368" t="inlineStr">
        <is>
          <t>unknown</t>
        </is>
      </c>
      <c r="Z368" t="inlineStr"/>
      <c r="AA368" t="inlineStr"/>
      <c r="AB368" t="inlineStr"/>
      <c r="AC368" t="inlineStr"/>
      <c r="AD368" t="inlineStr">
        <is>
          <t>לא נמצא בסריקת המפיצים</t>
        </is>
      </c>
      <c r="AE368" t="inlineStr">
        <is>
          <t>סריקת אתרי מפיצים</t>
        </is>
      </c>
      <c r="AG368" t="inlineStr"/>
      <c r="AH368" t="inlineStr"/>
      <c r="AJ368" t="inlineStr"/>
      <c r="AP368" t="inlineStr">
        <is>
          <t>https://www.quartzy.com/suppliers</t>
        </is>
      </c>
    </row>
    <row r="369">
      <c r="A369" t="n">
        <v>368</v>
      </c>
      <c r="B369" t="inlineStr">
        <is>
          <t>Cramer</t>
        </is>
      </c>
      <c r="C369" t="inlineStr">
        <is>
          <t>T</t>
        </is>
      </c>
      <c r="E369" t="inlineStr">
        <is>
          <t>https://www.thomassci.com/browse-by/suppliers/cramer</t>
        </is>
      </c>
      <c r="F369" t="inlineStr"/>
      <c r="H369" t="inlineStr">
        <is>
          <t>https://cramer.com</t>
        </is>
      </c>
      <c r="I369" t="inlineStr">
        <is>
          <t>clearbit</t>
        </is>
      </c>
      <c r="J369" t="inlineStr"/>
      <c r="Y369" t="inlineStr">
        <is>
          <t>unknown</t>
        </is>
      </c>
      <c r="Z369" t="inlineStr"/>
      <c r="AA369" t="inlineStr"/>
      <c r="AB369" t="inlineStr"/>
      <c r="AC369" t="inlineStr"/>
      <c r="AD369" t="inlineStr">
        <is>
          <t>לא נמצא בסריקת המפיצים</t>
        </is>
      </c>
      <c r="AE369" t="inlineStr">
        <is>
          <t>סריקת אתרי מפיצים</t>
        </is>
      </c>
      <c r="AG369" t="inlineStr"/>
      <c r="AH369" t="inlineStr"/>
      <c r="AJ369" t="inlineStr"/>
      <c r="AP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Y370" t="inlineStr">
        <is>
          <t>unknown</t>
        </is>
      </c>
      <c r="Z370" t="inlineStr"/>
      <c r="AA370" t="inlineStr"/>
      <c r="AB370" t="inlineStr"/>
      <c r="AC370" t="inlineStr"/>
      <c r="AD370" t="inlineStr">
        <is>
          <t>לא נמצא בסריקת המפיצים</t>
        </is>
      </c>
      <c r="AE370" t="inlineStr">
        <is>
          <t>סריקת אתרי מפיצים</t>
        </is>
      </c>
      <c r="AG370" t="inlineStr"/>
      <c r="AH370" t="inlineStr"/>
      <c r="AJ370" t="inlineStr"/>
      <c r="AP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Y371" t="inlineStr">
        <is>
          <t>unknown</t>
        </is>
      </c>
      <c r="Z371" t="inlineStr"/>
      <c r="AA371" t="inlineStr"/>
      <c r="AB371" t="inlineStr"/>
      <c r="AC371" t="inlineStr"/>
      <c r="AD371" t="inlineStr">
        <is>
          <t>לא נמצא בסריקת המפיצים</t>
        </is>
      </c>
      <c r="AE371" t="inlineStr">
        <is>
          <t>סריקת אתרי מפיצים</t>
        </is>
      </c>
      <c r="AG371" t="inlineStr"/>
      <c r="AH371" t="inlineStr"/>
      <c r="AJ371" t="inlineStr"/>
      <c r="AP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t>
        </is>
      </c>
      <c r="J372" t="inlineStr"/>
      <c r="Y372" t="inlineStr">
        <is>
          <t>unknown</t>
        </is>
      </c>
      <c r="Z372" t="inlineStr"/>
      <c r="AA372" t="inlineStr"/>
      <c r="AB372" t="inlineStr"/>
      <c r="AC372" t="inlineStr"/>
      <c r="AD372" t="inlineStr">
        <is>
          <t>לא נמצא בסריקת המפיצים</t>
        </is>
      </c>
      <c r="AE372" t="inlineStr">
        <is>
          <t>סריקת אתרי מפיצים</t>
        </is>
      </c>
      <c r="AG372" t="inlineStr"/>
      <c r="AH372" t="inlineStr"/>
      <c r="AJ372" t="inlineStr"/>
      <c r="AP372" t="inlineStr">
        <is>
          <t>https://www.thomassci.com/browse-by/suppliers/crosstex</t>
        </is>
      </c>
    </row>
    <row r="373">
      <c r="A373" t="n">
        <v>372</v>
      </c>
      <c r="B373" t="inlineStr">
        <is>
          <t>CRS by Trajan</t>
        </is>
      </c>
      <c r="C373" t="inlineStr">
        <is>
          <t>T</t>
        </is>
      </c>
      <c r="E373" t="inlineStr">
        <is>
          <t>https://www.thomassci.com/browse-by/suppliers/crs-by-trajan</t>
        </is>
      </c>
      <c r="F373" t="inlineStr"/>
      <c r="J373" t="inlineStr"/>
      <c r="Y373" t="inlineStr">
        <is>
          <t>unknown</t>
        </is>
      </c>
      <c r="Z373" t="inlineStr"/>
      <c r="AA373" t="inlineStr"/>
      <c r="AB373" t="inlineStr"/>
      <c r="AC373" t="inlineStr"/>
      <c r="AD373" t="inlineStr">
        <is>
          <t>לא נמצא בסריקת המפיצים</t>
        </is>
      </c>
      <c r="AE373" t="inlineStr">
        <is>
          <t>סריקת אתרי מפיצים</t>
        </is>
      </c>
      <c r="AG373" t="inlineStr"/>
      <c r="AH373" t="inlineStr"/>
      <c r="AJ373" t="inlineStr"/>
      <c r="AP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Y374" t="inlineStr">
        <is>
          <t>unknown</t>
        </is>
      </c>
      <c r="Z374" t="inlineStr"/>
      <c r="AA374" t="inlineStr"/>
      <c r="AB374" t="inlineStr"/>
      <c r="AC374" t="inlineStr"/>
      <c r="AD374" t="inlineStr">
        <is>
          <t>לא נמצא בסריקת המפיצים</t>
        </is>
      </c>
      <c r="AE374" t="inlineStr">
        <is>
          <t>סריקת אתרי מפיצים</t>
        </is>
      </c>
      <c r="AG374" t="inlineStr"/>
      <c r="AH374" t="inlineStr"/>
      <c r="AJ374" t="inlineStr"/>
      <c r="AP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https://cryopal.com</t>
        </is>
      </c>
      <c r="I375" t="inlineStr">
        <is>
          <t>clearbit</t>
        </is>
      </c>
      <c r="J375" t="inlineStr"/>
      <c r="Y375" t="inlineStr">
        <is>
          <t>unknown</t>
        </is>
      </c>
      <c r="Z375" t="inlineStr"/>
      <c r="AA375" t="inlineStr"/>
      <c r="AB375" t="inlineStr"/>
      <c r="AC375" t="inlineStr"/>
      <c r="AD375" t="inlineStr">
        <is>
          <t>לא נמצא בסריקת המפיצים</t>
        </is>
      </c>
      <c r="AE375" t="inlineStr">
        <is>
          <t>סריקת אתרי מפיצים</t>
        </is>
      </c>
      <c r="AG375" t="inlineStr"/>
      <c r="AH375" t="inlineStr"/>
      <c r="AJ375" t="inlineStr"/>
      <c r="AP375" t="inlineStr">
        <is>
          <t>https://www.dutscher.com/search?initialFilters=brand:Cryopal</t>
        </is>
      </c>
    </row>
    <row r="376">
      <c r="A376" t="n">
        <v>375</v>
      </c>
      <c r="B376" t="inlineStr">
        <is>
          <t>Cryoveritas</t>
        </is>
      </c>
      <c r="C376" t="inlineStr">
        <is>
          <t>T</t>
        </is>
      </c>
      <c r="E376" t="inlineStr">
        <is>
          <t>https://www.thomassci.com/browse-by/suppliers/cryoveritas</t>
        </is>
      </c>
      <c r="F376" t="inlineStr"/>
      <c r="J376" t="inlineStr"/>
      <c r="Y376" t="inlineStr">
        <is>
          <t>unknown</t>
        </is>
      </c>
      <c r="Z376" t="inlineStr"/>
      <c r="AA376" t="inlineStr"/>
      <c r="AB376" t="inlineStr"/>
      <c r="AC376" t="inlineStr"/>
      <c r="AD376" t="inlineStr">
        <is>
          <t>לא נמצא בסריקת המפיצים</t>
        </is>
      </c>
      <c r="AE376" t="inlineStr">
        <is>
          <t>סריקת אתרי מפיצים</t>
        </is>
      </c>
      <c r="AG376" t="inlineStr"/>
      <c r="AH376" t="inlineStr"/>
      <c r="AJ376" t="inlineStr"/>
      <c r="AP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t>
        </is>
      </c>
      <c r="J377" t="inlineStr"/>
      <c r="Y377" t="inlineStr">
        <is>
          <t>unknown</t>
        </is>
      </c>
      <c r="Z377" t="inlineStr"/>
      <c r="AA377" t="inlineStr"/>
      <c r="AB377" t="inlineStr"/>
      <c r="AC377" t="inlineStr"/>
      <c r="AD377" t="inlineStr">
        <is>
          <t>לא נמצא בסריקת המפיצים</t>
        </is>
      </c>
      <c r="AE377" t="inlineStr">
        <is>
          <t>סריקת אתרי מפיצים</t>
        </is>
      </c>
      <c r="AG377" t="inlineStr"/>
      <c r="AH377" t="inlineStr"/>
      <c r="AJ377" t="inlineStr"/>
      <c r="AP377" t="inlineStr">
        <is>
          <t>https://www.quartzy.com/suppliers</t>
        </is>
      </c>
    </row>
    <row r="378">
      <c r="A378" t="n">
        <v>377</v>
      </c>
      <c r="B378" t="inlineStr">
        <is>
          <t>Crystal Technologies</t>
        </is>
      </c>
      <c r="C378" t="inlineStr">
        <is>
          <t>T+Q</t>
        </is>
      </c>
      <c r="E378" t="inlineStr">
        <is>
          <t>https://www.thomassci.com/browse-by/suppliers/crystal-technologies</t>
        </is>
      </c>
      <c r="F378" t="inlineStr">
        <is>
          <t>yes</t>
        </is>
      </c>
      <c r="H378" t="inlineStr">
        <is>
          <t>https://ctindia.co.in</t>
        </is>
      </c>
      <c r="I378" t="inlineStr">
        <is>
          <t>clearbit</t>
        </is>
      </c>
      <c r="J378" t="inlineStr"/>
      <c r="Y378" t="inlineStr">
        <is>
          <t>unknown</t>
        </is>
      </c>
      <c r="Z378" t="inlineStr"/>
      <c r="AA378" t="inlineStr"/>
      <c r="AB378" t="inlineStr"/>
      <c r="AC378" t="inlineStr"/>
      <c r="AD378" t="inlineStr">
        <is>
          <t>לא נמצא בסריקת המפיצים</t>
        </is>
      </c>
      <c r="AE378" t="inlineStr">
        <is>
          <t>סריקת אתרי מפיצים</t>
        </is>
      </c>
      <c r="AG378" t="inlineStr"/>
      <c r="AH378" t="inlineStr"/>
      <c r="AJ378" t="inlineStr"/>
      <c r="AP378" t="inlineStr">
        <is>
          <t>https://www.quartzy.com/suppliers | https://www.thomassci.com/browse-by/suppliers/crystal-technologies</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t>
        </is>
      </c>
      <c r="J379" t="inlineStr"/>
      <c r="Y379" t="inlineStr">
        <is>
          <t>unknown</t>
        </is>
      </c>
      <c r="Z379" t="inlineStr"/>
      <c r="AA379" t="inlineStr"/>
      <c r="AB379" t="inlineStr"/>
      <c r="AC379" t="inlineStr"/>
      <c r="AD379" t="inlineStr">
        <is>
          <t>לא נמצא בסריקת המפיצים</t>
        </is>
      </c>
      <c r="AE379" t="inlineStr">
        <is>
          <t>סריקת אתרי מפיצים</t>
        </is>
      </c>
      <c r="AG379" t="inlineStr"/>
      <c r="AH379" t="inlineStr"/>
      <c r="AJ379" t="inlineStr"/>
      <c r="AP379" t="inlineStr">
        <is>
          <t>https://www.quartzy.com/suppliers | https://www.thomassci.com/browse-by/suppliers/crystalgen</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Y380" t="inlineStr">
        <is>
          <t>unknown</t>
        </is>
      </c>
      <c r="Z380" t="inlineStr"/>
      <c r="AA380" t="inlineStr"/>
      <c r="AB380" t="inlineStr"/>
      <c r="AC380" t="inlineStr"/>
      <c r="AD380" t="inlineStr">
        <is>
          <t>לא נמצא בסריקת המפיצים</t>
        </is>
      </c>
      <c r="AE380" t="inlineStr">
        <is>
          <t>סריקת אתרי מפיצים</t>
        </is>
      </c>
      <c r="AG380" t="inlineStr"/>
      <c r="AH380" t="inlineStr"/>
      <c r="AJ380" t="inlineStr"/>
      <c r="AP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t>
        </is>
      </c>
      <c r="J381" t="inlineStr"/>
      <c r="Y381" t="inlineStr">
        <is>
          <t>unknown</t>
        </is>
      </c>
      <c r="Z381" t="inlineStr"/>
      <c r="AA381" t="inlineStr"/>
      <c r="AB381" t="inlineStr"/>
      <c r="AC381" t="inlineStr"/>
      <c r="AD381" t="inlineStr">
        <is>
          <t>לא נמצא בסריקת המפיצים</t>
        </is>
      </c>
      <c r="AE381" t="inlineStr">
        <is>
          <t>סריקת אתרי מפיצים</t>
        </is>
      </c>
      <c r="AG381" t="inlineStr"/>
      <c r="AH381" t="inlineStr"/>
      <c r="AJ381" t="inlineStr"/>
      <c r="AP381" t="inlineStr">
        <is>
          <t>https://www.thomassci.com/browse-by/suppliers/ct-international</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t>
        </is>
      </c>
      <c r="J382" t="inlineStr"/>
      <c r="Y382" t="inlineStr">
        <is>
          <t>unknown</t>
        </is>
      </c>
      <c r="Z382" t="inlineStr"/>
      <c r="AA382" t="inlineStr"/>
      <c r="AB382" t="inlineStr"/>
      <c r="AC382" t="inlineStr"/>
      <c r="AD382" t="inlineStr">
        <is>
          <t>לא נמצא בסריקת המפיצים</t>
        </is>
      </c>
      <c r="AE382" t="inlineStr">
        <is>
          <t>סריקת אתרי מפיצים</t>
        </is>
      </c>
      <c r="AG382" t="inlineStr"/>
      <c r="AH382" t="inlineStr"/>
      <c r="AJ382" t="inlineStr"/>
      <c r="AP382" t="inlineStr">
        <is>
          <t>https://www.dutscher.com/search?initialFilters=brand:CTI+Biotech</t>
        </is>
      </c>
    </row>
    <row r="383">
      <c r="A383" t="n">
        <v>382</v>
      </c>
      <c r="B383" t="inlineStr">
        <is>
          <t>CTL Scientific</t>
        </is>
      </c>
      <c r="C383" t="inlineStr">
        <is>
          <t>T</t>
        </is>
      </c>
      <c r="E383" t="inlineStr">
        <is>
          <t>https://www.thomassci.com/browse-by/suppliers/ctl-scientific</t>
        </is>
      </c>
      <c r="F383" t="inlineStr"/>
      <c r="J383" t="inlineStr"/>
      <c r="Y383" t="inlineStr">
        <is>
          <t>unknown</t>
        </is>
      </c>
      <c r="Z383" t="inlineStr"/>
      <c r="AA383" t="inlineStr"/>
      <c r="AB383" t="inlineStr"/>
      <c r="AC383" t="inlineStr"/>
      <c r="AD383" t="inlineStr">
        <is>
          <t>לא נמצא בסריקת המפיצים</t>
        </is>
      </c>
      <c r="AE383" t="inlineStr">
        <is>
          <t>סריקת אתרי מפיצים</t>
        </is>
      </c>
      <c r="AG383" t="inlineStr"/>
      <c r="AH383" t="inlineStr"/>
      <c r="AJ383" t="inlineStr"/>
      <c r="AP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t>
        </is>
      </c>
      <c r="J384" t="inlineStr"/>
      <c r="Y384" t="inlineStr">
        <is>
          <t>unknown</t>
        </is>
      </c>
      <c r="Z384" t="inlineStr"/>
      <c r="AA384" t="inlineStr"/>
      <c r="AB384" t="inlineStr"/>
      <c r="AC384" t="inlineStr"/>
      <c r="AD384" t="inlineStr">
        <is>
          <t>לא נמצא בסריקת המפיצים</t>
        </is>
      </c>
      <c r="AE384" t="inlineStr">
        <is>
          <t>סריקת אתרי מפיצים</t>
        </is>
      </c>
      <c r="AG384" t="inlineStr"/>
      <c r="AH384" t="inlineStr"/>
      <c r="AJ384" t="inlineStr"/>
      <c r="AP384" t="inlineStr">
        <is>
          <t>https://www.quartzy.com/suppliers</t>
        </is>
      </c>
    </row>
    <row r="385">
      <c r="A385" t="n">
        <v>384</v>
      </c>
      <c r="B385" t="inlineStr">
        <is>
          <t>Curiosis Inc.</t>
        </is>
      </c>
      <c r="C385" t="inlineStr">
        <is>
          <t>T</t>
        </is>
      </c>
      <c r="E385" t="inlineStr">
        <is>
          <t>https://www.thomassci.com/browse-by/suppliers/curiosis-inc-</t>
        </is>
      </c>
      <c r="F385" t="inlineStr"/>
      <c r="J385" t="inlineStr"/>
      <c r="Y385" t="inlineStr">
        <is>
          <t>unknown</t>
        </is>
      </c>
      <c r="Z385" t="inlineStr"/>
      <c r="AA385" t="inlineStr"/>
      <c r="AB385" t="inlineStr"/>
      <c r="AC385" t="inlineStr"/>
      <c r="AD385" t="inlineStr">
        <is>
          <t>לא נמצא בסריקת המפיצים</t>
        </is>
      </c>
      <c r="AE385" t="inlineStr">
        <is>
          <t>סריקת אתרי מפיצים</t>
        </is>
      </c>
      <c r="AG385" t="inlineStr"/>
      <c r="AH385" t="inlineStr"/>
      <c r="AJ385" t="inlineStr"/>
      <c r="AP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Y386" t="inlineStr">
        <is>
          <t>unknown</t>
        </is>
      </c>
      <c r="Z386" t="inlineStr"/>
      <c r="AA386" t="inlineStr"/>
      <c r="AB386" t="inlineStr"/>
      <c r="AC386" t="inlineStr"/>
      <c r="AD386" t="inlineStr">
        <is>
          <t>לא נמצא בסריקת המפיצים</t>
        </is>
      </c>
      <c r="AE386" t="inlineStr">
        <is>
          <t>סריקת אתרי מפיצים</t>
        </is>
      </c>
      <c r="AG386" t="inlineStr"/>
      <c r="AH386" t="inlineStr"/>
      <c r="AJ386" t="inlineStr"/>
      <c r="AP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t>
        </is>
      </c>
      <c r="J387" t="inlineStr"/>
      <c r="Y387" t="inlineStr">
        <is>
          <t>unknown</t>
        </is>
      </c>
      <c r="Z387" t="inlineStr"/>
      <c r="AA387" t="inlineStr"/>
      <c r="AB387" t="inlineStr"/>
      <c r="AC387" t="inlineStr"/>
      <c r="AD387" t="inlineStr">
        <is>
          <t>לא נמצא בסריקת המפיצים</t>
        </is>
      </c>
      <c r="AE387" t="inlineStr">
        <is>
          <t>סריקת אתרי מפיצים</t>
        </is>
      </c>
      <c r="AG387" t="inlineStr"/>
      <c r="AH387" t="inlineStr"/>
      <c r="AJ387" t="inlineStr"/>
      <c r="AP387" t="inlineStr">
        <is>
          <t>https://www.dutscher.com/search?initialFilters=brand:Curtec</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t>
        </is>
      </c>
      <c r="J388" t="inlineStr"/>
      <c r="Y388" t="inlineStr">
        <is>
          <t>unknown</t>
        </is>
      </c>
      <c r="Z388" t="inlineStr"/>
      <c r="AA388" t="inlineStr"/>
      <c r="AB388" t="inlineStr"/>
      <c r="AC388" t="inlineStr"/>
      <c r="AD388" t="inlineStr">
        <is>
          <t>לא נמצא בסריקת המפיצים</t>
        </is>
      </c>
      <c r="AE388" t="inlineStr">
        <is>
          <t>סריקת אתרי מפיצים</t>
        </is>
      </c>
      <c r="AG388" t="inlineStr"/>
      <c r="AH388" t="inlineStr"/>
      <c r="AJ388" t="inlineStr"/>
      <c r="AP388" t="inlineStr">
        <is>
          <t>https://www.thomassci.com/browse-by/suppliers/custom-biogenic-systems</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prior</t>
        </is>
      </c>
      <c r="J389" t="inlineStr">
        <is>
          <t>ארה"ב</t>
        </is>
      </c>
      <c r="K389" t="inlineStr">
        <is>
          <t>Marlborough, Massachusetts</t>
        </is>
      </c>
      <c r="L389" t="inlineStr">
        <is>
          <t>Danaher Corporation</t>
        </is>
      </c>
      <c r="M389" t="n">
        <v>2020</v>
      </c>
      <c r="N389" t="inlineStr">
        <is>
          <t>Bioprocess &amp; filtration</t>
        </is>
      </c>
      <c r="P389" t="n">
        <v>16000</v>
      </c>
      <c r="Q389" t="n">
        <v>2025</v>
      </c>
      <c r="R389" t="inlineStr">
        <is>
          <t>estimate</t>
        </is>
      </c>
      <c r="S389" t="inlineStr">
        <is>
          <t>prior</t>
        </is>
      </c>
      <c r="T389" t="n">
        <v>7300</v>
      </c>
      <c r="U389" t="inlineStr">
        <is>
          <t>USD 7.3 billion (Danaher Biotechnology segment)</t>
        </is>
      </c>
      <c r="V389" t="inlineStr">
        <is>
          <t>FY2025</t>
        </is>
      </c>
      <c r="W389" t="inlineStr">
        <is>
          <t>segment</t>
        </is>
      </c>
      <c r="X389" t="inlineStr">
        <is>
          <t>prior</t>
        </is>
      </c>
      <c r="Y389" t="inlineStr">
        <is>
          <t>mixed</t>
        </is>
      </c>
      <c r="Z389" t="inlineStr">
        <is>
          <t>AKTA</t>
        </is>
      </c>
      <c r="AA389" t="inlineStr">
        <is>
          <t>MabSelect / Capto resins</t>
        </is>
      </c>
      <c r="AB389" t="inlineStr">
        <is>
          <t>Biacore</t>
        </is>
      </c>
      <c r="AC389" t="inlineStr">
        <is>
          <t>prior</t>
        </is>
      </c>
      <c r="AD389" t="inlineStr">
        <is>
          <t>מפיץ/נציג בישראל</t>
        </is>
      </c>
      <c r="AE389" t="inlineStr">
        <is>
          <t>אומת</t>
        </is>
      </c>
      <c r="AF389" t="n">
        <v>2026</v>
      </c>
      <c r="AG389" t="inlineStr">
        <is>
          <t>Danyel Biotech; Lifegene Ltd.</t>
        </is>
      </c>
      <c r="AH389" t="inlineStr">
        <is>
          <t>Danyel Biotech: 1-800-711-911 (also +972 8-936-6066); Lifegene Ltd.: +972 8-644-4314 info@lifegene.co.il</t>
        </is>
      </c>
      <c r="AI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J389" t="inlineStr">
        <is>
          <t>+1 800-526-3593</t>
        </is>
      </c>
      <c r="AL389" t="inlineStr">
        <is>
          <t>100 Results Way, Marlborough, MA, USA</t>
        </is>
      </c>
      <c r="AN389" t="inlineStr">
        <is>
          <t>https://www.gulfcoastconference.com/exhibitorDetails.php?eid=3143</t>
        </is>
      </c>
      <c r="AP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t>
        </is>
      </c>
    </row>
    <row r="390">
      <c r="A390" t="n">
        <v>389</v>
      </c>
      <c r="B390" t="inlineStr">
        <is>
          <t>D&amp;N</t>
        </is>
      </c>
      <c r="C390" t="inlineStr">
        <is>
          <t>D</t>
        </is>
      </c>
      <c r="D390" t="inlineStr">
        <is>
          <t>https://www.dutscher.com/search?initialFilters=brand:D%26N</t>
        </is>
      </c>
      <c r="F390" t="inlineStr"/>
      <c r="J390" t="inlineStr"/>
      <c r="Y390" t="inlineStr">
        <is>
          <t>unknown</t>
        </is>
      </c>
      <c r="Z390" t="inlineStr"/>
      <c r="AA390" t="inlineStr"/>
      <c r="AB390" t="inlineStr"/>
      <c r="AC390" t="inlineStr"/>
      <c r="AD390" t="inlineStr">
        <is>
          <t>לא נמצא בסריקת המפיצים</t>
        </is>
      </c>
      <c r="AE390" t="inlineStr">
        <is>
          <t>סריקת אתרי מפיצים</t>
        </is>
      </c>
      <c r="AG390" t="inlineStr"/>
      <c r="AH390" t="inlineStr"/>
      <c r="AJ390" t="inlineStr"/>
      <c r="AP390" t="inlineStr">
        <is>
          <t>https://www.dutscher.com/search?initialFilters=brand:D%26N</t>
        </is>
      </c>
    </row>
    <row r="391">
      <c r="A391" t="n">
        <v>390</v>
      </c>
      <c r="B391" t="inlineStr">
        <is>
          <t>Daicel Arbor Biosciences</t>
        </is>
      </c>
      <c r="C391" t="inlineStr">
        <is>
          <t>Q</t>
        </is>
      </c>
      <c r="F391" t="inlineStr">
        <is>
          <t>yes</t>
        </is>
      </c>
      <c r="J391" t="inlineStr"/>
      <c r="Y391" t="inlineStr">
        <is>
          <t>unknown</t>
        </is>
      </c>
      <c r="Z391" t="inlineStr"/>
      <c r="AA391" t="inlineStr"/>
      <c r="AB391" t="inlineStr"/>
      <c r="AC391" t="inlineStr"/>
      <c r="AD391" t="inlineStr">
        <is>
          <t>לא נמצא בסריקת המפיצים</t>
        </is>
      </c>
      <c r="AE391" t="inlineStr">
        <is>
          <t>סריקת אתרי מפיצים</t>
        </is>
      </c>
      <c r="AG391" t="inlineStr"/>
      <c r="AH391" t="inlineStr"/>
      <c r="AJ391" t="inlineStr"/>
      <c r="AP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Y392" t="inlineStr">
        <is>
          <t>unknown</t>
        </is>
      </c>
      <c r="Z392" t="inlineStr"/>
      <c r="AA392" t="inlineStr"/>
      <c r="AB392" t="inlineStr"/>
      <c r="AC392" t="inlineStr"/>
      <c r="AD392" t="inlineStr">
        <is>
          <t>לא נמצא בסריקת המפיצים</t>
        </is>
      </c>
      <c r="AE392" t="inlineStr">
        <is>
          <t>סריקת אתרי מפיצים</t>
        </is>
      </c>
      <c r="AG392" t="inlineStr"/>
      <c r="AH392" t="inlineStr"/>
      <c r="AJ392" t="inlineStr"/>
      <c r="AP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t>
        </is>
      </c>
      <c r="J393" t="inlineStr"/>
      <c r="Y393" t="inlineStr">
        <is>
          <t>unknown</t>
        </is>
      </c>
      <c r="Z393" t="inlineStr"/>
      <c r="AA393" t="inlineStr"/>
      <c r="AB393" t="inlineStr"/>
      <c r="AC393" t="inlineStr"/>
      <c r="AD393" t="inlineStr">
        <is>
          <t>לא נמצא בסריקת המפיצים</t>
        </is>
      </c>
      <c r="AE393" t="inlineStr">
        <is>
          <t>סריקת אתרי מפיצים</t>
        </is>
      </c>
      <c r="AG393" t="inlineStr"/>
      <c r="AH393" t="inlineStr"/>
      <c r="AJ393" t="inlineStr"/>
      <c r="AP393" t="inlineStr">
        <is>
          <t>https://www.quartzy.com/suppliers | https://www.thomassci.com/browse-by/suppliers/decon-labs</t>
        </is>
      </c>
    </row>
    <row r="394">
      <c r="A394" t="n">
        <v>393</v>
      </c>
      <c r="B394" t="inlineStr">
        <is>
          <t>DeconGel</t>
        </is>
      </c>
      <c r="C394" t="inlineStr">
        <is>
          <t>T</t>
        </is>
      </c>
      <c r="E394" t="inlineStr">
        <is>
          <t>https://www.thomassci.com/browse-by/suppliers/decongel</t>
        </is>
      </c>
      <c r="F394" t="inlineStr"/>
      <c r="H394" t="inlineStr">
        <is>
          <t>https://decongel.com</t>
        </is>
      </c>
      <c r="I394" t="inlineStr">
        <is>
          <t>clearbit</t>
        </is>
      </c>
      <c r="J394" t="inlineStr"/>
      <c r="Y394" t="inlineStr">
        <is>
          <t>unknown</t>
        </is>
      </c>
      <c r="Z394" t="inlineStr"/>
      <c r="AA394" t="inlineStr"/>
      <c r="AB394" t="inlineStr"/>
      <c r="AC394" t="inlineStr"/>
      <c r="AD394" t="inlineStr">
        <is>
          <t>לא נמצא בסריקת המפיצים</t>
        </is>
      </c>
      <c r="AE394" t="inlineStr">
        <is>
          <t>סריקת אתרי מפיצים</t>
        </is>
      </c>
      <c r="AG394" t="inlineStr"/>
      <c r="AH394" t="inlineStr"/>
      <c r="AJ394" t="inlineStr"/>
      <c r="AP394" t="inlineStr">
        <is>
          <t>https://www.thomassci.com/browse-by/suppliers/decongel</t>
        </is>
      </c>
    </row>
    <row r="395">
      <c r="A395" t="n">
        <v>394</v>
      </c>
      <c r="B395" t="inlineStr">
        <is>
          <t>Defelsko</t>
        </is>
      </c>
      <c r="C395" t="inlineStr">
        <is>
          <t>T</t>
        </is>
      </c>
      <c r="E395" t="inlineStr">
        <is>
          <t>https://www.thomassci.com/browse-by/suppliers/defelsko</t>
        </is>
      </c>
      <c r="F395" t="inlineStr"/>
      <c r="H395" t="inlineStr">
        <is>
          <t>https://defelsko.com</t>
        </is>
      </c>
      <c r="I395" t="inlineStr">
        <is>
          <t>clearbit</t>
        </is>
      </c>
      <c r="J395" t="inlineStr"/>
      <c r="Y395" t="inlineStr">
        <is>
          <t>unknown</t>
        </is>
      </c>
      <c r="Z395" t="inlineStr"/>
      <c r="AA395" t="inlineStr"/>
      <c r="AB395" t="inlineStr"/>
      <c r="AC395" t="inlineStr"/>
      <c r="AD395" t="inlineStr">
        <is>
          <t>לא נמצא בסריקת המפיצים</t>
        </is>
      </c>
      <c r="AE395" t="inlineStr">
        <is>
          <t>סריקת אתרי מפיצים</t>
        </is>
      </c>
      <c r="AG395" t="inlineStr"/>
      <c r="AH395" t="inlineStr"/>
      <c r="AJ395" t="inlineStr"/>
      <c r="AP395" t="inlineStr">
        <is>
          <t>https://www.thomassci.com/browse-by/suppliers/defelsko</t>
        </is>
      </c>
    </row>
    <row r="396">
      <c r="A396" t="n">
        <v>395</v>
      </c>
      <c r="B396" t="inlineStr">
        <is>
          <t>Defined Bioscience</t>
        </is>
      </c>
      <c r="C396" t="inlineStr">
        <is>
          <t>Q</t>
        </is>
      </c>
      <c r="F396" t="inlineStr">
        <is>
          <t>yes</t>
        </is>
      </c>
      <c r="H396" t="inlineStr">
        <is>
          <t>https://definedbioscience.com</t>
        </is>
      </c>
      <c r="I396" t="inlineStr">
        <is>
          <t>clearbit</t>
        </is>
      </c>
      <c r="J396" t="inlineStr"/>
      <c r="Y396" t="inlineStr">
        <is>
          <t>unknown</t>
        </is>
      </c>
      <c r="Z396" t="inlineStr"/>
      <c r="AA396" t="inlineStr"/>
      <c r="AB396" t="inlineStr"/>
      <c r="AC396" t="inlineStr"/>
      <c r="AD396" t="inlineStr">
        <is>
          <t>לא נמצא בסריקת המפיצים</t>
        </is>
      </c>
      <c r="AE396" t="inlineStr">
        <is>
          <t>סריקת אתרי מפיצים</t>
        </is>
      </c>
      <c r="AG396" t="inlineStr"/>
      <c r="AH396" t="inlineStr"/>
      <c r="AJ396" t="inlineStr"/>
      <c r="AP396" t="inlineStr">
        <is>
          <t>https://www.quartzy.com/suppliers</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t>
        </is>
      </c>
      <c r="J397" t="inlineStr"/>
      <c r="Y397" t="inlineStr">
        <is>
          <t>unknown</t>
        </is>
      </c>
      <c r="Z397" t="inlineStr"/>
      <c r="AA397" t="inlineStr"/>
      <c r="AB397" t="inlineStr"/>
      <c r="AC397" t="inlineStr"/>
      <c r="AD397" t="inlineStr">
        <is>
          <t>לא נמצא בסריקת המפיצים</t>
        </is>
      </c>
      <c r="AE397" t="inlineStr">
        <is>
          <t>סריקת אתרי מפיצים</t>
        </is>
      </c>
      <c r="AG397" t="inlineStr"/>
      <c r="AH397" t="inlineStr"/>
      <c r="AJ397" t="inlineStr"/>
      <c r="AP397" t="inlineStr">
        <is>
          <t>https://www.thomassci.com/browse-by/suppliers/denominator</t>
        </is>
      </c>
    </row>
    <row r="398">
      <c r="A398" t="n">
        <v>397</v>
      </c>
      <c r="B398" t="inlineStr">
        <is>
          <t>Denville</t>
        </is>
      </c>
      <c r="C398" t="inlineStr">
        <is>
          <t>T</t>
        </is>
      </c>
      <c r="E398" t="inlineStr">
        <is>
          <t>https://www.thomassci.com/browse-by/suppliers/denville</t>
        </is>
      </c>
      <c r="F398" t="inlineStr"/>
      <c r="H398" t="inlineStr">
        <is>
          <t>https://denvillefamilycounseling.com</t>
        </is>
      </c>
      <c r="I398" t="inlineStr">
        <is>
          <t>clearbit</t>
        </is>
      </c>
      <c r="J398" t="inlineStr"/>
      <c r="Y398" t="inlineStr">
        <is>
          <t>unknown</t>
        </is>
      </c>
      <c r="Z398" t="inlineStr"/>
      <c r="AA398" t="inlineStr"/>
      <c r="AB398" t="inlineStr"/>
      <c r="AC398" t="inlineStr"/>
      <c r="AD398" t="inlineStr">
        <is>
          <t>לא נמצא בסריקת המפיצים</t>
        </is>
      </c>
      <c r="AE398" t="inlineStr">
        <is>
          <t>סריקת אתרי מפיצים</t>
        </is>
      </c>
      <c r="AG398" t="inlineStr"/>
      <c r="AH398" t="inlineStr"/>
      <c r="AJ398" t="inlineStr"/>
      <c r="AP398" t="inlineStr">
        <is>
          <t>https://www.thomassci.com/browse-by/suppliers/denville</t>
        </is>
      </c>
    </row>
    <row r="399">
      <c r="A399" t="n">
        <v>398</v>
      </c>
      <c r="B399" t="inlineStr">
        <is>
          <t>Desco</t>
        </is>
      </c>
      <c r="C399" t="inlineStr">
        <is>
          <t>T</t>
        </is>
      </c>
      <c r="E399" t="inlineStr">
        <is>
          <t>https://www.thomassci.com/browse-by/suppliers/desco</t>
        </is>
      </c>
      <c r="F399" t="inlineStr"/>
      <c r="J399" t="inlineStr"/>
      <c r="Y399" t="inlineStr">
        <is>
          <t>unknown</t>
        </is>
      </c>
      <c r="Z399" t="inlineStr"/>
      <c r="AA399" t="inlineStr"/>
      <c r="AB399" t="inlineStr"/>
      <c r="AC399" t="inlineStr"/>
      <c r="AD399" t="inlineStr">
        <is>
          <t>לא נמצא בסריקת המפיצים</t>
        </is>
      </c>
      <c r="AE399" t="inlineStr">
        <is>
          <t>סריקת אתרי מפיצים</t>
        </is>
      </c>
      <c r="AG399" t="inlineStr"/>
      <c r="AH399" t="inlineStr"/>
      <c r="AJ399" t="inlineStr"/>
      <c r="AP399" t="inlineStr">
        <is>
          <t>https://www.thomassci.com/browse-by/suppliers/desco</t>
        </is>
      </c>
    </row>
    <row r="400">
      <c r="A400" t="n">
        <v>399</v>
      </c>
      <c r="B400" t="inlineStr">
        <is>
          <t>Diba</t>
        </is>
      </c>
      <c r="C400" t="inlineStr">
        <is>
          <t>T</t>
        </is>
      </c>
      <c r="E400" t="inlineStr">
        <is>
          <t>https://www.thomassci.com/browse-by/suppliers/diba</t>
        </is>
      </c>
      <c r="F400" t="inlineStr"/>
      <c r="J400" t="inlineStr"/>
      <c r="Y400" t="inlineStr">
        <is>
          <t>unknown</t>
        </is>
      </c>
      <c r="Z400" t="inlineStr"/>
      <c r="AA400" t="inlineStr"/>
      <c r="AB400" t="inlineStr"/>
      <c r="AC400" t="inlineStr"/>
      <c r="AD400" t="inlineStr">
        <is>
          <t>לא נמצא בסריקת המפיצים</t>
        </is>
      </c>
      <c r="AE400" t="inlineStr">
        <is>
          <t>סריקת אתרי מפיצים</t>
        </is>
      </c>
      <c r="AG400" t="inlineStr"/>
      <c r="AH400" t="inlineStr"/>
      <c r="AJ400" t="inlineStr"/>
      <c r="AP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Y401" t="inlineStr">
        <is>
          <t>unknown</t>
        </is>
      </c>
      <c r="Z401" t="inlineStr"/>
      <c r="AA401" t="inlineStr"/>
      <c r="AB401" t="inlineStr"/>
      <c r="AC401" t="inlineStr"/>
      <c r="AD401" t="inlineStr">
        <is>
          <t>לא נמצא בסריקת המפיצים</t>
        </is>
      </c>
      <c r="AE401" t="inlineStr">
        <is>
          <t>סריקת אתרי מפיצים</t>
        </is>
      </c>
      <c r="AG401" t="inlineStr"/>
      <c r="AH401" t="inlineStr"/>
      <c r="AJ401" t="inlineStr"/>
      <c r="AP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Y402" t="inlineStr">
        <is>
          <t>unknown</t>
        </is>
      </c>
      <c r="Z402" t="inlineStr"/>
      <c r="AA402" t="inlineStr"/>
      <c r="AB402" t="inlineStr"/>
      <c r="AC402" t="inlineStr"/>
      <c r="AD402" t="inlineStr">
        <is>
          <t>לא נמצא בסריקת המפיצים</t>
        </is>
      </c>
      <c r="AE402" t="inlineStr">
        <is>
          <t>סריקת אתרי מפיצים</t>
        </is>
      </c>
      <c r="AG402" t="inlineStr"/>
      <c r="AH402" t="inlineStr"/>
      <c r="AJ402" t="inlineStr"/>
      <c r="AP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Y403" t="inlineStr">
        <is>
          <t>unknown</t>
        </is>
      </c>
      <c r="Z403" t="inlineStr"/>
      <c r="AA403" t="inlineStr"/>
      <c r="AB403" t="inlineStr"/>
      <c r="AC403" t="inlineStr"/>
      <c r="AD403" t="inlineStr">
        <is>
          <t>לא נמצא בסריקת המפיצים</t>
        </is>
      </c>
      <c r="AE403" t="inlineStr">
        <is>
          <t>סריקת אתרי מפיצים</t>
        </is>
      </c>
      <c r="AG403" t="inlineStr"/>
      <c r="AH403" t="inlineStr"/>
      <c r="AJ403" t="inlineStr"/>
      <c r="AP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Y404" t="inlineStr">
        <is>
          <t>unknown</t>
        </is>
      </c>
      <c r="Z404" t="inlineStr"/>
      <c r="AA404" t="inlineStr"/>
      <c r="AB404" t="inlineStr"/>
      <c r="AC404" t="inlineStr"/>
      <c r="AD404" t="inlineStr">
        <is>
          <t>לא נמצא בסריקת המפיצים</t>
        </is>
      </c>
      <c r="AE404" t="inlineStr">
        <is>
          <t>סריקת אתרי מפיצים</t>
        </is>
      </c>
      <c r="AG404" t="inlineStr"/>
      <c r="AH404" t="inlineStr"/>
      <c r="AJ404" t="inlineStr"/>
      <c r="AP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t>
        </is>
      </c>
      <c r="J405" t="inlineStr"/>
      <c r="O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Y405" t="inlineStr">
        <is>
          <t>unknown</t>
        </is>
      </c>
      <c r="Z405" t="inlineStr"/>
      <c r="AA405" t="inlineStr"/>
      <c r="AB405" t="inlineStr"/>
      <c r="AC405" t="inlineStr"/>
      <c r="AD405" t="inlineStr">
        <is>
          <t>לא נמצא בסריקת המפיצים</t>
        </is>
      </c>
      <c r="AE405" t="inlineStr">
        <is>
          <t>סריקת אתרי מפיצים</t>
        </is>
      </c>
      <c r="AG405" t="inlineStr"/>
      <c r="AH405" t="inlineStr"/>
      <c r="AJ405" t="inlineStr"/>
      <c r="AP405" t="inlineStr">
        <is>
          <t>https://www.quartzy.com/suppliers | https://info.quartzy.com/new-suppliers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t>
        </is>
      </c>
      <c r="J406" t="inlineStr"/>
      <c r="Y406" t="inlineStr">
        <is>
          <t>unknown</t>
        </is>
      </c>
      <c r="Z406" t="inlineStr"/>
      <c r="AA406" t="inlineStr"/>
      <c r="AB406" t="inlineStr"/>
      <c r="AC406" t="inlineStr"/>
      <c r="AD406" t="inlineStr">
        <is>
          <t>לא נמצא בסריקת המפיצים</t>
        </is>
      </c>
      <c r="AE406" t="inlineStr">
        <is>
          <t>סריקת אתרי מפיצים</t>
        </is>
      </c>
      <c r="AG406" t="inlineStr"/>
      <c r="AH406" t="inlineStr"/>
      <c r="AJ406" t="inlineStr"/>
      <c r="AP406" t="inlineStr">
        <is>
          <t>https://www.thomassci.com/browse-by/suppliers/diversified-biotech</t>
        </is>
      </c>
    </row>
    <row r="407">
      <c r="A407" t="n">
        <v>406</v>
      </c>
      <c r="B407" t="inlineStr">
        <is>
          <t>DLAB Scientific</t>
        </is>
      </c>
      <c r="C407" t="inlineStr">
        <is>
          <t>T</t>
        </is>
      </c>
      <c r="E407" t="inlineStr">
        <is>
          <t>https://www.thomassci.com/browse-by/suppliers/dlab-scientific</t>
        </is>
      </c>
      <c r="F407" t="inlineStr"/>
      <c r="H407" t="inlineStr">
        <is>
          <t>https://dlabsci.com</t>
        </is>
      </c>
      <c r="I407" t="inlineStr">
        <is>
          <t>clearbit</t>
        </is>
      </c>
      <c r="J407" t="inlineStr"/>
      <c r="Y407" t="inlineStr">
        <is>
          <t>unknown</t>
        </is>
      </c>
      <c r="Z407" t="inlineStr"/>
      <c r="AA407" t="inlineStr"/>
      <c r="AB407" t="inlineStr"/>
      <c r="AC407" t="inlineStr"/>
      <c r="AD407" t="inlineStr">
        <is>
          <t>לא נמצא בסריקת המפיצים</t>
        </is>
      </c>
      <c r="AE407" t="inlineStr">
        <is>
          <t>סריקת אתרי מפיצים</t>
        </is>
      </c>
      <c r="AG407" t="inlineStr"/>
      <c r="AH407" t="inlineStr"/>
      <c r="AJ407" t="inlineStr"/>
      <c r="AP407" t="inlineStr">
        <is>
          <t>https://www.thomassci.com/browse-by/suppliers/dlab-scientific</t>
        </is>
      </c>
    </row>
    <row r="408">
      <c r="A408" t="n">
        <v>407</v>
      </c>
      <c r="B408" t="inlineStr">
        <is>
          <t>Dojindo Molecular Technologies</t>
        </is>
      </c>
      <c r="C408" t="inlineStr">
        <is>
          <t>Q</t>
        </is>
      </c>
      <c r="F408" t="inlineStr">
        <is>
          <t>yes</t>
        </is>
      </c>
      <c r="H408" t="inlineStr">
        <is>
          <t>https://dojindo.com</t>
        </is>
      </c>
      <c r="I408" t="inlineStr">
        <is>
          <t>clearbit</t>
        </is>
      </c>
      <c r="J408" t="inlineStr"/>
      <c r="Y408" t="inlineStr">
        <is>
          <t>unknown</t>
        </is>
      </c>
      <c r="Z408" t="inlineStr"/>
      <c r="AA408" t="inlineStr"/>
      <c r="AB408" t="inlineStr"/>
      <c r="AC408" t="inlineStr"/>
      <c r="AD408" t="inlineStr">
        <is>
          <t>לא נמצא בסריקת המפיצים</t>
        </is>
      </c>
      <c r="AE408" t="inlineStr">
        <is>
          <t>סריקת אתרי מפיצים</t>
        </is>
      </c>
      <c r="AG408" t="inlineStr"/>
      <c r="AH408" t="inlineStr"/>
      <c r="AJ408" t="inlineStr"/>
      <c r="AP408" t="inlineStr">
        <is>
          <t>https://www.quartzy.com/suppliers</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t>
        </is>
      </c>
      <c r="J409" t="inlineStr"/>
      <c r="Y409" t="inlineStr">
        <is>
          <t>unknown</t>
        </is>
      </c>
      <c r="Z409" t="inlineStr"/>
      <c r="AA409" t="inlineStr"/>
      <c r="AB409" t="inlineStr"/>
      <c r="AC409" t="inlineStr"/>
      <c r="AD409" t="inlineStr">
        <is>
          <t>לא נמצא בסריקת המפיצים</t>
        </is>
      </c>
      <c r="AE409" t="inlineStr">
        <is>
          <t>סריקת אתרי מפיצים</t>
        </is>
      </c>
      <c r="AG409" t="inlineStr"/>
      <c r="AH409" t="inlineStr"/>
      <c r="AJ409" t="inlineStr"/>
      <c r="AP409" t="inlineStr">
        <is>
          <t>https://www.thomassci.com/browse-by/suppliers/dolan-jenner</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t>
        </is>
      </c>
      <c r="J410" t="inlineStr"/>
      <c r="Y410" t="inlineStr">
        <is>
          <t>unknown</t>
        </is>
      </c>
      <c r="Z410" t="inlineStr"/>
      <c r="AA410" t="inlineStr"/>
      <c r="AB410" t="inlineStr"/>
      <c r="AC410" t="inlineStr"/>
      <c r="AD410" t="inlineStr">
        <is>
          <t>לא נמצא בסריקת המפיצים</t>
        </is>
      </c>
      <c r="AE410" t="inlineStr">
        <is>
          <t>סריקת אתרי מפיצים</t>
        </is>
      </c>
      <c r="AG410" t="inlineStr"/>
      <c r="AH410" t="inlineStr"/>
      <c r="AJ410" t="inlineStr"/>
      <c r="AP410" t="inlineStr">
        <is>
          <t>https://www.thomassci.com/browse-by/suppliers/dr-weigert</t>
        </is>
      </c>
    </row>
    <row r="411">
      <c r="A411" t="n">
        <v>410</v>
      </c>
      <c r="B411" t="inlineStr">
        <is>
          <t>Draeger Safety</t>
        </is>
      </c>
      <c r="C411" t="inlineStr">
        <is>
          <t>T</t>
        </is>
      </c>
      <c r="E411" t="inlineStr">
        <is>
          <t>https://www.thomassci.com/browse-by/suppliers/draeger-safety</t>
        </is>
      </c>
      <c r="F411" t="inlineStr"/>
      <c r="J411" t="inlineStr"/>
      <c r="Y411" t="inlineStr">
        <is>
          <t>unknown</t>
        </is>
      </c>
      <c r="Z411" t="inlineStr"/>
      <c r="AA411" t="inlineStr"/>
      <c r="AB411" t="inlineStr"/>
      <c r="AC411" t="inlineStr"/>
      <c r="AD411" t="inlineStr">
        <is>
          <t>לא נמצא בסריקת המפיצים</t>
        </is>
      </c>
      <c r="AE411" t="inlineStr">
        <is>
          <t>סריקת אתרי מפיצים</t>
        </is>
      </c>
      <c r="AG411" t="inlineStr"/>
      <c r="AH411" t="inlineStr"/>
      <c r="AJ411" t="inlineStr"/>
      <c r="AP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Y412" t="inlineStr">
        <is>
          <t>unknown</t>
        </is>
      </c>
      <c r="Z412" t="inlineStr"/>
      <c r="AA412" t="inlineStr"/>
      <c r="AB412" t="inlineStr"/>
      <c r="AC412" t="inlineStr"/>
      <c r="AD412" t="inlineStr">
        <is>
          <t>לא נמצא בסריקת המפיצים</t>
        </is>
      </c>
      <c r="AE412" t="inlineStr">
        <is>
          <t>סריקת אתרי מפיצים</t>
        </is>
      </c>
      <c r="AG412" t="inlineStr"/>
      <c r="AH412" t="inlineStr"/>
      <c r="AJ412" t="inlineStr"/>
      <c r="AP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J413" t="inlineStr"/>
      <c r="Y413" t="inlineStr">
        <is>
          <t>unknown</t>
        </is>
      </c>
      <c r="Z413" t="inlineStr"/>
      <c r="AA413" t="inlineStr"/>
      <c r="AB413" t="inlineStr"/>
      <c r="AC413" t="inlineStr"/>
      <c r="AD413" t="inlineStr">
        <is>
          <t>לא נמצא בסריקת המפיצים</t>
        </is>
      </c>
      <c r="AE413" t="inlineStr">
        <is>
          <t>סריקת אתרי מפיצים</t>
        </is>
      </c>
      <c r="AG413" t="inlineStr"/>
      <c r="AH413" t="inlineStr"/>
      <c r="AJ413" t="inlineStr"/>
      <c r="AP413" t="inlineStr">
        <is>
          <t>https://www.dutscher.com/search?initialFilters=brand:Drummond | https://www.thomassci.com/browse-by/suppliers/drummond</t>
        </is>
      </c>
    </row>
    <row r="414">
      <c r="A414" t="n">
        <v>413</v>
      </c>
      <c r="B414" t="inlineStr">
        <is>
          <t>Drummond Scientific</t>
        </is>
      </c>
      <c r="C414" t="inlineStr">
        <is>
          <t>Q</t>
        </is>
      </c>
      <c r="F414" t="inlineStr">
        <is>
          <t>yes</t>
        </is>
      </c>
      <c r="H414" t="inlineStr">
        <is>
          <t>https://drummondsci.com</t>
        </is>
      </c>
      <c r="I414" t="inlineStr">
        <is>
          <t>clearbit</t>
        </is>
      </c>
      <c r="J414" t="inlineStr"/>
      <c r="Y414" t="inlineStr">
        <is>
          <t>unknown</t>
        </is>
      </c>
      <c r="Z414" t="inlineStr"/>
      <c r="AA414" t="inlineStr"/>
      <c r="AB414" t="inlineStr"/>
      <c r="AC414" t="inlineStr"/>
      <c r="AD414" t="inlineStr">
        <is>
          <t>לא נמצא בסריקת המפיצים</t>
        </is>
      </c>
      <c r="AE414" t="inlineStr">
        <is>
          <t>סריקת אתרי מפיצים</t>
        </is>
      </c>
      <c r="AG414" t="inlineStr"/>
      <c r="AH414" t="inlineStr"/>
      <c r="AJ414" t="inlineStr"/>
      <c r="AP414" t="inlineStr">
        <is>
          <t>https://www.quartzy.com/suppliers</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t>
        </is>
      </c>
      <c r="J415" t="inlineStr"/>
      <c r="Y415" t="inlineStr">
        <is>
          <t>unknown</t>
        </is>
      </c>
      <c r="Z415" t="inlineStr"/>
      <c r="AA415" t="inlineStr"/>
      <c r="AB415" t="inlineStr"/>
      <c r="AC415" t="inlineStr"/>
      <c r="AD415" t="inlineStr">
        <is>
          <t>לא נמצא בסריקת המפיצים</t>
        </is>
      </c>
      <c r="AE415" t="inlineStr">
        <is>
          <t>סריקת אתרי מפיצים</t>
        </is>
      </c>
      <c r="AG415" t="inlineStr"/>
      <c r="AH415" t="inlineStr"/>
      <c r="AJ415" t="inlineStr"/>
      <c r="AP415" t="inlineStr">
        <is>
          <t>https://www.thomassci.com/browse-by/suppliers/dual-manufacturing</t>
        </is>
      </c>
    </row>
    <row r="416">
      <c r="A416" t="n">
        <v>415</v>
      </c>
      <c r="B416" t="inlineStr">
        <is>
          <t>Dukal Corporation</t>
        </is>
      </c>
      <c r="C416" t="inlineStr">
        <is>
          <t>T</t>
        </is>
      </c>
      <c r="E416" t="inlineStr">
        <is>
          <t>https://www.thomassci.com/browse-by/suppliers/dukal-corporation</t>
        </is>
      </c>
      <c r="F416" t="inlineStr"/>
      <c r="J416" t="inlineStr"/>
      <c r="Y416" t="inlineStr">
        <is>
          <t>unknown</t>
        </is>
      </c>
      <c r="Z416" t="inlineStr"/>
      <c r="AA416" t="inlineStr"/>
      <c r="AB416" t="inlineStr"/>
      <c r="AC416" t="inlineStr"/>
      <c r="AD416" t="inlineStr">
        <is>
          <t>לא נמצא בסריקת המפיצים</t>
        </is>
      </c>
      <c r="AE416" t="inlineStr">
        <is>
          <t>סריקת אתרי מפיצים</t>
        </is>
      </c>
      <c r="AG416" t="inlineStr"/>
      <c r="AH416" t="inlineStr"/>
      <c r="AJ416" t="inlineStr"/>
      <c r="AP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Y417" t="inlineStr">
        <is>
          <t>unknown</t>
        </is>
      </c>
      <c r="Z417" t="inlineStr"/>
      <c r="AA417" t="inlineStr"/>
      <c r="AB417" t="inlineStr"/>
      <c r="AC417" t="inlineStr"/>
      <c r="AD417" t="inlineStr">
        <is>
          <t>לא נמצא בסריקת המפיצים</t>
        </is>
      </c>
      <c r="AE417" t="inlineStr">
        <is>
          <t>סריקת אתרי מפיצים</t>
        </is>
      </c>
      <c r="AG417" t="inlineStr"/>
      <c r="AH417" t="inlineStr"/>
      <c r="AJ417" t="inlineStr"/>
      <c r="AP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t>
        </is>
      </c>
      <c r="J418" t="inlineStr"/>
      <c r="Y418" t="inlineStr">
        <is>
          <t>unknown</t>
        </is>
      </c>
      <c r="Z418" t="inlineStr"/>
      <c r="AA418" t="inlineStr"/>
      <c r="AB418" t="inlineStr"/>
      <c r="AC418" t="inlineStr"/>
      <c r="AD418" t="inlineStr">
        <is>
          <t>לא נמצא בסריקת המפיצים</t>
        </is>
      </c>
      <c r="AE418" t="inlineStr">
        <is>
          <t>סריקת אתרי מפיצים</t>
        </is>
      </c>
      <c r="AG418" t="inlineStr"/>
      <c r="AH418" t="inlineStr"/>
      <c r="AJ418" t="inlineStr"/>
      <c r="AP418" t="inlineStr">
        <is>
          <t>https://www.thomassci.com/browse-by/suppliers/duracell</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P419" t="n">
        <v>1800</v>
      </c>
      <c r="Q419" t="n">
        <v>2025</v>
      </c>
      <c r="R419" t="inlineStr">
        <is>
          <t>company</t>
        </is>
      </c>
      <c r="S419" t="inlineStr">
        <is>
          <t>prior</t>
        </is>
      </c>
      <c r="T419" t="n">
        <v>106</v>
      </c>
      <c r="U419" t="inlineStr">
        <is>
          <t>USD 105.7 million</t>
        </is>
      </c>
      <c r="V419" t="inlineStr">
        <is>
          <t>FY2023</t>
        </is>
      </c>
      <c r="W419" t="inlineStr">
        <is>
          <t>estimate</t>
        </is>
      </c>
      <c r="X419" t="inlineStr">
        <is>
          <t>prior</t>
        </is>
      </c>
      <c r="Y419" t="inlineStr">
        <is>
          <t>mixed</t>
        </is>
      </c>
      <c r="Z419" t="inlineStr">
        <is>
          <t>DURAN laboratory glass bottles</t>
        </is>
      </c>
      <c r="AA419" t="inlineStr">
        <is>
          <t>WHEATON vials &amp; serum bottles</t>
        </is>
      </c>
      <c r="AB419" t="inlineStr">
        <is>
          <t>KIMBLE KIMAX glassware</t>
        </is>
      </c>
      <c r="AC419" t="inlineStr">
        <is>
          <t>prior</t>
        </is>
      </c>
      <c r="AD419" t="inlineStr">
        <is>
          <t>מפיץ/נציג בישראל</t>
        </is>
      </c>
      <c r="AE419" t="inlineStr">
        <is>
          <t>חיפוש חלקי</t>
        </is>
      </c>
      <c r="AF419" t="n">
        <v>2026</v>
      </c>
      <c r="AG419" t="inlineStr">
        <is>
          <t>Danyel Biotech Ltd. (Gamida for Life group)</t>
        </is>
      </c>
      <c r="AH419" t="inlineStr">
        <is>
          <t>Danyel Biotech Ltd. (Gamida for Life group): 1-800-711-911 (also +972 8-936-6066)</t>
        </is>
      </c>
      <c r="AI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19" t="inlineStr">
        <is>
          <t>+49 9342 802-0</t>
        </is>
      </c>
      <c r="AL419" t="inlineStr">
        <is>
          <t>Otto-Schott-Str. 21, 97877 Wertheim, Germany</t>
        </is>
      </c>
      <c r="AM419" t="inlineStr">
        <is>
          <t>https://www.dwk.com/request-a-quote</t>
        </is>
      </c>
      <c r="AN419" t="inlineStr">
        <is>
          <t>https://dwk.com/na/locations/wertheim-germany</t>
        </is>
      </c>
      <c r="AP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t>
        </is>
      </c>
      <c r="J420" t="inlineStr"/>
      <c r="Y420" t="inlineStr">
        <is>
          <t>unknown</t>
        </is>
      </c>
      <c r="Z420" t="inlineStr"/>
      <c r="AA420" t="inlineStr"/>
      <c r="AB420" t="inlineStr"/>
      <c r="AC420" t="inlineStr"/>
      <c r="AD420" t="inlineStr">
        <is>
          <t>לא נמצא בסריקת המפיצים</t>
        </is>
      </c>
      <c r="AE420" t="inlineStr">
        <is>
          <t>סריקת אתרי מפיצים</t>
        </is>
      </c>
      <c r="AG420" t="inlineStr"/>
      <c r="AH420" t="inlineStr"/>
      <c r="AJ420" t="inlineStr"/>
      <c r="AP420" t="inlineStr">
        <is>
          <t>https://www.thomassci.com/browse-by/suppliers/duratherm</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t>
        </is>
      </c>
      <c r="J421" t="inlineStr"/>
      <c r="Y421" t="inlineStr">
        <is>
          <t>unknown</t>
        </is>
      </c>
      <c r="Z421" t="inlineStr"/>
      <c r="AA421" t="inlineStr"/>
      <c r="AB421" t="inlineStr"/>
      <c r="AC421" t="inlineStr"/>
      <c r="AD421" t="inlineStr">
        <is>
          <t>לא נמצא בסריקת המפיצים</t>
        </is>
      </c>
      <c r="AE421" t="inlineStr">
        <is>
          <t>סריקת אתרי מפיצים</t>
        </is>
      </c>
      <c r="AG421" t="inlineStr"/>
      <c r="AH421" t="inlineStr"/>
      <c r="AJ421" t="inlineStr"/>
      <c r="AP421" t="inlineStr">
        <is>
          <t>https://www.thomassci.com/browse-by/suppliers/durham-manufacturing</t>
        </is>
      </c>
    </row>
    <row r="422">
      <c r="A422" t="n">
        <v>421</v>
      </c>
      <c r="B422" t="inlineStr">
        <is>
          <t>Dutscher chemicals</t>
        </is>
      </c>
      <c r="C422" t="inlineStr">
        <is>
          <t>D</t>
        </is>
      </c>
      <c r="D422" t="inlineStr">
        <is>
          <t>https://www.dutscher.com/head-display/private-label?language=en</t>
        </is>
      </c>
      <c r="F422" t="inlineStr"/>
      <c r="G422" t="inlineStr">
        <is>
          <t>Dutscher</t>
        </is>
      </c>
      <c r="J422" t="inlineStr"/>
      <c r="Y422" t="inlineStr">
        <is>
          <t>unknown</t>
        </is>
      </c>
      <c r="Z422" t="inlineStr"/>
      <c r="AA422" t="inlineStr"/>
      <c r="AB422" t="inlineStr"/>
      <c r="AC422" t="inlineStr"/>
      <c r="AD422" t="inlineStr">
        <is>
          <t>לא נמצא בסריקת המפיצים</t>
        </is>
      </c>
      <c r="AE422" t="inlineStr">
        <is>
          <t>סריקת אתרי מפיצים</t>
        </is>
      </c>
      <c r="AG422" t="inlineStr"/>
      <c r="AH422" t="inlineStr"/>
      <c r="AJ422" t="inlineStr"/>
      <c r="AP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P423" t="n">
        <v>1800</v>
      </c>
      <c r="Q423" t="n">
        <v>2025</v>
      </c>
      <c r="R423" t="inlineStr">
        <is>
          <t>company</t>
        </is>
      </c>
      <c r="S423" t="inlineStr">
        <is>
          <t>prior</t>
        </is>
      </c>
      <c r="T423" t="n">
        <v>106</v>
      </c>
      <c r="U423" t="inlineStr">
        <is>
          <t>USD 105.7 million</t>
        </is>
      </c>
      <c r="V423" t="inlineStr">
        <is>
          <t>FY2023</t>
        </is>
      </c>
      <c r="W423" t="inlineStr">
        <is>
          <t>estimate</t>
        </is>
      </c>
      <c r="X423" t="inlineStr">
        <is>
          <t>prior</t>
        </is>
      </c>
      <c r="Y423" t="inlineStr">
        <is>
          <t>mixed</t>
        </is>
      </c>
      <c r="Z423" t="inlineStr">
        <is>
          <t>DURAN laboratory glass bottles</t>
        </is>
      </c>
      <c r="AA423" t="inlineStr">
        <is>
          <t>WHEATON vials &amp; serum bottles</t>
        </is>
      </c>
      <c r="AB423" t="inlineStr">
        <is>
          <t>KIMBLE KIMAX glassware</t>
        </is>
      </c>
      <c r="AC423" t="inlineStr">
        <is>
          <t>prior</t>
        </is>
      </c>
      <c r="AD423" t="inlineStr">
        <is>
          <t>מפיץ/נציג בישראל</t>
        </is>
      </c>
      <c r="AE423" t="inlineStr">
        <is>
          <t>חיפוש חלקי</t>
        </is>
      </c>
      <c r="AF423" t="n">
        <v>2026</v>
      </c>
      <c r="AG423" t="inlineStr">
        <is>
          <t>Danyel Biotech Ltd. (Gamida for Life group)</t>
        </is>
      </c>
      <c r="AH423" t="inlineStr">
        <is>
          <t>Danyel Biotech Ltd. (Gamida for Life group): 1-800-711-911 (also +972 8-936-6066)</t>
        </is>
      </c>
      <c r="AI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23" t="inlineStr">
        <is>
          <t>+49 9342 802-0</t>
        </is>
      </c>
      <c r="AL423" t="inlineStr">
        <is>
          <t>Otto-Schott-Str. 21, 97877 Wertheim, Germany</t>
        </is>
      </c>
      <c r="AM423" t="inlineStr">
        <is>
          <t>https://www.dwk.com/request-a-quote</t>
        </is>
      </c>
      <c r="AN423" t="inlineStr">
        <is>
          <t>https://dwk.com/na/locations/wertheim-germany</t>
        </is>
      </c>
      <c r="AP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4">
      <c r="A424" t="n">
        <v>423</v>
      </c>
      <c r="B424" t="inlineStr">
        <is>
          <t>Dyn-A-Med</t>
        </is>
      </c>
      <c r="C424" t="inlineStr">
        <is>
          <t>T</t>
        </is>
      </c>
      <c r="E424" t="inlineStr">
        <is>
          <t>https://www.thomassci.com/browse-by/suppliers/dyn-a-med</t>
        </is>
      </c>
      <c r="F424" t="inlineStr"/>
      <c r="J424" t="inlineStr"/>
      <c r="Y424" t="inlineStr">
        <is>
          <t>unknown</t>
        </is>
      </c>
      <c r="Z424" t="inlineStr"/>
      <c r="AA424" t="inlineStr"/>
      <c r="AB424" t="inlineStr"/>
      <c r="AC424" t="inlineStr"/>
      <c r="AD424" t="inlineStr">
        <is>
          <t>לא נמצא בסריקת המפיצים</t>
        </is>
      </c>
      <c r="AE424" t="inlineStr">
        <is>
          <t>סריקת אתרי מפיצים</t>
        </is>
      </c>
      <c r="AG424" t="inlineStr"/>
      <c r="AH424" t="inlineStr"/>
      <c r="AJ424" t="inlineStr"/>
      <c r="AP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Y425" t="inlineStr">
        <is>
          <t>unknown</t>
        </is>
      </c>
      <c r="Z425" t="inlineStr"/>
      <c r="AA425" t="inlineStr"/>
      <c r="AB425" t="inlineStr"/>
      <c r="AC425" t="inlineStr"/>
      <c r="AD425" t="inlineStr">
        <is>
          <t>לא נמצא בסריקת המפיצים</t>
        </is>
      </c>
      <c r="AE425" t="inlineStr">
        <is>
          <t>סריקת אתרי מפיצים</t>
        </is>
      </c>
      <c r="AG425" t="inlineStr"/>
      <c r="AH425" t="inlineStr"/>
      <c r="AJ425" t="inlineStr"/>
      <c r="AP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Y426" t="inlineStr">
        <is>
          <t>unknown</t>
        </is>
      </c>
      <c r="Z426" t="inlineStr"/>
      <c r="AA426" t="inlineStr"/>
      <c r="AB426" t="inlineStr"/>
      <c r="AC426" t="inlineStr"/>
      <c r="AD426" t="inlineStr">
        <is>
          <t>לא נמצא בסריקת המפיצים</t>
        </is>
      </c>
      <c r="AE426" t="inlineStr">
        <is>
          <t>סריקת אתרי מפיצים</t>
        </is>
      </c>
      <c r="AG426" t="inlineStr"/>
      <c r="AH426" t="inlineStr"/>
      <c r="AJ426" t="inlineStr"/>
      <c r="AP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t>
        </is>
      </c>
      <c r="J427" t="inlineStr"/>
      <c r="Y427" t="inlineStr">
        <is>
          <t>unknown</t>
        </is>
      </c>
      <c r="Z427" t="inlineStr"/>
      <c r="AA427" t="inlineStr"/>
      <c r="AB427" t="inlineStr"/>
      <c r="AC427" t="inlineStr"/>
      <c r="AD427" t="inlineStr">
        <is>
          <t>לא נמצא בסריקת המפיצים</t>
        </is>
      </c>
      <c r="AE427" t="inlineStr">
        <is>
          <t>סריקת אתרי מפיצים</t>
        </is>
      </c>
      <c r="AG427" t="inlineStr"/>
      <c r="AH427" t="inlineStr"/>
      <c r="AJ427" t="inlineStr"/>
      <c r="AP427" t="inlineStr">
        <is>
          <t>https://www.thomassci.com/browse-by/suppliers/dynamo-distributors</t>
        </is>
      </c>
    </row>
    <row r="428">
      <c r="A428" t="n">
        <v>427</v>
      </c>
      <c r="B428" t="inlineStr">
        <is>
          <t>Dynarex</t>
        </is>
      </c>
      <c r="C428" t="inlineStr">
        <is>
          <t>T</t>
        </is>
      </c>
      <c r="E428" t="inlineStr">
        <is>
          <t>https://www.thomassci.com/browse-by/suppliers/dynarex</t>
        </is>
      </c>
      <c r="F428" t="inlineStr"/>
      <c r="H428" t="inlineStr">
        <is>
          <t>https://dynarex.com</t>
        </is>
      </c>
      <c r="I428" t="inlineStr">
        <is>
          <t>clearbit</t>
        </is>
      </c>
      <c r="J428" t="inlineStr"/>
      <c r="Y428" t="inlineStr">
        <is>
          <t>unknown</t>
        </is>
      </c>
      <c r="Z428" t="inlineStr"/>
      <c r="AA428" t="inlineStr"/>
      <c r="AB428" t="inlineStr"/>
      <c r="AC428" t="inlineStr"/>
      <c r="AD428" t="inlineStr">
        <is>
          <t>לא נמצא בסריקת המפיצים</t>
        </is>
      </c>
      <c r="AE428" t="inlineStr">
        <is>
          <t>סריקת אתרי מפיצים</t>
        </is>
      </c>
      <c r="AG428" t="inlineStr"/>
      <c r="AH428" t="inlineStr"/>
      <c r="AJ428" t="inlineStr"/>
      <c r="AP428" t="inlineStr">
        <is>
          <t>https://www.thomassci.com/browse-by/suppliers/dynarex</t>
        </is>
      </c>
    </row>
    <row r="429">
      <c r="A429" t="n">
        <v>428</v>
      </c>
      <c r="B429" t="inlineStr">
        <is>
          <t>E Com Seating</t>
        </is>
      </c>
      <c r="C429" t="inlineStr">
        <is>
          <t>Q</t>
        </is>
      </c>
      <c r="F429" t="inlineStr">
        <is>
          <t>yes</t>
        </is>
      </c>
      <c r="H429" t="inlineStr">
        <is>
          <t>https://ecomseating.com</t>
        </is>
      </c>
      <c r="I429" t="inlineStr">
        <is>
          <t>clearbit</t>
        </is>
      </c>
      <c r="J429" t="inlineStr"/>
      <c r="Y429" t="inlineStr">
        <is>
          <t>unknown</t>
        </is>
      </c>
      <c r="Z429" t="inlineStr"/>
      <c r="AA429" t="inlineStr"/>
      <c r="AB429" t="inlineStr"/>
      <c r="AC429" t="inlineStr"/>
      <c r="AD429" t="inlineStr">
        <is>
          <t>לא נמצא בסריקת המפיצים</t>
        </is>
      </c>
      <c r="AE429" t="inlineStr">
        <is>
          <t>סריקת אתרי מפיצים</t>
        </is>
      </c>
      <c r="AG429" t="inlineStr"/>
      <c r="AH429" t="inlineStr"/>
      <c r="AJ429" t="inlineStr"/>
      <c r="AP429" t="inlineStr">
        <is>
          <t>https://www.quartzy.com/suppliers</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Y430" t="inlineStr">
        <is>
          <t>unknown</t>
        </is>
      </c>
      <c r="Z430" t="inlineStr"/>
      <c r="AA430" t="inlineStr"/>
      <c r="AB430" t="inlineStr"/>
      <c r="AC430" t="inlineStr"/>
      <c r="AD430" t="inlineStr">
        <is>
          <t>לא נמצא בסריקת המפיצים</t>
        </is>
      </c>
      <c r="AE430" t="inlineStr">
        <is>
          <t>סריקת אתרי מפיצים</t>
        </is>
      </c>
      <c r="AG430" t="inlineStr"/>
      <c r="AH430" t="inlineStr"/>
      <c r="AJ430" t="inlineStr"/>
      <c r="AP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t>
        </is>
      </c>
      <c r="J431" t="inlineStr"/>
      <c r="Y431" t="inlineStr">
        <is>
          <t>unknown</t>
        </is>
      </c>
      <c r="Z431" t="inlineStr"/>
      <c r="AA431" t="inlineStr"/>
      <c r="AB431" t="inlineStr"/>
      <c r="AC431" t="inlineStr"/>
      <c r="AD431" t="inlineStr">
        <is>
          <t>לא נמצא בסריקת המפיצים</t>
        </is>
      </c>
      <c r="AE431" t="inlineStr">
        <is>
          <t>סריקת אתרי מפיצים</t>
        </is>
      </c>
      <c r="AG431" t="inlineStr"/>
      <c r="AH431" t="inlineStr"/>
      <c r="AJ431" t="inlineStr"/>
      <c r="AP431" t="inlineStr">
        <is>
          <t>https://www.quartzy.com/suppliers</t>
        </is>
      </c>
    </row>
    <row r="432">
      <c r="A432" t="n">
        <v>431</v>
      </c>
      <c r="B432" t="inlineStr">
        <is>
          <t>Eagle Manufacturing Company</t>
        </is>
      </c>
      <c r="C432" t="inlineStr">
        <is>
          <t>T</t>
        </is>
      </c>
      <c r="E432" t="inlineStr">
        <is>
          <t>https://www.thomassci.com/browse-by/suppliers/eagle-manufacturing-company</t>
        </is>
      </c>
      <c r="F432" t="inlineStr"/>
      <c r="J432" t="inlineStr">
        <is>
          <t>ארה"ב</t>
        </is>
      </c>
      <c r="O432" t="inlineStr">
        <is>
          <t>defunct farm equipment company in Appleton, Wisconsin</t>
        </is>
      </c>
      <c r="Y432" t="inlineStr">
        <is>
          <t>unknown</t>
        </is>
      </c>
      <c r="Z432" t="inlineStr"/>
      <c r="AA432" t="inlineStr"/>
      <c r="AB432" t="inlineStr"/>
      <c r="AC432" t="inlineStr"/>
      <c r="AD432" t="inlineStr">
        <is>
          <t>לא נמצא בסריקת המפיצים</t>
        </is>
      </c>
      <c r="AE432" t="inlineStr">
        <is>
          <t>סריקת אתרי מפיצים</t>
        </is>
      </c>
      <c r="AG432" t="inlineStr"/>
      <c r="AH432" t="inlineStr"/>
      <c r="AJ432" t="inlineStr"/>
      <c r="AO432" t="inlineStr">
        <is>
          <t>Q5325159</t>
        </is>
      </c>
      <c r="AP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Y433" t="inlineStr">
        <is>
          <t>unknown</t>
        </is>
      </c>
      <c r="Z433" t="inlineStr"/>
      <c r="AA433" t="inlineStr"/>
      <c r="AB433" t="inlineStr"/>
      <c r="AC433" t="inlineStr"/>
      <c r="AD433" t="inlineStr">
        <is>
          <t>לא נמצא בסריקת המפיצים</t>
        </is>
      </c>
      <c r="AE433" t="inlineStr">
        <is>
          <t>סריקת אתרי מפיצים</t>
        </is>
      </c>
      <c r="AG433" t="inlineStr"/>
      <c r="AH433" t="inlineStr"/>
      <c r="AJ433" t="inlineStr"/>
      <c r="AP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Y434" t="inlineStr">
        <is>
          <t>unknown</t>
        </is>
      </c>
      <c r="Z434" t="inlineStr"/>
      <c r="AA434" t="inlineStr"/>
      <c r="AB434" t="inlineStr"/>
      <c r="AC434" t="inlineStr"/>
      <c r="AD434" t="inlineStr">
        <is>
          <t>לא נמצא בסריקת המפיצים</t>
        </is>
      </c>
      <c r="AE434" t="inlineStr">
        <is>
          <t>סריקת אתרי מפיצים</t>
        </is>
      </c>
      <c r="AG434" t="inlineStr"/>
      <c r="AH434" t="inlineStr"/>
      <c r="AJ434" t="inlineStr"/>
      <c r="AP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Y435" t="inlineStr">
        <is>
          <t>unknown</t>
        </is>
      </c>
      <c r="Z435" t="inlineStr"/>
      <c r="AA435" t="inlineStr"/>
      <c r="AB435" t="inlineStr"/>
      <c r="AC435" t="inlineStr"/>
      <c r="AD435" t="inlineStr">
        <is>
          <t>לא נמצא בסריקת המפיצים</t>
        </is>
      </c>
      <c r="AE435" t="inlineStr">
        <is>
          <t>סריקת אתרי מפיצים</t>
        </is>
      </c>
      <c r="AG435" t="inlineStr"/>
      <c r="AH435" t="inlineStr"/>
      <c r="AJ435" t="inlineStr"/>
      <c r="AP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t>
        </is>
      </c>
      <c r="J436" t="inlineStr"/>
      <c r="Y436" t="inlineStr">
        <is>
          <t>unknown</t>
        </is>
      </c>
      <c r="Z436" t="inlineStr"/>
      <c r="AA436" t="inlineStr"/>
      <c r="AB436" t="inlineStr"/>
      <c r="AC436" t="inlineStr"/>
      <c r="AD436" t="inlineStr">
        <is>
          <t>לא נמצא בסריקת המפיצים</t>
        </is>
      </c>
      <c r="AE436" t="inlineStr">
        <is>
          <t>סריקת אתרי מפיצים</t>
        </is>
      </c>
      <c r="AG436" t="inlineStr"/>
      <c r="AH436" t="inlineStr"/>
      <c r="AJ436" t="inlineStr"/>
      <c r="AP436" t="inlineStr">
        <is>
          <t>https://www.thomassci.com/browse-by/suppliers/eastern-business-forms</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t>
        </is>
      </c>
      <c r="J437" t="inlineStr"/>
      <c r="Y437" t="inlineStr">
        <is>
          <t>unknown</t>
        </is>
      </c>
      <c r="Z437" t="inlineStr"/>
      <c r="AA437" t="inlineStr"/>
      <c r="AB437" t="inlineStr"/>
      <c r="AC437" t="inlineStr"/>
      <c r="AD437" t="inlineStr">
        <is>
          <t>לא נמצא בסריקת המפיצים</t>
        </is>
      </c>
      <c r="AE437" t="inlineStr">
        <is>
          <t>סריקת אתרי מפיצים</t>
        </is>
      </c>
      <c r="AG437" t="inlineStr"/>
      <c r="AH437" t="inlineStr"/>
      <c r="AJ437" t="inlineStr"/>
      <c r="AP437" t="inlineStr">
        <is>
          <t>https://www.thomassci.com/browse-by/suppliers/eberbach</t>
        </is>
      </c>
    </row>
    <row r="438">
      <c r="A438" t="n">
        <v>437</v>
      </c>
      <c r="B438" t="inlineStr">
        <is>
          <t>Echelon Biosciences</t>
        </is>
      </c>
      <c r="C438" t="inlineStr">
        <is>
          <t>Q</t>
        </is>
      </c>
      <c r="F438" t="inlineStr">
        <is>
          <t>yes</t>
        </is>
      </c>
      <c r="H438" t="inlineStr">
        <is>
          <t>https://echelon-inc.com</t>
        </is>
      </c>
      <c r="I438" t="inlineStr">
        <is>
          <t>clearbit</t>
        </is>
      </c>
      <c r="J438" t="inlineStr"/>
      <c r="Y438" t="inlineStr">
        <is>
          <t>unknown</t>
        </is>
      </c>
      <c r="Z438" t="inlineStr"/>
      <c r="AA438" t="inlineStr"/>
      <c r="AB438" t="inlineStr"/>
      <c r="AC438" t="inlineStr"/>
      <c r="AD438" t="inlineStr">
        <is>
          <t>לא נמצא בסריקת המפיצים</t>
        </is>
      </c>
      <c r="AE438" t="inlineStr">
        <is>
          <t>סריקת אתרי מפיצים</t>
        </is>
      </c>
      <c r="AG438" t="inlineStr"/>
      <c r="AH438" t="inlineStr"/>
      <c r="AJ438" t="inlineStr"/>
      <c r="AP438" t="inlineStr">
        <is>
          <t>https://www.quartzy.com/suppliers</t>
        </is>
      </c>
    </row>
    <row r="439">
      <c r="A439" t="n">
        <v>438</v>
      </c>
      <c r="B439" t="inlineStr">
        <is>
          <t>ECM Biosciences</t>
        </is>
      </c>
      <c r="C439" t="inlineStr">
        <is>
          <t>Q</t>
        </is>
      </c>
      <c r="F439" t="inlineStr">
        <is>
          <t>yes</t>
        </is>
      </c>
      <c r="J439" t="inlineStr"/>
      <c r="Y439" t="inlineStr">
        <is>
          <t>unknown</t>
        </is>
      </c>
      <c r="Z439" t="inlineStr"/>
      <c r="AA439" t="inlineStr"/>
      <c r="AB439" t="inlineStr"/>
      <c r="AC439" t="inlineStr"/>
      <c r="AD439" t="inlineStr">
        <is>
          <t>לא נמצא בסריקת המפיצים</t>
        </is>
      </c>
      <c r="AE439" t="inlineStr">
        <is>
          <t>סריקת אתרי מפיצים</t>
        </is>
      </c>
      <c r="AG439" t="inlineStr"/>
      <c r="AH439" t="inlineStr"/>
      <c r="AJ439" t="inlineStr"/>
      <c r="AP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Y440" t="inlineStr">
        <is>
          <t>unknown</t>
        </is>
      </c>
      <c r="Z440" t="inlineStr"/>
      <c r="AA440" t="inlineStr"/>
      <c r="AB440" t="inlineStr"/>
      <c r="AC440" t="inlineStr"/>
      <c r="AD440" t="inlineStr">
        <is>
          <t>לא נמצא בסריקת המפיצים</t>
        </is>
      </c>
      <c r="AE440" t="inlineStr">
        <is>
          <t>סריקת אתרי מפיצים</t>
        </is>
      </c>
      <c r="AG440" t="inlineStr"/>
      <c r="AH440" t="inlineStr"/>
      <c r="AJ440" t="inlineStr"/>
      <c r="AP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Y441" t="inlineStr">
        <is>
          <t>unknown</t>
        </is>
      </c>
      <c r="Z441" t="inlineStr"/>
      <c r="AA441" t="inlineStr"/>
      <c r="AB441" t="inlineStr"/>
      <c r="AC441" t="inlineStr"/>
      <c r="AD441" t="inlineStr">
        <is>
          <t>לא נמצא בסריקת המפיצים</t>
        </is>
      </c>
      <c r="AE441" t="inlineStr">
        <is>
          <t>סריקת אתרי מפיצים</t>
        </is>
      </c>
      <c r="AG441" t="inlineStr"/>
      <c r="AH441" t="inlineStr"/>
      <c r="AJ441" t="inlineStr"/>
      <c r="AP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Y442" t="inlineStr">
        <is>
          <t>unknown</t>
        </is>
      </c>
      <c r="Z442" t="inlineStr"/>
      <c r="AA442" t="inlineStr"/>
      <c r="AB442" t="inlineStr"/>
      <c r="AC442" t="inlineStr"/>
      <c r="AD442" t="inlineStr">
        <is>
          <t>לא נמצא בסריקת המפיצים</t>
        </is>
      </c>
      <c r="AE442" t="inlineStr">
        <is>
          <t>סריקת אתרי מפיצים</t>
        </is>
      </c>
      <c r="AG442" t="inlineStr"/>
      <c r="AH442" t="inlineStr"/>
      <c r="AJ442" t="inlineStr"/>
      <c r="AP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Y443" t="inlineStr">
        <is>
          <t>unknown</t>
        </is>
      </c>
      <c r="Z443" t="inlineStr"/>
      <c r="AA443" t="inlineStr"/>
      <c r="AB443" t="inlineStr"/>
      <c r="AC443" t="inlineStr"/>
      <c r="AD443" t="inlineStr">
        <is>
          <t>לא נמצא בסריקת המפיצים</t>
        </is>
      </c>
      <c r="AE443" t="inlineStr">
        <is>
          <t>סריקת אתרי מפיצים</t>
        </is>
      </c>
      <c r="AG443" t="inlineStr"/>
      <c r="AH443" t="inlineStr"/>
      <c r="AJ443" t="inlineStr"/>
      <c r="AP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Y444" t="inlineStr">
        <is>
          <t>unknown</t>
        </is>
      </c>
      <c r="Z444" t="inlineStr"/>
      <c r="AA444" t="inlineStr"/>
      <c r="AB444" t="inlineStr"/>
      <c r="AC444" t="inlineStr"/>
      <c r="AD444" t="inlineStr">
        <is>
          <t>לא נמצא בסריקת המפיצים</t>
        </is>
      </c>
      <c r="AE444" t="inlineStr">
        <is>
          <t>סריקת אתרי מפיצים</t>
        </is>
      </c>
      <c r="AG444" t="inlineStr"/>
      <c r="AH444" t="inlineStr"/>
      <c r="AJ444" t="inlineStr"/>
      <c r="AP444" t="inlineStr">
        <is>
          <t>https://www.dutscher.com/search?initialFilters=brand:Edmund+Buehler</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Y445" t="inlineStr">
        <is>
          <t>unknown</t>
        </is>
      </c>
      <c r="Z445" t="inlineStr"/>
      <c r="AA445" t="inlineStr"/>
      <c r="AB445" t="inlineStr"/>
      <c r="AC445" t="inlineStr"/>
      <c r="AD445" t="inlineStr">
        <is>
          <t>לא נמצא בסריקת המפיצים</t>
        </is>
      </c>
      <c r="AE445" t="inlineStr">
        <is>
          <t>סריקת אתרי מפיצים</t>
        </is>
      </c>
      <c r="AG445" t="inlineStr"/>
      <c r="AH445" t="inlineStr"/>
      <c r="AJ445" t="inlineStr"/>
      <c r="AP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Y446" t="inlineStr">
        <is>
          <t>unknown</t>
        </is>
      </c>
      <c r="Z446" t="inlineStr"/>
      <c r="AA446" t="inlineStr"/>
      <c r="AB446" t="inlineStr"/>
      <c r="AC446" t="inlineStr"/>
      <c r="AD446" t="inlineStr">
        <is>
          <t>לא נמצא בסריקת המפיצים</t>
        </is>
      </c>
      <c r="AE446" t="inlineStr">
        <is>
          <t>סריקת אתרי מפיצים</t>
        </is>
      </c>
      <c r="AG446" t="inlineStr"/>
      <c r="AH446" t="inlineStr"/>
      <c r="AJ446" t="inlineStr"/>
      <c r="AP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Y447" t="inlineStr">
        <is>
          <t>unknown</t>
        </is>
      </c>
      <c r="Z447" t="inlineStr"/>
      <c r="AA447" t="inlineStr"/>
      <c r="AB447" t="inlineStr"/>
      <c r="AC447" t="inlineStr"/>
      <c r="AD447" t="inlineStr">
        <is>
          <t>לא נמצא בסריקת המפיצים</t>
        </is>
      </c>
      <c r="AE447" t="inlineStr">
        <is>
          <t>סריקת אתרי מפיצים</t>
        </is>
      </c>
      <c r="AG447" t="inlineStr"/>
      <c r="AH447" t="inlineStr"/>
      <c r="AJ447" t="inlineStr"/>
      <c r="AP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https://eis-co.com</t>
        </is>
      </c>
      <c r="I448" t="inlineStr">
        <is>
          <t>clearbit</t>
        </is>
      </c>
      <c r="J448" t="inlineStr"/>
      <c r="Y448" t="inlineStr">
        <is>
          <t>unknown</t>
        </is>
      </c>
      <c r="Z448" t="inlineStr"/>
      <c r="AA448" t="inlineStr"/>
      <c r="AB448" t="inlineStr"/>
      <c r="AC448" t="inlineStr"/>
      <c r="AD448" t="inlineStr">
        <is>
          <t>לא נמצא בסריקת המפיצים</t>
        </is>
      </c>
      <c r="AE448" t="inlineStr">
        <is>
          <t>סריקת אתרי מפיצים</t>
        </is>
      </c>
      <c r="AG448" t="inlineStr"/>
      <c r="AH448" t="inlineStr"/>
      <c r="AJ448" t="inlineStr"/>
      <c r="AP448" t="inlineStr">
        <is>
          <t>https://www.quartzy.com/suppliers | https://www.thomassci.com/browse-by/suppliers/eisco</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t>
        </is>
      </c>
      <c r="J449" t="inlineStr"/>
      <c r="Y449" t="inlineStr">
        <is>
          <t>unknown</t>
        </is>
      </c>
      <c r="Z449" t="inlineStr"/>
      <c r="AA449" t="inlineStr"/>
      <c r="AB449" t="inlineStr"/>
      <c r="AC449" t="inlineStr"/>
      <c r="AD449" t="inlineStr">
        <is>
          <t>לא נמצא בסריקת המפיצים</t>
        </is>
      </c>
      <c r="AE449" t="inlineStr">
        <is>
          <t>סריקת אתרי מפיצים</t>
        </is>
      </c>
      <c r="AG449" t="inlineStr"/>
      <c r="AH449" t="inlineStr"/>
      <c r="AJ449" t="inlineStr"/>
      <c r="AP449" t="inlineStr">
        <is>
          <t>https://www.thomassci.com/browse-by/suppliers/eldon-james</t>
        </is>
      </c>
    </row>
    <row r="450">
      <c r="A450" t="n">
        <v>449</v>
      </c>
      <c r="B450" t="inlineStr">
        <is>
          <t>Electron Microscopy (EMS)</t>
        </is>
      </c>
      <c r="C450" t="inlineStr">
        <is>
          <t>Q</t>
        </is>
      </c>
      <c r="F450" t="inlineStr">
        <is>
          <t>yes</t>
        </is>
      </c>
      <c r="J450" t="inlineStr"/>
      <c r="Y450" t="inlineStr">
        <is>
          <t>unknown</t>
        </is>
      </c>
      <c r="Z450" t="inlineStr"/>
      <c r="AA450" t="inlineStr"/>
      <c r="AB450" t="inlineStr"/>
      <c r="AC450" t="inlineStr"/>
      <c r="AD450" t="inlineStr">
        <is>
          <t>לא נמצא בסריקת המפיצים</t>
        </is>
      </c>
      <c r="AE450" t="inlineStr">
        <is>
          <t>סריקת אתרי מפיצים</t>
        </is>
      </c>
      <c r="AG450" t="inlineStr"/>
      <c r="AH450" t="inlineStr"/>
      <c r="AJ450" t="inlineStr"/>
      <c r="AP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Y451" t="inlineStr">
        <is>
          <t>unknown</t>
        </is>
      </c>
      <c r="Z451" t="inlineStr"/>
      <c r="AA451" t="inlineStr"/>
      <c r="AB451" t="inlineStr"/>
      <c r="AC451" t="inlineStr"/>
      <c r="AD451" t="inlineStr">
        <is>
          <t>לא נמצא בסריקת המפיצים</t>
        </is>
      </c>
      <c r="AE451" t="inlineStr">
        <is>
          <t>סריקת אתרי מפיצים</t>
        </is>
      </c>
      <c r="AG451" t="inlineStr"/>
      <c r="AH451" t="inlineStr"/>
      <c r="AJ451" t="inlineStr"/>
      <c r="AP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P452" t="n">
        <v>2000</v>
      </c>
      <c r="Q452" t="n">
        <v>2024</v>
      </c>
      <c r="R452" t="inlineStr">
        <is>
          <t>estimate</t>
        </is>
      </c>
      <c r="S452" t="inlineStr">
        <is>
          <t>prior</t>
        </is>
      </c>
      <c r="T452" t="n">
        <v>400</v>
      </c>
      <c r="U452" t="inlineStr">
        <is>
          <t>approx. USD 400 million (third-party directory estimate)</t>
        </is>
      </c>
      <c r="V452" t="inlineStr">
        <is>
          <t>n/a (directory estimate seen Oct 2026)</t>
        </is>
      </c>
      <c r="W452" t="inlineStr">
        <is>
          <t>estimate</t>
        </is>
      </c>
      <c r="X452" t="inlineStr">
        <is>
          <t>prior</t>
        </is>
      </c>
      <c r="Y452" t="inlineStr">
        <is>
          <t>estimate</t>
        </is>
      </c>
      <c r="Z452" t="inlineStr">
        <is>
          <t>Jenway spectrophotometers</t>
        </is>
      </c>
      <c r="AA452" t="inlineStr">
        <is>
          <t>Environmental Express HotBlock</t>
        </is>
      </c>
      <c r="AB452" t="inlineStr">
        <is>
          <t>Stuart / Techne benchtop equipment</t>
        </is>
      </c>
      <c r="AC452" t="inlineStr">
        <is>
          <t>prior</t>
        </is>
      </c>
      <c r="AD452" t="inlineStr">
        <is>
          <t>מפיץ/נציג בישראל</t>
        </is>
      </c>
      <c r="AE452" t="inlineStr">
        <is>
          <t>אומת</t>
        </is>
      </c>
      <c r="AF452" t="n">
        <v>2026</v>
      </c>
      <c r="AG452" t="inlineStr">
        <is>
          <t>Medent Scientific Instruments</t>
        </is>
      </c>
      <c r="AH452" t="inlineStr">
        <is>
          <t>Medent Scientific Instruments: +972 72-395-0508 (sales); +972 8-683-6306 (service) info@medent.co.il</t>
        </is>
      </c>
      <c r="AI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452" t="inlineStr">
        <is>
          <t>+1 800-323-4340</t>
        </is>
      </c>
      <c r="AK452" t="inlineStr">
        <is>
          <t>sales@antylia.com</t>
        </is>
      </c>
      <c r="AL452" t="inlineStr">
        <is>
          <t>625 East Bunker Court, Vernon Hills, IL 60061, USA</t>
        </is>
      </c>
      <c r="AN452" t="inlineStr">
        <is>
          <t>https://www.thomasnet.com/company/cole-parmer-1148924/profile</t>
        </is>
      </c>
      <c r="AP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Y453" t="inlineStr">
        <is>
          <t>unknown</t>
        </is>
      </c>
      <c r="Z453" t="inlineStr"/>
      <c r="AA453" t="inlineStr"/>
      <c r="AB453" t="inlineStr"/>
      <c r="AC453" t="inlineStr"/>
      <c r="AD453" t="inlineStr">
        <is>
          <t>לא נמצא בסריקת המפיצים</t>
        </is>
      </c>
      <c r="AE453" t="inlineStr">
        <is>
          <t>סריקת אתרי מפיצים</t>
        </is>
      </c>
      <c r="AG453" t="inlineStr"/>
      <c r="AH453" t="inlineStr"/>
      <c r="AJ453" t="inlineStr"/>
      <c r="AP453" t="inlineStr">
        <is>
          <t>https://www.thomassci.com/browse-by/suppliers/elitechgroup-mdx</t>
        </is>
      </c>
    </row>
    <row r="454">
      <c r="A454" t="n">
        <v>453</v>
      </c>
      <c r="B454" t="inlineStr">
        <is>
          <t>Elko Filtering</t>
        </is>
      </c>
      <c r="C454" t="inlineStr">
        <is>
          <t>Q</t>
        </is>
      </c>
      <c r="F454" t="inlineStr">
        <is>
          <t>yes</t>
        </is>
      </c>
      <c r="H454" t="inlineStr">
        <is>
          <t>https://elkofiltering.com</t>
        </is>
      </c>
      <c r="I454" t="inlineStr">
        <is>
          <t>clearbit</t>
        </is>
      </c>
      <c r="J454" t="inlineStr"/>
      <c r="Y454" t="inlineStr">
        <is>
          <t>unknown</t>
        </is>
      </c>
      <c r="Z454" t="inlineStr"/>
      <c r="AA454" t="inlineStr"/>
      <c r="AB454" t="inlineStr"/>
      <c r="AC454" t="inlineStr"/>
      <c r="AD454" t="inlineStr">
        <is>
          <t>לא נמצא בסריקת המפיצים</t>
        </is>
      </c>
      <c r="AE454" t="inlineStr">
        <is>
          <t>סריקת אתרי מפיצים</t>
        </is>
      </c>
      <c r="AG454" t="inlineStr"/>
      <c r="AH454" t="inlineStr"/>
      <c r="AJ454" t="inlineStr"/>
      <c r="AP454" t="inlineStr">
        <is>
          <t>https://www.quartzy.com/suppliers</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t>
        </is>
      </c>
      <c r="J455" t="inlineStr"/>
      <c r="Y455" t="inlineStr">
        <is>
          <t>unknown</t>
        </is>
      </c>
      <c r="Z455" t="inlineStr"/>
      <c r="AA455" t="inlineStr"/>
      <c r="AB455" t="inlineStr"/>
      <c r="AC455" t="inlineStr"/>
      <c r="AD455" t="inlineStr">
        <is>
          <t>לא נמצא בסריקת המפיצים</t>
        </is>
      </c>
      <c r="AE455" t="inlineStr">
        <is>
          <t>סריקת אתרי מפיצים</t>
        </is>
      </c>
      <c r="AG455" t="inlineStr"/>
      <c r="AH455" t="inlineStr"/>
      <c r="AJ455" t="inlineStr"/>
      <c r="AP455" t="inlineStr">
        <is>
          <t>https://www.quartzy.com/suppliers | https://www.thomassci.com/browse-by/suppliers/ellsworth-adhesives</t>
        </is>
      </c>
    </row>
    <row r="456">
      <c r="A456" t="n">
        <v>455</v>
      </c>
      <c r="B456" t="inlineStr">
        <is>
          <t>Elma</t>
        </is>
      </c>
      <c r="C456" t="inlineStr">
        <is>
          <t>D+T</t>
        </is>
      </c>
      <c r="D456" t="inlineStr">
        <is>
          <t>https://www.dutscher.com/search?initialFilters=brand:Elma</t>
        </is>
      </c>
      <c r="E456" t="inlineStr">
        <is>
          <t>https://www.thomassci.com/browse-by/suppliers/elma</t>
        </is>
      </c>
      <c r="F456" t="inlineStr"/>
      <c r="J456" t="inlineStr"/>
      <c r="Y456" t="inlineStr">
        <is>
          <t>unknown</t>
        </is>
      </c>
      <c r="Z456" t="inlineStr"/>
      <c r="AA456" t="inlineStr"/>
      <c r="AB456" t="inlineStr"/>
      <c r="AC456" t="inlineStr"/>
      <c r="AD456" t="inlineStr">
        <is>
          <t>לא נמצא בסריקת המפיצים</t>
        </is>
      </c>
      <c r="AE456" t="inlineStr">
        <is>
          <t>סריקת אתרי מפיצים</t>
        </is>
      </c>
      <c r="AG456" t="inlineStr"/>
      <c r="AH456" t="inlineStr"/>
      <c r="AJ456" t="inlineStr"/>
      <c r="AP456" t="inlineStr">
        <is>
          <t>https://www.dutscher.com/search?initialFilters=brand:Elma | https://www.thomassci.com/browse-by/suppliers/elma</t>
        </is>
      </c>
    </row>
    <row r="457">
      <c r="A457" t="n">
        <v>456</v>
      </c>
      <c r="B457" t="inlineStr">
        <is>
          <t>ELMI</t>
        </is>
      </c>
      <c r="C457" t="inlineStr">
        <is>
          <t>T</t>
        </is>
      </c>
      <c r="E457" t="inlineStr">
        <is>
          <t>https://www.thomassci.com/browse-by/suppliers/elmi</t>
        </is>
      </c>
      <c r="F457" t="inlineStr"/>
      <c r="J457" t="inlineStr"/>
      <c r="Y457" t="inlineStr">
        <is>
          <t>unknown</t>
        </is>
      </c>
      <c r="Z457" t="inlineStr"/>
      <c r="AA457" t="inlineStr"/>
      <c r="AB457" t="inlineStr"/>
      <c r="AC457" t="inlineStr"/>
      <c r="AD457" t="inlineStr">
        <is>
          <t>לא נמצא בסריקת המפיצים</t>
        </is>
      </c>
      <c r="AE457" t="inlineStr">
        <is>
          <t>סריקת אתרי מפיצים</t>
        </is>
      </c>
      <c r="AG457" t="inlineStr"/>
      <c r="AH457" t="inlineStr"/>
      <c r="AJ457" t="inlineStr"/>
      <c r="AP457" t="inlineStr">
        <is>
          <t>https://www.thomassci.com/browse-by/suppliers/elmi</t>
        </is>
      </c>
    </row>
    <row r="458">
      <c r="A458" t="n">
        <v>457</v>
      </c>
      <c r="B458" t="inlineStr">
        <is>
          <t>ELPRO</t>
        </is>
      </c>
      <c r="C458" t="inlineStr">
        <is>
          <t>T</t>
        </is>
      </c>
      <c r="E458" t="inlineStr">
        <is>
          <t>https://www.thomassci.com/browse-by/suppliers/elpro</t>
        </is>
      </c>
      <c r="F458" t="inlineStr"/>
      <c r="J458" t="inlineStr"/>
      <c r="Y458" t="inlineStr">
        <is>
          <t>unknown</t>
        </is>
      </c>
      <c r="Z458" t="inlineStr"/>
      <c r="AA458" t="inlineStr"/>
      <c r="AB458" t="inlineStr"/>
      <c r="AC458" t="inlineStr"/>
      <c r="AD458" t="inlineStr">
        <is>
          <t>לא נמצא בסריקת המפיצים</t>
        </is>
      </c>
      <c r="AE458" t="inlineStr">
        <is>
          <t>סריקת אתרי מפיצים</t>
        </is>
      </c>
      <c r="AG458" t="inlineStr"/>
      <c r="AH458" t="inlineStr"/>
      <c r="AJ458" t="inlineStr"/>
      <c r="AP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t>
        </is>
      </c>
      <c r="J459" t="inlineStr"/>
      <c r="Y459" t="inlineStr">
        <is>
          <t>unknown</t>
        </is>
      </c>
      <c r="Z459" t="inlineStr"/>
      <c r="AA459" t="inlineStr"/>
      <c r="AB459" t="inlineStr"/>
      <c r="AC459" t="inlineStr"/>
      <c r="AD459" t="inlineStr">
        <is>
          <t>לא נמצא בסריקת המפיצים</t>
        </is>
      </c>
      <c r="AE459" t="inlineStr">
        <is>
          <t>סריקת אתרי מפיצים</t>
        </is>
      </c>
      <c r="AG459" t="inlineStr"/>
      <c r="AH459" t="inlineStr"/>
      <c r="AJ459" t="inlineStr"/>
      <c r="AP459" t="inlineStr">
        <is>
          <t>https://www.dutscher.com/search?initialFilters=brand:Embitec</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Y460" t="inlineStr">
        <is>
          <t>unknown</t>
        </is>
      </c>
      <c r="Z460" t="inlineStr"/>
      <c r="AA460" t="inlineStr"/>
      <c r="AB460" t="inlineStr"/>
      <c r="AC460" t="inlineStr"/>
      <c r="AD460" t="inlineStr">
        <is>
          <t>לא נמצא בסריקת המפיצים</t>
        </is>
      </c>
      <c r="AE460" t="inlineStr">
        <is>
          <t>סריקת אתרי מפיצים</t>
        </is>
      </c>
      <c r="AG460" t="inlineStr"/>
      <c r="AH460" t="inlineStr"/>
      <c r="AJ460" t="inlineStr"/>
      <c r="AP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Y461" t="inlineStr">
        <is>
          <t>unknown</t>
        </is>
      </c>
      <c r="Z461" t="inlineStr"/>
      <c r="AA461" t="inlineStr"/>
      <c r="AB461" t="inlineStr"/>
      <c r="AC461" t="inlineStr"/>
      <c r="AD461" t="inlineStr">
        <is>
          <t>לא נמצא בסריקת המפיצים</t>
        </is>
      </c>
      <c r="AE461" t="inlineStr">
        <is>
          <t>סריקת אתרי מפיצים</t>
        </is>
      </c>
      <c r="AG461" t="inlineStr"/>
      <c r="AH461" t="inlineStr"/>
      <c r="AJ461" t="inlineStr"/>
      <c r="AP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t>
        </is>
      </c>
      <c r="J462" t="inlineStr"/>
      <c r="Y462" t="inlineStr">
        <is>
          <t>unknown</t>
        </is>
      </c>
      <c r="Z462" t="inlineStr"/>
      <c r="AA462" t="inlineStr"/>
      <c r="AB462" t="inlineStr"/>
      <c r="AC462" t="inlineStr"/>
      <c r="AD462" t="inlineStr">
        <is>
          <t>לא נמצא בסריקת המפיצים</t>
        </is>
      </c>
      <c r="AE462" t="inlineStr">
        <is>
          <t>סריקת אתרי מפיצים</t>
        </is>
      </c>
      <c r="AG462" t="inlineStr"/>
      <c r="AH462" t="inlineStr"/>
      <c r="AJ462" t="inlineStr"/>
      <c r="AP462" t="inlineStr">
        <is>
          <t>https://www.quartzy.com/suppliers</t>
        </is>
      </c>
    </row>
    <row r="463">
      <c r="A463" t="n">
        <v>462</v>
      </c>
      <c r="B463" t="inlineStr">
        <is>
          <t>eNasco</t>
        </is>
      </c>
      <c r="C463" t="inlineStr">
        <is>
          <t>Q</t>
        </is>
      </c>
      <c r="F463" t="inlineStr">
        <is>
          <t>yes</t>
        </is>
      </c>
      <c r="H463" t="inlineStr">
        <is>
          <t>https://enas.co</t>
        </is>
      </c>
      <c r="I463" t="inlineStr">
        <is>
          <t>clearbit</t>
        </is>
      </c>
      <c r="J463" t="inlineStr"/>
      <c r="Y463" t="inlineStr">
        <is>
          <t>unknown</t>
        </is>
      </c>
      <c r="Z463" t="inlineStr"/>
      <c r="AA463" t="inlineStr"/>
      <c r="AB463" t="inlineStr"/>
      <c r="AC463" t="inlineStr"/>
      <c r="AD463" t="inlineStr">
        <is>
          <t>לא נמצא בסריקת המפיצים</t>
        </is>
      </c>
      <c r="AE463" t="inlineStr">
        <is>
          <t>סריקת אתרי מפיצים</t>
        </is>
      </c>
      <c r="AG463" t="inlineStr"/>
      <c r="AH463" t="inlineStr"/>
      <c r="AJ463" t="inlineStr"/>
      <c r="AP463" t="inlineStr">
        <is>
          <t>https://www.quartzy.com/suppliers</t>
        </is>
      </c>
    </row>
    <row r="464">
      <c r="A464" t="n">
        <v>463</v>
      </c>
      <c r="B464" t="inlineStr">
        <is>
          <t>Endecotts</t>
        </is>
      </c>
      <c r="C464" t="inlineStr">
        <is>
          <t>T</t>
        </is>
      </c>
      <c r="E464" t="inlineStr">
        <is>
          <t>https://www.thomassci.com/browse-by/suppliers/endecotts</t>
        </is>
      </c>
      <c r="F464" t="inlineStr"/>
      <c r="J464" t="inlineStr"/>
      <c r="Y464" t="inlineStr">
        <is>
          <t>unknown</t>
        </is>
      </c>
      <c r="Z464" t="inlineStr"/>
      <c r="AA464" t="inlineStr"/>
      <c r="AB464" t="inlineStr"/>
      <c r="AC464" t="inlineStr"/>
      <c r="AD464" t="inlineStr">
        <is>
          <t>לא נמצא בסריקת המפיצים</t>
        </is>
      </c>
      <c r="AE464" t="inlineStr">
        <is>
          <t>סריקת אתרי מפיצים</t>
        </is>
      </c>
      <c r="AG464" t="inlineStr"/>
      <c r="AH464" t="inlineStr"/>
      <c r="AJ464" t="inlineStr"/>
      <c r="AP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Y465" t="inlineStr">
        <is>
          <t>unknown</t>
        </is>
      </c>
      <c r="Z465" t="inlineStr"/>
      <c r="AA465" t="inlineStr"/>
      <c r="AB465" t="inlineStr"/>
      <c r="AC465" t="inlineStr"/>
      <c r="AD465" t="inlineStr">
        <is>
          <t>לא נמצא בסריקת המפיצים</t>
        </is>
      </c>
      <c r="AE465" t="inlineStr">
        <is>
          <t>סריקת אתרי מפיצים</t>
        </is>
      </c>
      <c r="AG465" t="inlineStr"/>
      <c r="AH465" t="inlineStr"/>
      <c r="AJ465" t="inlineStr"/>
      <c r="AP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t>
        </is>
      </c>
      <c r="J466" t="inlineStr"/>
      <c r="Y466" t="inlineStr">
        <is>
          <t>unknown</t>
        </is>
      </c>
      <c r="Z466" t="inlineStr"/>
      <c r="AA466" t="inlineStr"/>
      <c r="AB466" t="inlineStr"/>
      <c r="AC466" t="inlineStr"/>
      <c r="AD466" t="inlineStr">
        <is>
          <t>לא נמצא בסריקת המפיצים</t>
        </is>
      </c>
      <c r="AE466" t="inlineStr">
        <is>
          <t>סריקת אתרי מפיצים</t>
        </is>
      </c>
      <c r="AG466" t="inlineStr"/>
      <c r="AH466" t="inlineStr"/>
      <c r="AJ466" t="inlineStr"/>
      <c r="AP466" t="inlineStr">
        <is>
          <t>https://www.thomassci.com/browse-by/suppliers/environmental-sampling-supply</t>
        </is>
      </c>
    </row>
    <row r="467">
      <c r="A467" t="n">
        <v>466</v>
      </c>
      <c r="B467" t="inlineStr">
        <is>
          <t>Enzo Life Sciences</t>
        </is>
      </c>
      <c r="C467" t="inlineStr">
        <is>
          <t>Q</t>
        </is>
      </c>
      <c r="F467" t="inlineStr">
        <is>
          <t>yes</t>
        </is>
      </c>
      <c r="H467" t="inlineStr">
        <is>
          <t>https://enzolifesciences.com</t>
        </is>
      </c>
      <c r="I467" t="inlineStr">
        <is>
          <t>clearbit</t>
        </is>
      </c>
      <c r="J467" t="inlineStr"/>
      <c r="Y467" t="inlineStr">
        <is>
          <t>unknown</t>
        </is>
      </c>
      <c r="Z467" t="inlineStr"/>
      <c r="AA467" t="inlineStr"/>
      <c r="AB467" t="inlineStr"/>
      <c r="AC467" t="inlineStr"/>
      <c r="AD467" t="inlineStr">
        <is>
          <t>לא נמצא בסריקת המפיצים</t>
        </is>
      </c>
      <c r="AE467" t="inlineStr">
        <is>
          <t>סריקת אתרי מפיצים</t>
        </is>
      </c>
      <c r="AG467" t="inlineStr"/>
      <c r="AH467" t="inlineStr"/>
      <c r="AJ467" t="inlineStr"/>
      <c r="AP467" t="inlineStr">
        <is>
          <t>https://www.quartzy.com/suppliers</t>
        </is>
      </c>
    </row>
    <row r="468">
      <c r="A468" t="n">
        <v>467</v>
      </c>
      <c r="B468" t="inlineStr">
        <is>
          <t>EP Scientific Products</t>
        </is>
      </c>
      <c r="C468" t="inlineStr">
        <is>
          <t>T</t>
        </is>
      </c>
      <c r="E468" t="inlineStr">
        <is>
          <t>https://www.thomassci.com/browse-by/suppliers/ep-scientific-products</t>
        </is>
      </c>
      <c r="F468" t="inlineStr"/>
      <c r="J468" t="inlineStr"/>
      <c r="Y468" t="inlineStr">
        <is>
          <t>unknown</t>
        </is>
      </c>
      <c r="Z468" t="inlineStr"/>
      <c r="AA468" t="inlineStr"/>
      <c r="AB468" t="inlineStr"/>
      <c r="AC468" t="inlineStr"/>
      <c r="AD468" t="inlineStr">
        <is>
          <t>לא נמצא בסריקת המפיצים</t>
        </is>
      </c>
      <c r="AE468" t="inlineStr">
        <is>
          <t>סריקת אתרי מפיצים</t>
        </is>
      </c>
      <c r="AG468" t="inlineStr"/>
      <c r="AH468" t="inlineStr"/>
      <c r="AJ468" t="inlineStr"/>
      <c r="AP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t>
        </is>
      </c>
      <c r="J469" t="inlineStr"/>
      <c r="Y469" t="inlineStr">
        <is>
          <t>unknown</t>
        </is>
      </c>
      <c r="Z469" t="inlineStr"/>
      <c r="AA469" t="inlineStr"/>
      <c r="AB469" t="inlineStr"/>
      <c r="AC469" t="inlineStr"/>
      <c r="AD469" t="inlineStr">
        <is>
          <t>לא נמצא בסריקת המפיצים</t>
        </is>
      </c>
      <c r="AE469" t="inlineStr">
        <is>
          <t>סריקת אתרי מפיצים</t>
        </is>
      </c>
      <c r="AG469" t="inlineStr"/>
      <c r="AH469" t="inlineStr"/>
      <c r="AJ469" t="inlineStr"/>
      <c r="AP469" t="inlineStr">
        <is>
          <t>https://www.thomassci.com/browse-by/suppliers/epic-medical</t>
        </is>
      </c>
    </row>
    <row r="470">
      <c r="A470" t="n">
        <v>469</v>
      </c>
      <c r="B470" t="inlineStr">
        <is>
          <t>EpiCypher</t>
        </is>
      </c>
      <c r="C470" t="inlineStr">
        <is>
          <t>Q</t>
        </is>
      </c>
      <c r="F470" t="inlineStr">
        <is>
          <t>yes</t>
        </is>
      </c>
      <c r="H470" t="inlineStr">
        <is>
          <t>https://epicypher.com</t>
        </is>
      </c>
      <c r="I470" t="inlineStr">
        <is>
          <t>clearbit</t>
        </is>
      </c>
      <c r="J470" t="inlineStr"/>
      <c r="Y470" t="inlineStr">
        <is>
          <t>unknown</t>
        </is>
      </c>
      <c r="Z470" t="inlineStr"/>
      <c r="AA470" t="inlineStr"/>
      <c r="AB470" t="inlineStr"/>
      <c r="AC470" t="inlineStr"/>
      <c r="AD470" t="inlineStr">
        <is>
          <t>לא נמצא בסריקת המפיצים</t>
        </is>
      </c>
      <c r="AE470" t="inlineStr">
        <is>
          <t>סריקת אתרי מפיצים</t>
        </is>
      </c>
      <c r="AG470" t="inlineStr"/>
      <c r="AH470" t="inlineStr"/>
      <c r="AJ470" t="inlineStr"/>
      <c r="AP470" t="inlineStr">
        <is>
          <t>https://www.quartzy.com/suppliers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P471" t="n">
        <v>4125</v>
      </c>
      <c r="Q471" t="n">
        <v>2025</v>
      </c>
      <c r="R471" t="inlineStr">
        <is>
          <t>company</t>
        </is>
      </c>
      <c r="S471" t="inlineStr">
        <is>
          <t>prior</t>
        </is>
      </c>
      <c r="T471" t="n">
        <v>1016</v>
      </c>
      <c r="U471" t="inlineStr">
        <is>
          <t>EUR 924 million</t>
        </is>
      </c>
      <c r="V471" t="inlineStr">
        <is>
          <t>FY2025</t>
        </is>
      </c>
      <c r="W471" t="inlineStr">
        <is>
          <t>company</t>
        </is>
      </c>
      <c r="X471" t="inlineStr">
        <is>
          <t>prior</t>
        </is>
      </c>
      <c r="Y471" t="inlineStr">
        <is>
          <t>reported</t>
        </is>
      </c>
      <c r="Z471" t="inlineStr">
        <is>
          <t>Eppendorf Research plus</t>
        </is>
      </c>
      <c r="AA471" t="inlineStr">
        <is>
          <t>Centrifuge 5430 / 5910 Ri</t>
        </is>
      </c>
      <c r="AB471" t="inlineStr">
        <is>
          <t>epMotion</t>
        </is>
      </c>
      <c r="AC471" t="inlineStr">
        <is>
          <t>prior</t>
        </is>
      </c>
      <c r="AD471" t="inlineStr">
        <is>
          <t>מפיץ/נציג בישראל</t>
        </is>
      </c>
      <c r="AE471" t="inlineStr">
        <is>
          <t>אומת</t>
        </is>
      </c>
      <c r="AF471" t="n">
        <v>2026</v>
      </c>
      <c r="AG471" t="inlineStr">
        <is>
          <t>Lumitron Ltd. (Comtel Technologies &amp; Engineering group)</t>
        </is>
      </c>
      <c r="AH471" t="inlineStr">
        <is>
          <t>Lumitron Ltd. (Comtel Technologies &amp; Engineering group): +972 52-525-6287</t>
        </is>
      </c>
      <c r="AI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J471" t="inlineStr">
        <is>
          <t>+49 40 53801-0</t>
        </is>
      </c>
      <c r="AK471" t="inlineStr">
        <is>
          <t>eppendorf@eppendorf.de</t>
        </is>
      </c>
      <c r="AL471" t="inlineStr">
        <is>
          <t>Barkhausenweg 1, 22339 Hamburg, Germany</t>
        </is>
      </c>
      <c r="AN471" t="inlineStr">
        <is>
          <t>https://www.eppendorf.com/be-en/company-careers/legal/imprint/</t>
        </is>
      </c>
      <c r="AP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Y472" t="inlineStr">
        <is>
          <t>unknown</t>
        </is>
      </c>
      <c r="Z472" t="inlineStr"/>
      <c r="AA472" t="inlineStr"/>
      <c r="AB472" t="inlineStr"/>
      <c r="AC472" t="inlineStr"/>
      <c r="AD472" t="inlineStr">
        <is>
          <t>לא נמצא בסריקת המפיצים</t>
        </is>
      </c>
      <c r="AE472" t="inlineStr">
        <is>
          <t>סריקת אתרי מפיצים</t>
        </is>
      </c>
      <c r="AG472" t="inlineStr"/>
      <c r="AH472" t="inlineStr"/>
      <c r="AJ472" t="inlineStr"/>
      <c r="AP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Y473" t="inlineStr">
        <is>
          <t>unknown</t>
        </is>
      </c>
      <c r="Z473" t="inlineStr"/>
      <c r="AA473" t="inlineStr"/>
      <c r="AB473" t="inlineStr"/>
      <c r="AC473" t="inlineStr"/>
      <c r="AD473" t="inlineStr">
        <is>
          <t>לא נמצא בסריקת המפיצים</t>
        </is>
      </c>
      <c r="AE473" t="inlineStr">
        <is>
          <t>סריקת אתרי מפיצים</t>
        </is>
      </c>
      <c r="AG473" t="inlineStr"/>
      <c r="AH473" t="inlineStr"/>
      <c r="AJ473" t="inlineStr"/>
      <c r="AP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Y474" t="inlineStr">
        <is>
          <t>unknown</t>
        </is>
      </c>
      <c r="Z474" t="inlineStr"/>
      <c r="AA474" t="inlineStr"/>
      <c r="AB474" t="inlineStr"/>
      <c r="AC474" t="inlineStr"/>
      <c r="AD474" t="inlineStr">
        <is>
          <t>לא נמצא בסריקת המפיצים</t>
        </is>
      </c>
      <c r="AE474" t="inlineStr">
        <is>
          <t>סריקת אתרי מפיצים</t>
        </is>
      </c>
      <c r="AG474" t="inlineStr"/>
      <c r="AH474" t="inlineStr"/>
      <c r="AJ474" t="inlineStr"/>
      <c r="AP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Y475" t="inlineStr">
        <is>
          <t>unknown</t>
        </is>
      </c>
      <c r="Z475" t="inlineStr"/>
      <c r="AA475" t="inlineStr"/>
      <c r="AB475" t="inlineStr"/>
      <c r="AC475" t="inlineStr"/>
      <c r="AD475" t="inlineStr">
        <is>
          <t>לא נמצא בסריקת המפיצים</t>
        </is>
      </c>
      <c r="AE475" t="inlineStr">
        <is>
          <t>סריקת אתרי מפיצים</t>
        </is>
      </c>
      <c r="AG475" t="inlineStr"/>
      <c r="AH475" t="inlineStr"/>
      <c r="AJ475" t="inlineStr"/>
      <c r="AP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t>
        </is>
      </c>
      <c r="J476" t="inlineStr"/>
      <c r="Y476" t="inlineStr">
        <is>
          <t>unknown</t>
        </is>
      </c>
      <c r="Z476" t="inlineStr"/>
      <c r="AA476" t="inlineStr"/>
      <c r="AB476" t="inlineStr"/>
      <c r="AC476" t="inlineStr"/>
      <c r="AD476" t="inlineStr">
        <is>
          <t>לא נמצא בסריקת המפיצים</t>
        </is>
      </c>
      <c r="AE476" t="inlineStr">
        <is>
          <t>סריקת אתרי מפיצים</t>
        </is>
      </c>
      <c r="AG476" t="inlineStr"/>
      <c r="AH476" t="inlineStr"/>
      <c r="AJ476" t="inlineStr"/>
      <c r="AP476" t="inlineStr">
        <is>
          <t>https://www.thomassci.com/browse-by/suppliers/ergodyne</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t>
        </is>
      </c>
      <c r="J477" t="inlineStr"/>
      <c r="Y477" t="inlineStr">
        <is>
          <t>unknown</t>
        </is>
      </c>
      <c r="Z477" t="inlineStr"/>
      <c r="AA477" t="inlineStr"/>
      <c r="AB477" t="inlineStr"/>
      <c r="AC477" t="inlineStr"/>
      <c r="AD477" t="inlineStr">
        <is>
          <t>לא נמצא בסריקת המפיצים</t>
        </is>
      </c>
      <c r="AE477" t="inlineStr">
        <is>
          <t>סריקת אתרי מפיצים</t>
        </is>
      </c>
      <c r="AG477" t="inlineStr"/>
      <c r="AH477" t="inlineStr"/>
      <c r="AJ477" t="inlineStr"/>
      <c r="AP477" t="inlineStr">
        <is>
          <t>https://www.dutscher.com/search?initialFilters=brand:Erlab | https://www.thomassci.com/browse-by/suppliers/erlab</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P478" t="n">
        <v>1600</v>
      </c>
      <c r="Q478" t="n">
        <v>2025</v>
      </c>
      <c r="R478" t="inlineStr">
        <is>
          <t>company</t>
        </is>
      </c>
      <c r="S478" t="inlineStr">
        <is>
          <t>prior</t>
        </is>
      </c>
      <c r="T478" t="n">
        <v>115</v>
      </c>
      <c r="U478" t="inlineStr">
        <is>
          <t>USD ~115 million (aggregator estimate; RocketReach gives USD 18.5M)</t>
        </is>
      </c>
      <c r="V478" t="inlineStr">
        <is>
          <t>undated aggregator estimate (c. 2024)</t>
        </is>
      </c>
      <c r="W478" t="inlineStr">
        <is>
          <t>estimate</t>
        </is>
      </c>
      <c r="X478" t="inlineStr">
        <is>
          <t>prior</t>
        </is>
      </c>
      <c r="Y478" t="inlineStr">
        <is>
          <t>mixed</t>
        </is>
      </c>
      <c r="Z478" t="inlineStr">
        <is>
          <t>Airstream Class II (Gen 3)</t>
        </is>
      </c>
      <c r="AA478" t="inlineStr">
        <is>
          <t>CelCulture</t>
        </is>
      </c>
      <c r="AB478" t="inlineStr">
        <is>
          <t>Isoclean / Streamline isolators</t>
        </is>
      </c>
      <c r="AC478" t="inlineStr">
        <is>
          <t>prior</t>
        </is>
      </c>
      <c r="AD478" t="inlineStr">
        <is>
          <t>מפיץ/נציג בישראל</t>
        </is>
      </c>
      <c r="AE478" t="inlineStr">
        <is>
          <t>אומת</t>
        </is>
      </c>
      <c r="AF478" t="n">
        <v>2026</v>
      </c>
      <c r="AG478" t="inlineStr">
        <is>
          <t>Danyel Biotech</t>
        </is>
      </c>
      <c r="AH478" t="inlineStr">
        <is>
          <t>Danyel Biotech: 1-800-711-911 (also +972 8-936-6066)</t>
        </is>
      </c>
      <c r="AI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J478" t="inlineStr">
        <is>
          <t>+65 6542 0833</t>
        </is>
      </c>
      <c r="AL478" t="inlineStr">
        <is>
          <t>19 Changi South Street 1, Singapore 486777</t>
        </is>
      </c>
      <c r="AN478" t="inlineStr">
        <is>
          <t>https://careers.escolifesciences.com/about-us</t>
        </is>
      </c>
      <c r="AP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Y479" t="inlineStr">
        <is>
          <t>unknown</t>
        </is>
      </c>
      <c r="Z479" t="inlineStr"/>
      <c r="AA479" t="inlineStr"/>
      <c r="AB479" t="inlineStr"/>
      <c r="AC479" t="inlineStr"/>
      <c r="AD479" t="inlineStr">
        <is>
          <t>לא נמצא בסריקת המפיצים</t>
        </is>
      </c>
      <c r="AE479" t="inlineStr">
        <is>
          <t>סריקת אתרי מפיצים</t>
        </is>
      </c>
      <c r="AG479" t="inlineStr"/>
      <c r="AH479" t="inlineStr"/>
      <c r="AJ479" t="inlineStr"/>
      <c r="AP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t>
        </is>
      </c>
      <c r="J480" t="inlineStr"/>
      <c r="Y480" t="inlineStr">
        <is>
          <t>unknown</t>
        </is>
      </c>
      <c r="Z480" t="inlineStr"/>
      <c r="AA480" t="inlineStr"/>
      <c r="AB480" t="inlineStr"/>
      <c r="AC480" t="inlineStr"/>
      <c r="AD480" t="inlineStr">
        <is>
          <t>לא נמצא בסריקת המפיצים</t>
        </is>
      </c>
      <c r="AE480" t="inlineStr">
        <is>
          <t>סריקת אתרי מפיצים</t>
        </is>
      </c>
      <c r="AG480" t="inlineStr"/>
      <c r="AH480" t="inlineStr"/>
      <c r="AJ480" t="inlineStr"/>
      <c r="AP480" t="inlineStr">
        <is>
          <t>https://www.quartzy.com/suppliers | https://www.thomassci.com/browse-by/suppliers/ethos-biosciences</t>
        </is>
      </c>
    </row>
    <row r="481">
      <c r="A481" t="n">
        <v>480</v>
      </c>
      <c r="B481" t="inlineStr">
        <is>
          <t>Eurofins DiscoverX</t>
        </is>
      </c>
      <c r="C481" t="inlineStr">
        <is>
          <t>Q</t>
        </is>
      </c>
      <c r="F481" t="inlineStr">
        <is>
          <t>yes</t>
        </is>
      </c>
      <c r="J481" t="inlineStr"/>
      <c r="Y481" t="inlineStr">
        <is>
          <t>unknown</t>
        </is>
      </c>
      <c r="Z481" t="inlineStr"/>
      <c r="AA481" t="inlineStr"/>
      <c r="AB481" t="inlineStr"/>
      <c r="AC481" t="inlineStr"/>
      <c r="AD481" t="inlineStr">
        <is>
          <t>לא נמצא בסריקת המפיצים</t>
        </is>
      </c>
      <c r="AE481" t="inlineStr">
        <is>
          <t>סריקת אתרי מפיצים</t>
        </is>
      </c>
      <c r="AG481" t="inlineStr"/>
      <c r="AH481" t="inlineStr"/>
      <c r="AJ481" t="inlineStr"/>
      <c r="AP481" t="inlineStr">
        <is>
          <t>https://www.quartzy.com/suppliers</t>
        </is>
      </c>
    </row>
    <row r="482">
      <c r="A482" t="n">
        <v>481</v>
      </c>
      <c r="B482" t="inlineStr">
        <is>
          <t>Eurogentec</t>
        </is>
      </c>
      <c r="C482" t="inlineStr">
        <is>
          <t>Q</t>
        </is>
      </c>
      <c r="F482" t="inlineStr">
        <is>
          <t>yes</t>
        </is>
      </c>
      <c r="H482" t="inlineStr">
        <is>
          <t>https://eurogentec.com</t>
        </is>
      </c>
      <c r="I482" t="inlineStr">
        <is>
          <t>clearbit</t>
        </is>
      </c>
      <c r="J482" t="inlineStr"/>
      <c r="Y482" t="inlineStr">
        <is>
          <t>unknown</t>
        </is>
      </c>
      <c r="Z482" t="inlineStr"/>
      <c r="AA482" t="inlineStr"/>
      <c r="AB482" t="inlineStr"/>
      <c r="AC482" t="inlineStr"/>
      <c r="AD482" t="inlineStr">
        <is>
          <t>לא נמצא בסריקת המפיצים</t>
        </is>
      </c>
      <c r="AE482" t="inlineStr">
        <is>
          <t>סריקת אתרי מפיצים</t>
        </is>
      </c>
      <c r="AG482" t="inlineStr"/>
      <c r="AH482" t="inlineStr"/>
      <c r="AJ482" t="inlineStr"/>
      <c r="AP482" t="inlineStr">
        <is>
          <t>https://www.quartzy.com/suppliers</t>
        </is>
      </c>
    </row>
    <row r="483">
      <c r="A483" t="n">
        <v>482</v>
      </c>
      <c r="B483" t="inlineStr">
        <is>
          <t>EurX</t>
        </is>
      </c>
      <c r="C483" t="inlineStr">
        <is>
          <t>D</t>
        </is>
      </c>
      <c r="D483" t="inlineStr">
        <is>
          <t>https://www.dutscher.com/search?initialFilters=brand:EurX</t>
        </is>
      </c>
      <c r="F483" t="inlineStr"/>
      <c r="H483" t="inlineStr">
        <is>
          <t>https://eurx.com.pl</t>
        </is>
      </c>
      <c r="I483" t="inlineStr">
        <is>
          <t>clearbit</t>
        </is>
      </c>
      <c r="J483" t="inlineStr"/>
      <c r="Y483" t="inlineStr">
        <is>
          <t>unknown</t>
        </is>
      </c>
      <c r="Z483" t="inlineStr"/>
      <c r="AA483" t="inlineStr"/>
      <c r="AB483" t="inlineStr"/>
      <c r="AC483" t="inlineStr"/>
      <c r="AD483" t="inlineStr">
        <is>
          <t>לא נמצא בסריקת המפיצים</t>
        </is>
      </c>
      <c r="AE483" t="inlineStr">
        <is>
          <t>סריקת אתרי מפיצים</t>
        </is>
      </c>
      <c r="AG483" t="inlineStr"/>
      <c r="AH483" t="inlineStr"/>
      <c r="AJ483" t="inlineStr"/>
      <c r="AP483" t="inlineStr">
        <is>
          <t>https://www.dutscher.com/search?initialFilters=brand:EurX</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t>
        </is>
      </c>
      <c r="J484" t="inlineStr"/>
      <c r="Y484" t="inlineStr">
        <is>
          <t>unknown</t>
        </is>
      </c>
      <c r="Z484" t="inlineStr"/>
      <c r="AA484" t="inlineStr"/>
      <c r="AB484" t="inlineStr"/>
      <c r="AC484" t="inlineStr"/>
      <c r="AD484" t="inlineStr">
        <is>
          <t>לא נמצא בסריקת המפיצים</t>
        </is>
      </c>
      <c r="AE484" t="inlineStr">
        <is>
          <t>סריקת אתרי מפיצים</t>
        </is>
      </c>
      <c r="AG484" t="inlineStr"/>
      <c r="AH484" t="inlineStr"/>
      <c r="AJ484" t="inlineStr"/>
      <c r="AP484" t="inlineStr">
        <is>
          <t>https://www.thomassci.com/browse-by/suppliers/evoqua-water-technologies</t>
        </is>
      </c>
    </row>
    <row r="485">
      <c r="A485" t="n">
        <v>484</v>
      </c>
      <c r="B485" t="inlineStr">
        <is>
          <t>Exaxol</t>
        </is>
      </c>
      <c r="C485" t="inlineStr">
        <is>
          <t>T</t>
        </is>
      </c>
      <c r="E485" t="inlineStr">
        <is>
          <t>https://www.thomassci.com/browse-by/suppliers/exaxol</t>
        </is>
      </c>
      <c r="F485" t="inlineStr"/>
      <c r="H485" t="inlineStr">
        <is>
          <t>https://exaxol.com</t>
        </is>
      </c>
      <c r="I485" t="inlineStr">
        <is>
          <t>clearbit</t>
        </is>
      </c>
      <c r="J485" t="inlineStr"/>
      <c r="Y485" t="inlineStr">
        <is>
          <t>unknown</t>
        </is>
      </c>
      <c r="Z485" t="inlineStr"/>
      <c r="AA485" t="inlineStr"/>
      <c r="AB485" t="inlineStr"/>
      <c r="AC485" t="inlineStr"/>
      <c r="AD485" t="inlineStr">
        <is>
          <t>לא נמצא בסריקת המפיצים</t>
        </is>
      </c>
      <c r="AE485" t="inlineStr">
        <is>
          <t>סריקת אתרי מפיצים</t>
        </is>
      </c>
      <c r="AG485" t="inlineStr"/>
      <c r="AH485" t="inlineStr"/>
      <c r="AJ485" t="inlineStr"/>
      <c r="AP485" t="inlineStr">
        <is>
          <t>https://www.thomassci.com/browse-by/suppliers/exaxol</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t>
        </is>
      </c>
      <c r="J486" t="inlineStr"/>
      <c r="Y486" t="inlineStr">
        <is>
          <t>unknown</t>
        </is>
      </c>
      <c r="Z486" t="inlineStr"/>
      <c r="AA486" t="inlineStr"/>
      <c r="AB486" t="inlineStr"/>
      <c r="AC486" t="inlineStr"/>
      <c r="AD486" t="inlineStr">
        <is>
          <t>לא נמצא בסריקת המפיצים</t>
        </is>
      </c>
      <c r="AE486" t="inlineStr">
        <is>
          <t>סריקת אתרי מפיצים</t>
        </is>
      </c>
      <c r="AG486" t="inlineStr"/>
      <c r="AH486" t="inlineStr"/>
      <c r="AJ486" t="inlineStr"/>
      <c r="AP486" t="inlineStr">
        <is>
          <t>https://www.quartzy.com/suppliers | https://www.thomassci.com/browse-by/suppliers/excel-scientific</t>
        </is>
      </c>
    </row>
    <row r="487">
      <c r="A487" t="n">
        <v>486</v>
      </c>
      <c r="B487" t="inlineStr">
        <is>
          <t>Excelta</t>
        </is>
      </c>
      <c r="C487" t="inlineStr">
        <is>
          <t>T</t>
        </is>
      </c>
      <c r="E487" t="inlineStr">
        <is>
          <t>https://www.thomassci.com/browse-by/suppliers/excelta</t>
        </is>
      </c>
      <c r="F487" t="inlineStr"/>
      <c r="J487" t="inlineStr"/>
      <c r="Y487" t="inlineStr">
        <is>
          <t>unknown</t>
        </is>
      </c>
      <c r="Z487" t="inlineStr"/>
      <c r="AA487" t="inlineStr"/>
      <c r="AB487" t="inlineStr"/>
      <c r="AC487" t="inlineStr"/>
      <c r="AD487" t="inlineStr">
        <is>
          <t>לא נמצא בסריקת המפיצים</t>
        </is>
      </c>
      <c r="AE487" t="inlineStr">
        <is>
          <t>סריקת אתרי מפיצים</t>
        </is>
      </c>
      <c r="AG487" t="inlineStr"/>
      <c r="AH487" t="inlineStr"/>
      <c r="AJ487" t="inlineStr"/>
      <c r="AP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t>
        </is>
      </c>
      <c r="J488" t="inlineStr"/>
      <c r="Y488" t="inlineStr">
        <is>
          <t>unknown</t>
        </is>
      </c>
      <c r="Z488" t="inlineStr"/>
      <c r="AA488" t="inlineStr"/>
      <c r="AB488" t="inlineStr"/>
      <c r="AC488" t="inlineStr"/>
      <c r="AD488" t="inlineStr">
        <is>
          <t>לא נמצא בסריקת המפיצים</t>
        </is>
      </c>
      <c r="AE488" t="inlineStr">
        <is>
          <t>סריקת אתרי מפיצים</t>
        </is>
      </c>
      <c r="AG488" t="inlineStr"/>
      <c r="AH488" t="inlineStr"/>
      <c r="AJ488" t="inlineStr"/>
      <c r="AP488" t="inlineStr">
        <is>
          <t>https://www.thomassci.com/browse-by/suppliers/exel-international</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t>
        </is>
      </c>
      <c r="J489" t="inlineStr"/>
      <c r="Y489" t="inlineStr">
        <is>
          <t>unknown</t>
        </is>
      </c>
      <c r="Z489" t="inlineStr"/>
      <c r="AA489" t="inlineStr"/>
      <c r="AB489" t="inlineStr"/>
      <c r="AC489" t="inlineStr"/>
      <c r="AD489" t="inlineStr">
        <is>
          <t>לא נמצא בסריקת המפיצים</t>
        </is>
      </c>
      <c r="AE489" t="inlineStr">
        <is>
          <t>סריקת אתרי מפיצים</t>
        </is>
      </c>
      <c r="AG489" t="inlineStr"/>
      <c r="AH489" t="inlineStr"/>
      <c r="AJ489" t="inlineStr"/>
      <c r="AP489" t="inlineStr">
        <is>
          <t>https://www.thomassci.com/browse-by/suppliers/exeter-analytical</t>
        </is>
      </c>
    </row>
    <row r="490">
      <c r="A490" t="n">
        <v>489</v>
      </c>
      <c r="B490" t="inlineStr">
        <is>
          <t>Exodus Bio</t>
        </is>
      </c>
      <c r="C490" t="inlineStr">
        <is>
          <t>Q+Q+</t>
        </is>
      </c>
      <c r="F490" t="inlineStr">
        <is>
          <t>yes +new</t>
        </is>
      </c>
      <c r="J490" t="inlineStr"/>
      <c r="O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Y490" t="inlineStr">
        <is>
          <t>unknown</t>
        </is>
      </c>
      <c r="Z490" t="inlineStr"/>
      <c r="AA490" t="inlineStr"/>
      <c r="AB490" t="inlineStr"/>
      <c r="AC490" t="inlineStr"/>
      <c r="AD490" t="inlineStr">
        <is>
          <t>לא נמצא בסריקת המפיצים</t>
        </is>
      </c>
      <c r="AE490" t="inlineStr">
        <is>
          <t>סריקת אתרי מפיצים</t>
        </is>
      </c>
      <c r="AG490" t="inlineStr"/>
      <c r="AH490" t="inlineStr"/>
      <c r="AJ490" t="inlineStr"/>
      <c r="AP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t>
        </is>
      </c>
      <c r="J491" t="inlineStr"/>
      <c r="Y491" t="inlineStr">
        <is>
          <t>unknown</t>
        </is>
      </c>
      <c r="Z491" t="inlineStr"/>
      <c r="AA491" t="inlineStr"/>
      <c r="AB491" t="inlineStr"/>
      <c r="AC491" t="inlineStr"/>
      <c r="AD491" t="inlineStr">
        <is>
          <t>לא נמצא בסריקת המפיצים</t>
        </is>
      </c>
      <c r="AE491" t="inlineStr">
        <is>
          <t>סריקת אתרי מפיצים</t>
        </is>
      </c>
      <c r="AG491" t="inlineStr"/>
      <c r="AH491" t="inlineStr"/>
      <c r="AJ491" t="inlineStr"/>
      <c r="AP491" t="inlineStr">
        <is>
          <t>https://www.quartzy.com/suppliers</t>
        </is>
      </c>
    </row>
    <row r="492">
      <c r="A492" t="n">
        <v>491</v>
      </c>
      <c r="B492" t="inlineStr">
        <is>
          <t>Extech</t>
        </is>
      </c>
      <c r="C492" t="inlineStr">
        <is>
          <t>T</t>
        </is>
      </c>
      <c r="E492" t="inlineStr">
        <is>
          <t>https://www.thomassci.com/browse-by/suppliers/extech</t>
        </is>
      </c>
      <c r="F492" t="inlineStr"/>
      <c r="J492" t="inlineStr"/>
      <c r="Y492" t="inlineStr">
        <is>
          <t>unknown</t>
        </is>
      </c>
      <c r="Z492" t="inlineStr"/>
      <c r="AA492" t="inlineStr"/>
      <c r="AB492" t="inlineStr"/>
      <c r="AC492" t="inlineStr"/>
      <c r="AD492" t="inlineStr">
        <is>
          <t>לא נמצא בסריקת המפיצים</t>
        </is>
      </c>
      <c r="AE492" t="inlineStr">
        <is>
          <t>סריקת אתרי מפיצים</t>
        </is>
      </c>
      <c r="AG492" t="inlineStr"/>
      <c r="AH492" t="inlineStr"/>
      <c r="AJ492" t="inlineStr"/>
      <c r="AP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Y493" t="inlineStr">
        <is>
          <t>unknown</t>
        </is>
      </c>
      <c r="Z493" t="inlineStr"/>
      <c r="AA493" t="inlineStr"/>
      <c r="AB493" t="inlineStr"/>
      <c r="AC493" t="inlineStr"/>
      <c r="AD493" t="inlineStr">
        <is>
          <t>לא נמצא בסריקת המפיצים</t>
        </is>
      </c>
      <c r="AE493" t="inlineStr">
        <is>
          <t>סריקת אתרי מפיצים</t>
        </is>
      </c>
      <c r="AG493" t="inlineStr"/>
      <c r="AH493" t="inlineStr"/>
      <c r="AJ493" t="inlineStr"/>
      <c r="AP493" t="inlineStr">
        <is>
          <t>https://www.thomassci.com/browse-by/suppliers/eyesaline-by-pip-global-safety</t>
        </is>
      </c>
    </row>
    <row r="494">
      <c r="A494" t="n">
        <v>493</v>
      </c>
      <c r="B494" t="inlineStr">
        <is>
          <t>EZ Biosystems</t>
        </is>
      </c>
      <c r="C494" t="inlineStr">
        <is>
          <t>Q+Q+</t>
        </is>
      </c>
      <c r="F494" t="inlineStr">
        <is>
          <t>yes +new</t>
        </is>
      </c>
      <c r="J494" t="inlineStr"/>
      <c r="O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Y494" t="inlineStr">
        <is>
          <t>unknown</t>
        </is>
      </c>
      <c r="Z494" t="inlineStr"/>
      <c r="AA494" t="inlineStr"/>
      <c r="AB494" t="inlineStr"/>
      <c r="AC494" t="inlineStr"/>
      <c r="AD494" t="inlineStr">
        <is>
          <t>לא נמצא בסריקת המפיצים</t>
        </is>
      </c>
      <c r="AE494" t="inlineStr">
        <is>
          <t>סריקת אתרי מפיצים</t>
        </is>
      </c>
      <c r="AG494" t="inlineStr"/>
      <c r="AH494" t="inlineStr"/>
      <c r="AJ494" t="inlineStr"/>
      <c r="AP494" t="inlineStr">
        <is>
          <t>https://www.quartzy.com/suppliers | https://info.quartzy.com/new-suppliers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Y495" t="inlineStr">
        <is>
          <t>unknown</t>
        </is>
      </c>
      <c r="Z495" t="inlineStr"/>
      <c r="AA495" t="inlineStr"/>
      <c r="AB495" t="inlineStr"/>
      <c r="AC495" t="inlineStr"/>
      <c r="AD495" t="inlineStr">
        <is>
          <t>לא נמצא בסריקת המפיצים</t>
        </is>
      </c>
      <c r="AE495" t="inlineStr">
        <is>
          <t>סריקת אתרי מפיצים</t>
        </is>
      </c>
      <c r="AG495" t="inlineStr"/>
      <c r="AH495" t="inlineStr"/>
      <c r="AJ495" t="inlineStr"/>
      <c r="AP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Y496" t="inlineStr">
        <is>
          <t>unknown</t>
        </is>
      </c>
      <c r="Z496" t="inlineStr"/>
      <c r="AA496" t="inlineStr"/>
      <c r="AB496" t="inlineStr"/>
      <c r="AC496" t="inlineStr"/>
      <c r="AD496" t="inlineStr">
        <is>
          <t>לא נמצא בסריקת המפיצים</t>
        </is>
      </c>
      <c r="AE496" t="inlineStr">
        <is>
          <t>סריקת אתרי מפיצים</t>
        </is>
      </c>
      <c r="AG496" t="inlineStr"/>
      <c r="AH496" t="inlineStr"/>
      <c r="AJ496" t="inlineStr"/>
      <c r="AP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J497" t="inlineStr"/>
      <c r="Y497" t="inlineStr">
        <is>
          <t>unknown</t>
        </is>
      </c>
      <c r="Z497" t="inlineStr"/>
      <c r="AA497" t="inlineStr"/>
      <c r="AB497" t="inlineStr"/>
      <c r="AC497" t="inlineStr"/>
      <c r="AD497" t="inlineStr">
        <is>
          <t>לא נמצא בסריקת המפיצים</t>
        </is>
      </c>
      <c r="AE497" t="inlineStr">
        <is>
          <t>סריקת אתרי מפיצים</t>
        </is>
      </c>
      <c r="AG497" t="inlineStr"/>
      <c r="AH497" t="inlineStr"/>
      <c r="AJ497" t="inlineStr"/>
      <c r="AP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t>
        </is>
      </c>
      <c r="J498" t="inlineStr"/>
      <c r="Y498" t="inlineStr">
        <is>
          <t>unknown</t>
        </is>
      </c>
      <c r="Z498" t="inlineStr"/>
      <c r="AA498" t="inlineStr"/>
      <c r="AB498" t="inlineStr"/>
      <c r="AC498" t="inlineStr"/>
      <c r="AD498" t="inlineStr">
        <is>
          <t>לא נמצא בסריקת המפיצים</t>
        </is>
      </c>
      <c r="AE498" t="inlineStr">
        <is>
          <t>סריקת אתרי מפיצים</t>
        </is>
      </c>
      <c r="AG498" t="inlineStr"/>
      <c r="AH498" t="inlineStr"/>
      <c r="AJ498" t="inlineStr"/>
      <c r="AP498" t="inlineStr">
        <is>
          <t>https://www.thomassci.com/browse-by/suppliers/fashion-seal-healthcare</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t>
        </is>
      </c>
      <c r="J499" t="inlineStr"/>
      <c r="Y499" t="inlineStr">
        <is>
          <t>unknown</t>
        </is>
      </c>
      <c r="Z499" t="inlineStr"/>
      <c r="AA499" t="inlineStr"/>
      <c r="AB499" t="inlineStr"/>
      <c r="AC499" t="inlineStr"/>
      <c r="AD499" t="inlineStr">
        <is>
          <t>לא נמצא בסריקת המפיצים</t>
        </is>
      </c>
      <c r="AE499" t="inlineStr">
        <is>
          <t>סריקת אתרי מפיצים</t>
        </is>
      </c>
      <c r="AG499" t="inlineStr"/>
      <c r="AH499" t="inlineStr"/>
      <c r="AJ499" t="inlineStr"/>
      <c r="AP499" t="inlineStr">
        <is>
          <t>https://www.quartzy.com/suppliers | https://www.thomassci.com/browse-by/suppliers/fd-neurotechnologies</t>
        </is>
      </c>
    </row>
    <row r="500">
      <c r="A500" t="n">
        <v>499</v>
      </c>
      <c r="B500" t="inlineStr">
        <is>
          <t>Fendall® by PIP Global Safety</t>
        </is>
      </c>
      <c r="C500" t="inlineStr">
        <is>
          <t>T</t>
        </is>
      </c>
      <c r="E500" t="inlineStr">
        <is>
          <t>https://www.thomassci.com/browse-by/suppliers/fendall-by-pip-global-safety</t>
        </is>
      </c>
      <c r="F500" t="inlineStr"/>
      <c r="J500" t="inlineStr"/>
      <c r="Y500" t="inlineStr">
        <is>
          <t>unknown</t>
        </is>
      </c>
      <c r="Z500" t="inlineStr"/>
      <c r="AA500" t="inlineStr"/>
      <c r="AB500" t="inlineStr"/>
      <c r="AC500" t="inlineStr"/>
      <c r="AD500" t="inlineStr">
        <is>
          <t>לא נמצא בסריקת המפיצים</t>
        </is>
      </c>
      <c r="AE500" t="inlineStr">
        <is>
          <t>סריקת אתרי מפיצים</t>
        </is>
      </c>
      <c r="AG500" t="inlineStr"/>
      <c r="AH500" t="inlineStr"/>
      <c r="AJ500" t="inlineStr"/>
      <c r="AP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t>
        </is>
      </c>
      <c r="J501" t="inlineStr"/>
      <c r="Y501" t="inlineStr">
        <is>
          <t>unknown</t>
        </is>
      </c>
      <c r="Z501" t="inlineStr"/>
      <c r="AA501" t="inlineStr"/>
      <c r="AB501" t="inlineStr"/>
      <c r="AC501" t="inlineStr"/>
      <c r="AD501" t="inlineStr">
        <is>
          <t>לא נמצא בסריקת המפיצים</t>
        </is>
      </c>
      <c r="AE501" t="inlineStr">
        <is>
          <t>סריקת אתרי מפיצים</t>
        </is>
      </c>
      <c r="AG501" t="inlineStr"/>
      <c r="AH501" t="inlineStr"/>
      <c r="AJ501" t="inlineStr"/>
      <c r="AP501" t="inlineStr">
        <is>
          <t>https://www.thomassci.com/browse-by/suppliers/fg-clean-wipes</t>
        </is>
      </c>
    </row>
    <row r="502">
      <c r="A502" t="n">
        <v>501</v>
      </c>
      <c r="B502" t="inlineStr">
        <is>
          <t>Filtrous Corp.</t>
        </is>
      </c>
      <c r="C502" t="inlineStr">
        <is>
          <t>T+Q+Q+</t>
        </is>
      </c>
      <c r="E502" t="inlineStr">
        <is>
          <t>https://www.thomassci.com/browse-by/suppliers/filtrous-corp-</t>
        </is>
      </c>
      <c r="F502" t="inlineStr">
        <is>
          <t>yes +new</t>
        </is>
      </c>
      <c r="J502" t="inlineStr"/>
      <c r="O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Y502" t="inlineStr">
        <is>
          <t>unknown</t>
        </is>
      </c>
      <c r="Z502" t="inlineStr"/>
      <c r="AA502" t="inlineStr"/>
      <c r="AB502" t="inlineStr"/>
      <c r="AC502" t="inlineStr"/>
      <c r="AD502" t="inlineStr">
        <is>
          <t>לא נמצא בסריקת המפיצים</t>
        </is>
      </c>
      <c r="AE502" t="inlineStr">
        <is>
          <t>סריקת אתרי מפיצים</t>
        </is>
      </c>
      <c r="AG502" t="inlineStr"/>
      <c r="AH502" t="inlineStr"/>
      <c r="AJ502" t="inlineStr"/>
      <c r="AP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t>
        </is>
      </c>
      <c r="J503" t="inlineStr"/>
      <c r="Y503" t="inlineStr">
        <is>
          <t>unknown</t>
        </is>
      </c>
      <c r="Z503" t="inlineStr"/>
      <c r="AA503" t="inlineStr"/>
      <c r="AB503" t="inlineStr"/>
      <c r="AC503" t="inlineStr"/>
      <c r="AD503" t="inlineStr">
        <is>
          <t>לא נמצא בסריקת המפיצים</t>
        </is>
      </c>
      <c r="AE503" t="inlineStr">
        <is>
          <t>סריקת אתרי מפיצים</t>
        </is>
      </c>
      <c r="AG503" t="inlineStr"/>
      <c r="AH503" t="inlineStr"/>
      <c r="AJ503" t="inlineStr"/>
      <c r="AP503" t="inlineStr">
        <is>
          <t>https://www.quartzy.com/suppliers</t>
        </is>
      </c>
    </row>
    <row r="504">
      <c r="A504" t="n">
        <v>503</v>
      </c>
      <c r="B504" t="inlineStr">
        <is>
          <t>Finnpipette</t>
        </is>
      </c>
      <c r="C504" t="inlineStr">
        <is>
          <t>T</t>
        </is>
      </c>
      <c r="E504" t="inlineStr">
        <is>
          <t>https://www.thomassci.com/browse-by/suppliers/finnpipette</t>
        </is>
      </c>
      <c r="F504" t="inlineStr"/>
      <c r="J504" t="inlineStr"/>
      <c r="Y504" t="inlineStr">
        <is>
          <t>unknown</t>
        </is>
      </c>
      <c r="Z504" t="inlineStr"/>
      <c r="AA504" t="inlineStr"/>
      <c r="AB504" t="inlineStr"/>
      <c r="AC504" t="inlineStr"/>
      <c r="AD504" t="inlineStr">
        <is>
          <t>לא נמצא בסריקת המפיצים</t>
        </is>
      </c>
      <c r="AE504" t="inlineStr">
        <is>
          <t>סריקת אתרי מפיצים</t>
        </is>
      </c>
      <c r="AG504" t="inlineStr"/>
      <c r="AH504" t="inlineStr"/>
      <c r="AJ504" t="inlineStr"/>
      <c r="AP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Y505" t="inlineStr">
        <is>
          <t>unknown</t>
        </is>
      </c>
      <c r="Z505" t="inlineStr"/>
      <c r="AA505" t="inlineStr"/>
      <c r="AB505" t="inlineStr"/>
      <c r="AC505" t="inlineStr"/>
      <c r="AD505" t="inlineStr">
        <is>
          <t>לא נמצא בסריקת המפיצים</t>
        </is>
      </c>
      <c r="AE505" t="inlineStr">
        <is>
          <t>סריקת אתרי מפיצים</t>
        </is>
      </c>
      <c r="AG505" t="inlineStr"/>
      <c r="AH505" t="inlineStr"/>
      <c r="AJ505" t="inlineStr"/>
      <c r="AP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t>
        </is>
      </c>
      <c r="J506" t="inlineStr"/>
      <c r="O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Y506" t="inlineStr">
        <is>
          <t>unknown</t>
        </is>
      </c>
      <c r="Z506" t="inlineStr"/>
      <c r="AA506" t="inlineStr"/>
      <c r="AB506" t="inlineStr"/>
      <c r="AC506" t="inlineStr"/>
      <c r="AD506" t="inlineStr">
        <is>
          <t>לא נמצא בסריקת המפיצים</t>
        </is>
      </c>
      <c r="AE506" t="inlineStr">
        <is>
          <t>סריקת אתרי מפיצים</t>
        </is>
      </c>
      <c r="AG506" t="inlineStr"/>
      <c r="AH506" t="inlineStr"/>
      <c r="AJ506" t="inlineStr"/>
      <c r="AP506" t="inlineStr">
        <is>
          <t>https://www.quartzy.com/suppliers | https://info.quartzy.com/new-suppliers | https://www.thomassci.com/browse-by/suppliers/fischer-technical</t>
        </is>
      </c>
    </row>
    <row r="507">
      <c r="A507" t="n">
        <v>506</v>
      </c>
      <c r="B507" t="inlineStr">
        <is>
          <t>FLIR</t>
        </is>
      </c>
      <c r="C507" t="inlineStr">
        <is>
          <t>T</t>
        </is>
      </c>
      <c r="E507" t="inlineStr">
        <is>
          <t>https://www.thomassci.com/browse-by/suppliers/flir</t>
        </is>
      </c>
      <c r="F507" t="inlineStr"/>
      <c r="J507" t="inlineStr"/>
      <c r="Y507" t="inlineStr">
        <is>
          <t>unknown</t>
        </is>
      </c>
      <c r="Z507" t="inlineStr"/>
      <c r="AA507" t="inlineStr"/>
      <c r="AB507" t="inlineStr"/>
      <c r="AC507" t="inlineStr"/>
      <c r="AD507" t="inlineStr">
        <is>
          <t>לא נמצא בסריקת המפיצים</t>
        </is>
      </c>
      <c r="AE507" t="inlineStr">
        <is>
          <t>סריקת אתרי מפיצים</t>
        </is>
      </c>
      <c r="AG507" t="inlineStr"/>
      <c r="AH507" t="inlineStr"/>
      <c r="AJ507" t="inlineStr"/>
      <c r="AP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Y508" t="inlineStr">
        <is>
          <t>unknown</t>
        </is>
      </c>
      <c r="Z508" t="inlineStr"/>
      <c r="AA508" t="inlineStr"/>
      <c r="AB508" t="inlineStr"/>
      <c r="AC508" t="inlineStr"/>
      <c r="AD508" t="inlineStr">
        <is>
          <t>לא נמצא בסריקת המפיצים</t>
        </is>
      </c>
      <c r="AE508" t="inlineStr">
        <is>
          <t>סריקת אתרי מפיצים</t>
        </is>
      </c>
      <c r="AG508" t="inlineStr"/>
      <c r="AH508" t="inlineStr"/>
      <c r="AJ508" t="inlineStr"/>
      <c r="AP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t>
        </is>
      </c>
      <c r="J509" t="inlineStr"/>
      <c r="Y509" t="inlineStr">
        <is>
          <t>unknown</t>
        </is>
      </c>
      <c r="Z509" t="inlineStr"/>
      <c r="AA509" t="inlineStr"/>
      <c r="AB509" t="inlineStr"/>
      <c r="AC509" t="inlineStr"/>
      <c r="AD509" t="inlineStr">
        <is>
          <t>לא נמצא בסריקת המפיצים</t>
        </is>
      </c>
      <c r="AE509" t="inlineStr">
        <is>
          <t>סריקת אתרי מפיצים</t>
        </is>
      </c>
      <c r="AG509" t="inlineStr"/>
      <c r="AH509" t="inlineStr"/>
      <c r="AJ509" t="inlineStr"/>
      <c r="AP509" t="inlineStr">
        <is>
          <t>https://www.quartzy.com/suppliers</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t>
        </is>
      </c>
      <c r="J510" t="inlineStr"/>
      <c r="Y510" t="inlineStr">
        <is>
          <t>unknown</t>
        </is>
      </c>
      <c r="Z510" t="inlineStr"/>
      <c r="AA510" t="inlineStr"/>
      <c r="AB510" t="inlineStr"/>
      <c r="AC510" t="inlineStr"/>
      <c r="AD510" t="inlineStr">
        <is>
          <t>לא נמצא בסריקת המפיצים</t>
        </is>
      </c>
      <c r="AE510" t="inlineStr">
        <is>
          <t>סריקת אתרי מפיצים</t>
        </is>
      </c>
      <c r="AG510" t="inlineStr"/>
      <c r="AH510" t="inlineStr"/>
      <c r="AJ510" t="inlineStr"/>
      <c r="AP510" t="inlineStr">
        <is>
          <t>https://www.thomassci.com/browse-by/suppliers/foamtec-international</t>
        </is>
      </c>
    </row>
    <row r="511">
      <c r="A511" t="n">
        <v>510</v>
      </c>
      <c r="B511" t="inlineStr">
        <is>
          <t>Follett Scientific</t>
        </is>
      </c>
      <c r="C511" t="inlineStr">
        <is>
          <t>Q</t>
        </is>
      </c>
      <c r="F511" t="inlineStr">
        <is>
          <t>yes</t>
        </is>
      </c>
      <c r="J511" t="inlineStr"/>
      <c r="Y511" t="inlineStr">
        <is>
          <t>unknown</t>
        </is>
      </c>
      <c r="Z511" t="inlineStr"/>
      <c r="AA511" t="inlineStr"/>
      <c r="AB511" t="inlineStr"/>
      <c r="AC511" t="inlineStr"/>
      <c r="AD511" t="inlineStr">
        <is>
          <t>לא נמצא בסריקת המפיצים</t>
        </is>
      </c>
      <c r="AE511" t="inlineStr">
        <is>
          <t>סריקת אתרי מפיצים</t>
        </is>
      </c>
      <c r="AG511" t="inlineStr"/>
      <c r="AH511" t="inlineStr"/>
      <c r="AJ511" t="inlineStr"/>
      <c r="AP511" t="inlineStr">
        <is>
          <t>https://www.quartzy.com/suppliers</t>
        </is>
      </c>
    </row>
    <row r="512">
      <c r="A512" t="n">
        <v>511</v>
      </c>
      <c r="B512" t="inlineStr">
        <is>
          <t>Foxx</t>
        </is>
      </c>
      <c r="C512" t="inlineStr">
        <is>
          <t>D</t>
        </is>
      </c>
      <c r="D512" t="inlineStr">
        <is>
          <t>https://www.dutscher.com/search?initialFilters=brand:Foxx</t>
        </is>
      </c>
      <c r="F512" t="inlineStr"/>
      <c r="J512" t="inlineStr"/>
      <c r="Y512" t="inlineStr">
        <is>
          <t>unknown</t>
        </is>
      </c>
      <c r="Z512" t="inlineStr"/>
      <c r="AA512" t="inlineStr"/>
      <c r="AB512" t="inlineStr"/>
      <c r="AC512" t="inlineStr"/>
      <c r="AD512" t="inlineStr">
        <is>
          <t>לא נמצא בסריקת המפיצים</t>
        </is>
      </c>
      <c r="AE512" t="inlineStr">
        <is>
          <t>סריקת אתרי מפיצים</t>
        </is>
      </c>
      <c r="AG512" t="inlineStr"/>
      <c r="AH512" t="inlineStr"/>
      <c r="AJ512" t="inlineStr"/>
      <c r="AP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t>
        </is>
      </c>
      <c r="J513" t="inlineStr"/>
      <c r="Y513" t="inlineStr">
        <is>
          <t>unknown</t>
        </is>
      </c>
      <c r="Z513" t="inlineStr"/>
      <c r="AA513" t="inlineStr"/>
      <c r="AB513" t="inlineStr"/>
      <c r="AC513" t="inlineStr"/>
      <c r="AD513" t="inlineStr">
        <is>
          <t>לא נמצא בסריקת המפיצים</t>
        </is>
      </c>
      <c r="AE513" t="inlineStr">
        <is>
          <t>סריקת אתרי מפיצים</t>
        </is>
      </c>
      <c r="AG513" t="inlineStr"/>
      <c r="AH513" t="inlineStr"/>
      <c r="AJ513" t="inlineStr"/>
      <c r="AP513" t="inlineStr">
        <is>
          <t>https://www.quartzy.com/suppliers | https://www.thomassci.com/browse-by/suppliers/foxx-life-sciences</t>
        </is>
      </c>
    </row>
    <row r="514">
      <c r="A514" t="n">
        <v>513</v>
      </c>
      <c r="B514" t="inlineStr">
        <is>
          <t>Franklab</t>
        </is>
      </c>
      <c r="C514" t="inlineStr">
        <is>
          <t>D</t>
        </is>
      </c>
      <c r="D514" t="inlineStr">
        <is>
          <t>https://www.dutscher.com/search?initialFilters=brand:Franklab</t>
        </is>
      </c>
      <c r="F514" t="inlineStr"/>
      <c r="H514" t="inlineStr">
        <is>
          <t>https://franklab.com</t>
        </is>
      </c>
      <c r="I514" t="inlineStr">
        <is>
          <t>clearbit</t>
        </is>
      </c>
      <c r="J514" t="inlineStr">
        <is>
          <t>צרפת</t>
        </is>
      </c>
      <c r="Y514" t="inlineStr">
        <is>
          <t>unknown</t>
        </is>
      </c>
      <c r="Z514" t="inlineStr"/>
      <c r="AA514" t="inlineStr"/>
      <c r="AB514" t="inlineStr"/>
      <c r="AC514" t="inlineStr"/>
      <c r="AD514" t="inlineStr">
        <is>
          <t>לא נמצא בסריקת המפיצים</t>
        </is>
      </c>
      <c r="AE514" t="inlineStr">
        <is>
          <t>סריקת אתרי מפיצים</t>
        </is>
      </c>
      <c r="AG514" t="inlineStr"/>
      <c r="AH514" t="inlineStr"/>
      <c r="AJ514" t="inlineStr"/>
      <c r="AO514" t="inlineStr">
        <is>
          <t>Q126875135</t>
        </is>
      </c>
      <c r="AP514" t="inlineStr">
        <is>
          <t>https://www.dutscher.com/search?initialFilters=brand:Franklab | https://www.wikidata.org/wiki/Q126875135</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O515" t="inlineStr">
        <is>
          <t>Manufacturing company</t>
        </is>
      </c>
      <c r="Y515" t="inlineStr">
        <is>
          <t>unknown</t>
        </is>
      </c>
      <c r="Z515" t="inlineStr"/>
      <c r="AA515" t="inlineStr"/>
      <c r="AB515" t="inlineStr"/>
      <c r="AC515" t="inlineStr"/>
      <c r="AD515" t="inlineStr">
        <is>
          <t>לא נמצא בסריקת המפיצים</t>
        </is>
      </c>
      <c r="AE515" t="inlineStr">
        <is>
          <t>סריקת אתרי מפיצים</t>
        </is>
      </c>
      <c r="AG515" t="inlineStr"/>
      <c r="AH515" t="inlineStr"/>
      <c r="AJ515" t="inlineStr"/>
      <c r="AL515" t="inlineStr">
        <is>
          <t>Fort Wayne</t>
        </is>
      </c>
      <c r="AO515" t="inlineStr">
        <is>
          <t>Q5491478</t>
        </is>
      </c>
      <c r="AP515" t="inlineStr">
        <is>
          <t>https://www.thomassci.com/browse-by/suppliers/franklin-electric | https://www.wikidata.org/wiki/Q5491478</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t>
        </is>
      </c>
      <c r="J516" t="inlineStr"/>
      <c r="Y516" t="inlineStr">
        <is>
          <t>unknown</t>
        </is>
      </c>
      <c r="Z516" t="inlineStr"/>
      <c r="AA516" t="inlineStr"/>
      <c r="AB516" t="inlineStr"/>
      <c r="AC516" t="inlineStr"/>
      <c r="AD516" t="inlineStr">
        <is>
          <t>לא נמצא בסריקת המפיצים</t>
        </is>
      </c>
      <c r="AE516" t="inlineStr">
        <is>
          <t>סריקת אתרי מפיצים</t>
        </is>
      </c>
      <c r="AG516" t="inlineStr"/>
      <c r="AH516" t="inlineStr"/>
      <c r="AJ516" t="inlineStr"/>
      <c r="AP516" t="inlineStr">
        <is>
          <t>https://www.thomassci.com/browse-by/suppliers/freudenberg-medical</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t>
        </is>
      </c>
      <c r="J517" t="inlineStr"/>
      <c r="Y517" t="inlineStr">
        <is>
          <t>unknown</t>
        </is>
      </c>
      <c r="Z517" t="inlineStr"/>
      <c r="AA517" t="inlineStr"/>
      <c r="AB517" t="inlineStr"/>
      <c r="AC517" t="inlineStr"/>
      <c r="AD517" t="inlineStr">
        <is>
          <t>לא נמצא בסריקת המפיצים</t>
        </is>
      </c>
      <c r="AE517" t="inlineStr">
        <is>
          <t>סריקת אתרי מפיצים</t>
        </is>
      </c>
      <c r="AG517" t="inlineStr"/>
      <c r="AH517" t="inlineStr"/>
      <c r="AJ517" t="inlineStr"/>
      <c r="AP517" t="inlineStr">
        <is>
          <t>https://www.dutscher.com/search?initialFilters=brand:Fritsch</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t>
        </is>
      </c>
      <c r="J518" t="inlineStr"/>
      <c r="Y518" t="inlineStr">
        <is>
          <t>unknown</t>
        </is>
      </c>
      <c r="Z518" t="inlineStr"/>
      <c r="AA518" t="inlineStr"/>
      <c r="AB518" t="inlineStr"/>
      <c r="AC518" t="inlineStr"/>
      <c r="AD518" t="inlineStr">
        <is>
          <t>לא נמצא בסריקת המפיצים</t>
        </is>
      </c>
      <c r="AE518" t="inlineStr">
        <is>
          <t>סריקת אתרי מפיצים</t>
        </is>
      </c>
      <c r="AG518" t="inlineStr"/>
      <c r="AH518" t="inlineStr"/>
      <c r="AJ518" t="inlineStr"/>
      <c r="AP518" t="inlineStr">
        <is>
          <t>https://www.quartzy.com/suppliers | https://www.thomassci.com/browse-by/suppliers/froggabio</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t>
        </is>
      </c>
      <c r="J519" t="inlineStr"/>
      <c r="Y519" t="inlineStr">
        <is>
          <t>unknown</t>
        </is>
      </c>
      <c r="Z519" t="inlineStr"/>
      <c r="AA519" t="inlineStr"/>
      <c r="AB519" t="inlineStr"/>
      <c r="AC519" t="inlineStr"/>
      <c r="AD519" t="inlineStr">
        <is>
          <t>לא נמצא בסריקת המפיצים</t>
        </is>
      </c>
      <c r="AE519" t="inlineStr">
        <is>
          <t>סריקת אתרי מפיצים</t>
        </is>
      </c>
      <c r="AG519" t="inlineStr"/>
      <c r="AH519" t="inlineStr"/>
      <c r="AJ519" t="inlineStr"/>
      <c r="AP519" t="inlineStr">
        <is>
          <t>https://www.dutscher.com/search?initialFilters=brand:Froilabo</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t>
        </is>
      </c>
      <c r="J520" t="inlineStr"/>
      <c r="Y520" t="inlineStr">
        <is>
          <t>unknown</t>
        </is>
      </c>
      <c r="Z520" t="inlineStr"/>
      <c r="AA520" t="inlineStr"/>
      <c r="AB520" t="inlineStr"/>
      <c r="AC520" t="inlineStr"/>
      <c r="AD520" t="inlineStr">
        <is>
          <t>לא נמצא בסריקת המפיצים</t>
        </is>
      </c>
      <c r="AE520" t="inlineStr">
        <is>
          <t>סריקת אתרי מפיצים</t>
        </is>
      </c>
      <c r="AG520" t="inlineStr"/>
      <c r="AH520" t="inlineStr"/>
      <c r="AJ520" t="inlineStr"/>
      <c r="AP520" t="inlineStr">
        <is>
          <t>https://www.thomassci.com/browse-by/suppliers/frontier-scientific</t>
        </is>
      </c>
    </row>
    <row r="521">
      <c r="A521" t="n">
        <v>520</v>
      </c>
      <c r="B521" t="inlineStr">
        <is>
          <t>Fruth Custom Plastics</t>
        </is>
      </c>
      <c r="C521" t="inlineStr">
        <is>
          <t>T</t>
        </is>
      </c>
      <c r="E521" t="inlineStr">
        <is>
          <t>https://www.thomassci.com/browse-by/suppliers/fruth-plastics</t>
        </is>
      </c>
      <c r="F521" t="inlineStr"/>
      <c r="J521" t="inlineStr"/>
      <c r="Y521" t="inlineStr">
        <is>
          <t>unknown</t>
        </is>
      </c>
      <c r="Z521" t="inlineStr"/>
      <c r="AA521" t="inlineStr"/>
      <c r="AB521" t="inlineStr"/>
      <c r="AC521" t="inlineStr"/>
      <c r="AD521" t="inlineStr">
        <is>
          <t>לא נמצא בסריקת המפיצים</t>
        </is>
      </c>
      <c r="AE521" t="inlineStr">
        <is>
          <t>סריקת אתרי מפיצים</t>
        </is>
      </c>
      <c r="AG521" t="inlineStr"/>
      <c r="AH521" t="inlineStr"/>
      <c r="AJ521" t="inlineStr"/>
      <c r="AP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Y522" t="inlineStr">
        <is>
          <t>unknown</t>
        </is>
      </c>
      <c r="Z522" t="inlineStr"/>
      <c r="AA522" t="inlineStr"/>
      <c r="AB522" t="inlineStr"/>
      <c r="AC522" t="inlineStr"/>
      <c r="AD522" t="inlineStr">
        <is>
          <t>לא נמצא בסריקת המפיצים</t>
        </is>
      </c>
      <c r="AE522" t="inlineStr">
        <is>
          <t>סריקת אתרי מפיצים</t>
        </is>
      </c>
      <c r="AG522" t="inlineStr"/>
      <c r="AH522" t="inlineStr"/>
      <c r="AJ522" t="inlineStr"/>
      <c r="AP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t>
        </is>
      </c>
      <c r="J523" t="inlineStr"/>
      <c r="Y523" t="inlineStr">
        <is>
          <t>unknown</t>
        </is>
      </c>
      <c r="Z523" t="inlineStr"/>
      <c r="AA523" t="inlineStr"/>
      <c r="AB523" t="inlineStr"/>
      <c r="AC523" t="inlineStr"/>
      <c r="AD523" t="inlineStr">
        <is>
          <t>לא נמצא בסריקת המפיצים</t>
        </is>
      </c>
      <c r="AE523" t="inlineStr">
        <is>
          <t>סריקת אתרי מפיצים</t>
        </is>
      </c>
      <c r="AG523" t="inlineStr"/>
      <c r="AH523" t="inlineStr"/>
      <c r="AJ523" t="inlineStr"/>
      <c r="AP523" t="inlineStr">
        <is>
          <t>https://www.thomassci.com/browse-by/suppliers/fugene</t>
        </is>
      </c>
    </row>
    <row r="524">
      <c r="A524" t="n">
        <v>523</v>
      </c>
      <c r="B524" t="inlineStr">
        <is>
          <t>FujiFilm Biosciences</t>
        </is>
      </c>
      <c r="C524" t="inlineStr">
        <is>
          <t>T</t>
        </is>
      </c>
      <c r="E524" t="inlineStr">
        <is>
          <t>https://www.thomassci.com/browse-by/suppliers/fujifilm</t>
        </is>
      </c>
      <c r="F524" t="inlineStr"/>
      <c r="J524" t="inlineStr"/>
      <c r="Y524" t="inlineStr">
        <is>
          <t>unknown</t>
        </is>
      </c>
      <c r="Z524" t="inlineStr"/>
      <c r="AA524" t="inlineStr"/>
      <c r="AB524" t="inlineStr"/>
      <c r="AC524" t="inlineStr"/>
      <c r="AD524" t="inlineStr">
        <is>
          <t>לא נמצא בסריקת המפיצים</t>
        </is>
      </c>
      <c r="AE524" t="inlineStr">
        <is>
          <t>סריקת אתרי מפיצים</t>
        </is>
      </c>
      <c r="AG524" t="inlineStr"/>
      <c r="AH524" t="inlineStr"/>
      <c r="AJ524" t="inlineStr"/>
      <c r="AP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t>
        </is>
      </c>
      <c r="J525" t="inlineStr"/>
      <c r="Y525" t="inlineStr">
        <is>
          <t>unknown</t>
        </is>
      </c>
      <c r="Z525" t="inlineStr"/>
      <c r="AA525" t="inlineStr"/>
      <c r="AB525" t="inlineStr"/>
      <c r="AC525" t="inlineStr"/>
      <c r="AD525" t="inlineStr">
        <is>
          <t>לא נמצא בסריקת המפיצים</t>
        </is>
      </c>
      <c r="AE525" t="inlineStr">
        <is>
          <t>סריקת אתרי מפיצים</t>
        </is>
      </c>
      <c r="AG525" t="inlineStr"/>
      <c r="AH525" t="inlineStr"/>
      <c r="AJ525" t="inlineStr"/>
      <c r="AP525" t="inlineStr">
        <is>
          <t>https://www.thomassci.com/browse-by/suppliers/fytertech-nonwovens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Y526" t="inlineStr">
        <is>
          <t>unknown</t>
        </is>
      </c>
      <c r="Z526" t="inlineStr"/>
      <c r="AA526" t="inlineStr"/>
      <c r="AB526" t="inlineStr"/>
      <c r="AC526" t="inlineStr"/>
      <c r="AD526" t="inlineStr">
        <is>
          <t>לא נמצא בסריקת המפיצים</t>
        </is>
      </c>
      <c r="AE526" t="inlineStr">
        <is>
          <t>סריקת אתרי מפיצים</t>
        </is>
      </c>
      <c r="AG526" t="inlineStr"/>
      <c r="AH526" t="inlineStr"/>
      <c r="AJ526" t="inlineStr"/>
      <c r="AP526" t="inlineStr">
        <is>
          <t>https://www.quartzy.com/suppliers | https://www.thomassci.com/browse-by/suppliers/g-biosciences</t>
        </is>
      </c>
    </row>
    <row r="527">
      <c r="A527" t="n">
        <v>526</v>
      </c>
      <c r="B527" t="inlineStr">
        <is>
          <t>G C Fuller</t>
        </is>
      </c>
      <c r="C527" t="inlineStr">
        <is>
          <t>T</t>
        </is>
      </c>
      <c r="E527" t="inlineStr">
        <is>
          <t>https://www.thomassci.com/browse-by/suppliers/g-c-fuller</t>
        </is>
      </c>
      <c r="F527" t="inlineStr"/>
      <c r="J527" t="inlineStr"/>
      <c r="Y527" t="inlineStr">
        <is>
          <t>unknown</t>
        </is>
      </c>
      <c r="Z527" t="inlineStr"/>
      <c r="AA527" t="inlineStr"/>
      <c r="AB527" t="inlineStr"/>
      <c r="AC527" t="inlineStr"/>
      <c r="AD527" t="inlineStr">
        <is>
          <t>לא נמצא בסריקת המפיצים</t>
        </is>
      </c>
      <c r="AE527" t="inlineStr">
        <is>
          <t>סריקת אתרי מפיצים</t>
        </is>
      </c>
      <c r="AG527" t="inlineStr"/>
      <c r="AH527" t="inlineStr"/>
      <c r="AJ527" t="inlineStr"/>
      <c r="AP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Y528" t="inlineStr">
        <is>
          <t>unknown</t>
        </is>
      </c>
      <c r="Z528" t="inlineStr"/>
      <c r="AA528" t="inlineStr"/>
      <c r="AB528" t="inlineStr"/>
      <c r="AC528" t="inlineStr"/>
      <c r="AD528" t="inlineStr">
        <is>
          <t>לא נמצא בסריקת המפיצים</t>
        </is>
      </c>
      <c r="AE528" t="inlineStr">
        <is>
          <t>סריקת אתרי מפיצים</t>
        </is>
      </c>
      <c r="AG528" t="inlineStr"/>
      <c r="AH528" t="inlineStr"/>
      <c r="AJ528" t="inlineStr"/>
      <c r="AP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t>
        </is>
      </c>
      <c r="J529" t="inlineStr"/>
      <c r="Y529" t="inlineStr">
        <is>
          <t>unknown</t>
        </is>
      </c>
      <c r="Z529" t="inlineStr"/>
      <c r="AA529" t="inlineStr"/>
      <c r="AB529" t="inlineStr"/>
      <c r="AC529" t="inlineStr"/>
      <c r="AD529" t="inlineStr">
        <is>
          <t>לא נמצא בסריקת המפיצים</t>
        </is>
      </c>
      <c r="AE529" t="inlineStr">
        <is>
          <t>סריקת אתרי מפיצים</t>
        </is>
      </c>
      <c r="AG529" t="inlineStr"/>
      <c r="AH529" t="inlineStr"/>
      <c r="AJ529" t="inlineStr"/>
      <c r="AP529" t="inlineStr">
        <is>
          <t>https://www.quartzy.com/suppliers | https://www.thomassci.com/browse-by/suppliers/ga-international</t>
        </is>
      </c>
    </row>
    <row r="530">
      <c r="A530" t="n">
        <v>529</v>
      </c>
      <c r="B530" t="inlineStr">
        <is>
          <t>Gagne</t>
        </is>
      </c>
      <c r="C530" t="inlineStr">
        <is>
          <t>T</t>
        </is>
      </c>
      <c r="E530" t="inlineStr">
        <is>
          <t>https://www.thomassci.com/browse-by/suppliers/gagne</t>
        </is>
      </c>
      <c r="F530" t="inlineStr"/>
      <c r="H530" t="inlineStr">
        <is>
          <t>https://gagneinc.com</t>
        </is>
      </c>
      <c r="I530" t="inlineStr">
        <is>
          <t>clearbit</t>
        </is>
      </c>
      <c r="J530" t="inlineStr"/>
      <c r="Y530" t="inlineStr">
        <is>
          <t>unknown</t>
        </is>
      </c>
      <c r="Z530" t="inlineStr"/>
      <c r="AA530" t="inlineStr"/>
      <c r="AB530" t="inlineStr"/>
      <c r="AC530" t="inlineStr"/>
      <c r="AD530" t="inlineStr">
        <is>
          <t>לא נמצא בסריקת המפיצים</t>
        </is>
      </c>
      <c r="AE530" t="inlineStr">
        <is>
          <t>סריקת אתרי מפיצים</t>
        </is>
      </c>
      <c r="AG530" t="inlineStr"/>
      <c r="AH530" t="inlineStr"/>
      <c r="AJ530" t="inlineStr"/>
      <c r="AP530" t="inlineStr">
        <is>
          <t>https://www.thomassci.com/browse-by/suppliers/gagne</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t>
        </is>
      </c>
      <c r="J531" t="inlineStr"/>
      <c r="Y531" t="inlineStr">
        <is>
          <t>unknown</t>
        </is>
      </c>
      <c r="Z531" t="inlineStr"/>
      <c r="AA531" t="inlineStr"/>
      <c r="AB531" t="inlineStr"/>
      <c r="AC531" t="inlineStr"/>
      <c r="AD531" t="inlineStr">
        <is>
          <t>לא נמצא בסריקת המפיצים</t>
        </is>
      </c>
      <c r="AE531" t="inlineStr">
        <is>
          <t>סריקת אתרי מפיצים</t>
        </is>
      </c>
      <c r="AG531" t="inlineStr"/>
      <c r="AH531" t="inlineStr"/>
      <c r="AJ531" t="inlineStr"/>
      <c r="AP531" t="inlineStr">
        <is>
          <t>https://www.thomassci.com/browse-by/suppliers/gardner-bender</t>
        </is>
      </c>
    </row>
    <row r="532">
      <c r="A532" t="n">
        <v>531</v>
      </c>
      <c r="B532" t="inlineStr">
        <is>
          <t>Gast</t>
        </is>
      </c>
      <c r="C532" t="inlineStr">
        <is>
          <t>T</t>
        </is>
      </c>
      <c r="E532" t="inlineStr">
        <is>
          <t>https://www.thomassci.com/browse-by/suppliers/gast</t>
        </is>
      </c>
      <c r="F532" t="inlineStr"/>
      <c r="J532" t="inlineStr"/>
      <c r="Y532" t="inlineStr">
        <is>
          <t>unknown</t>
        </is>
      </c>
      <c r="Z532" t="inlineStr"/>
      <c r="AA532" t="inlineStr"/>
      <c r="AB532" t="inlineStr"/>
      <c r="AC532" t="inlineStr"/>
      <c r="AD532" t="inlineStr">
        <is>
          <t>לא נמצא בסריקת המפיצים</t>
        </is>
      </c>
      <c r="AE532" t="inlineStr">
        <is>
          <t>סריקת אתרי מפיצים</t>
        </is>
      </c>
      <c r="AG532" t="inlineStr"/>
      <c r="AH532" t="inlineStr"/>
      <c r="AJ532" t="inlineStr"/>
      <c r="AP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t>
        </is>
      </c>
      <c r="J533" t="inlineStr"/>
      <c r="Y533" t="inlineStr">
        <is>
          <t>unknown</t>
        </is>
      </c>
      <c r="Z533" t="inlineStr"/>
      <c r="AA533" t="inlineStr"/>
      <c r="AB533" t="inlineStr"/>
      <c r="AC533" t="inlineStr"/>
      <c r="AD533" t="inlineStr">
        <is>
          <t>לא נמצא בסריקת המפיצים</t>
        </is>
      </c>
      <c r="AE533" t="inlineStr">
        <is>
          <t>סריקת אתרי מפיצים</t>
        </is>
      </c>
      <c r="AG533" t="inlineStr"/>
      <c r="AH533" t="inlineStr"/>
      <c r="AJ533" t="inlineStr"/>
      <c r="AP533" t="inlineStr">
        <is>
          <t>https://www.thomassci.com/browse-by/suppliers/gate-scientific</t>
        </is>
      </c>
    </row>
    <row r="534">
      <c r="A534" t="n">
        <v>533</v>
      </c>
      <c r="B534" t="inlineStr">
        <is>
          <t>Gawet Marble &amp; Granite</t>
        </is>
      </c>
      <c r="C534" t="inlineStr">
        <is>
          <t>T</t>
        </is>
      </c>
      <c r="E534" t="inlineStr">
        <is>
          <t>https://www.thomassci.com/browse-by/suppliers/gawet-marble-and-granite</t>
        </is>
      </c>
      <c r="F534" t="inlineStr"/>
      <c r="H534" t="inlineStr">
        <is>
          <t>https://gawetmarble.com</t>
        </is>
      </c>
      <c r="I534" t="inlineStr">
        <is>
          <t>clearbit</t>
        </is>
      </c>
      <c r="J534" t="inlineStr"/>
      <c r="Y534" t="inlineStr">
        <is>
          <t>unknown</t>
        </is>
      </c>
      <c r="Z534" t="inlineStr"/>
      <c r="AA534" t="inlineStr"/>
      <c r="AB534" t="inlineStr"/>
      <c r="AC534" t="inlineStr"/>
      <c r="AD534" t="inlineStr">
        <is>
          <t>לא נמצא בסריקת המפיצים</t>
        </is>
      </c>
      <c r="AE534" t="inlineStr">
        <is>
          <t>סריקת אתרי מפיצים</t>
        </is>
      </c>
      <c r="AG534" t="inlineStr"/>
      <c r="AH534" t="inlineStr"/>
      <c r="AJ534" t="inlineStr"/>
      <c r="AP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t>
        </is>
      </c>
      <c r="J535" t="inlineStr"/>
      <c r="Y535" t="inlineStr">
        <is>
          <t>unknown</t>
        </is>
      </c>
      <c r="Z535" t="inlineStr"/>
      <c r="AA535" t="inlineStr"/>
      <c r="AB535" t="inlineStr"/>
      <c r="AC535" t="inlineStr"/>
      <c r="AD535" t="inlineStr">
        <is>
          <t>לא נמצא בסריקת המפיצים</t>
        </is>
      </c>
      <c r="AE535" t="inlineStr">
        <is>
          <t>סריקת אתרי מפיצים</t>
        </is>
      </c>
      <c r="AG535" t="inlineStr"/>
      <c r="AH535" t="inlineStr"/>
      <c r="AJ535" t="inlineStr"/>
      <c r="AP535" t="inlineStr">
        <is>
          <t>https://www.thomassci.com/browse-by/suppliers/gd-care</t>
        </is>
      </c>
    </row>
    <row r="536">
      <c r="A536" t="n">
        <v>535</v>
      </c>
      <c r="B536" t="inlineStr">
        <is>
          <t>Gel Company</t>
        </is>
      </c>
      <c r="C536" t="inlineStr">
        <is>
          <t>Q</t>
        </is>
      </c>
      <c r="F536" t="inlineStr">
        <is>
          <t>yes</t>
        </is>
      </c>
      <c r="J536" t="inlineStr"/>
      <c r="Y536" t="inlineStr">
        <is>
          <t>unknown</t>
        </is>
      </c>
      <c r="Z536" t="inlineStr"/>
      <c r="AA536" t="inlineStr"/>
      <c r="AB536" t="inlineStr"/>
      <c r="AC536" t="inlineStr"/>
      <c r="AD536" t="inlineStr">
        <is>
          <t>לא נמצא בסריקת המפיצים</t>
        </is>
      </c>
      <c r="AE536" t="inlineStr">
        <is>
          <t>סריקת אתרי מפיצים</t>
        </is>
      </c>
      <c r="AG536" t="inlineStr"/>
      <c r="AH536" t="inlineStr"/>
      <c r="AJ536" t="inlineStr"/>
      <c r="AP536" t="inlineStr">
        <is>
          <t>https://www.quartzy.com/suppliers</t>
        </is>
      </c>
    </row>
    <row r="537">
      <c r="A537" t="n">
        <v>536</v>
      </c>
      <c r="B537" t="inlineStr">
        <is>
          <t>Gemini Bio-Products</t>
        </is>
      </c>
      <c r="C537" t="inlineStr">
        <is>
          <t>Q</t>
        </is>
      </c>
      <c r="F537" t="inlineStr">
        <is>
          <t>yes</t>
        </is>
      </c>
      <c r="J537" t="inlineStr"/>
      <c r="Y537" t="inlineStr">
        <is>
          <t>unknown</t>
        </is>
      </c>
      <c r="Z537" t="inlineStr"/>
      <c r="AA537" t="inlineStr"/>
      <c r="AB537" t="inlineStr"/>
      <c r="AC537" t="inlineStr"/>
      <c r="AD537" t="inlineStr">
        <is>
          <t>לא נמצא בסריקת המפיצים</t>
        </is>
      </c>
      <c r="AE537" t="inlineStr">
        <is>
          <t>סריקת אתרי מפיצים</t>
        </is>
      </c>
      <c r="AG537" t="inlineStr"/>
      <c r="AH537" t="inlineStr"/>
      <c r="AJ537" t="inlineStr"/>
      <c r="AP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t>
        </is>
      </c>
      <c r="J538" t="inlineStr"/>
      <c r="Y538" t="inlineStr">
        <is>
          <t>unknown</t>
        </is>
      </c>
      <c r="Z538" t="inlineStr"/>
      <c r="AA538" t="inlineStr"/>
      <c r="AB538" t="inlineStr"/>
      <c r="AC538" t="inlineStr"/>
      <c r="AD538" t="inlineStr">
        <is>
          <t>לא נמצא בסריקת המפיצים</t>
        </is>
      </c>
      <c r="AE538" t="inlineStr">
        <is>
          <t>סריקת אתרי מפיצים</t>
        </is>
      </c>
      <c r="AG538" t="inlineStr"/>
      <c r="AH538" t="inlineStr"/>
      <c r="AJ538" t="inlineStr"/>
      <c r="AP538" t="inlineStr">
        <is>
          <t>https://www.thomassci.com/browse-by/suppliers/geminibio</t>
        </is>
      </c>
    </row>
    <row r="539">
      <c r="A539" t="n">
        <v>538</v>
      </c>
      <c r="B539" t="inlineStr">
        <is>
          <t>Gene Bio-Application</t>
        </is>
      </c>
      <c r="C539" t="inlineStr">
        <is>
          <t>D</t>
        </is>
      </c>
      <c r="D539" t="inlineStr">
        <is>
          <t>https://www.dutscher.com/search?initialFilters=brand:Gene+Bio-Application</t>
        </is>
      </c>
      <c r="F539" t="inlineStr"/>
      <c r="J539" t="inlineStr"/>
      <c r="Y539" t="inlineStr">
        <is>
          <t>unknown</t>
        </is>
      </c>
      <c r="Z539" t="inlineStr"/>
      <c r="AA539" t="inlineStr"/>
      <c r="AB539" t="inlineStr"/>
      <c r="AC539" t="inlineStr"/>
      <c r="AD539" t="inlineStr">
        <is>
          <t>לא נמצא בסריקת המפיצים</t>
        </is>
      </c>
      <c r="AE539" t="inlineStr">
        <is>
          <t>סריקת אתרי מפיצים</t>
        </is>
      </c>
      <c r="AG539" t="inlineStr"/>
      <c r="AH539" t="inlineStr"/>
      <c r="AJ539" t="inlineStr"/>
      <c r="AP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Y540" t="inlineStr">
        <is>
          <t>unknown</t>
        </is>
      </c>
      <c r="Z540" t="inlineStr"/>
      <c r="AA540" t="inlineStr"/>
      <c r="AB540" t="inlineStr"/>
      <c r="AC540" t="inlineStr"/>
      <c r="AD540" t="inlineStr">
        <is>
          <t>לא נמצא בסריקת המפיצים</t>
        </is>
      </c>
      <c r="AE540" t="inlineStr">
        <is>
          <t>סריקת אתרי מפיצים</t>
        </is>
      </c>
      <c r="AG540" t="inlineStr"/>
      <c r="AH540" t="inlineStr"/>
      <c r="AJ540" t="inlineStr"/>
      <c r="AP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Y541" t="inlineStr">
        <is>
          <t>unknown</t>
        </is>
      </c>
      <c r="Z541" t="inlineStr"/>
      <c r="AA541" t="inlineStr"/>
      <c r="AB541" t="inlineStr"/>
      <c r="AC541" t="inlineStr"/>
      <c r="AD541" t="inlineStr">
        <is>
          <t>לא נמצא בסריקת המפיצים</t>
        </is>
      </c>
      <c r="AE541" t="inlineStr">
        <is>
          <t>סריקת אתרי מפיצים</t>
        </is>
      </c>
      <c r="AG541" t="inlineStr"/>
      <c r="AH541" t="inlineStr"/>
      <c r="AJ541" t="inlineStr"/>
      <c r="AP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Y542" t="inlineStr">
        <is>
          <t>unknown</t>
        </is>
      </c>
      <c r="Z542" t="inlineStr"/>
      <c r="AA542" t="inlineStr"/>
      <c r="AB542" t="inlineStr"/>
      <c r="AC542" t="inlineStr"/>
      <c r="AD542" t="inlineStr">
        <is>
          <t>לא נמצא בסריקת המפיצים</t>
        </is>
      </c>
      <c r="AE542" t="inlineStr">
        <is>
          <t>סריקת אתרי מפיצים</t>
        </is>
      </c>
      <c r="AG542" t="inlineStr"/>
      <c r="AH542" t="inlineStr"/>
      <c r="AJ542" t="inlineStr"/>
      <c r="AP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t>
        </is>
      </c>
      <c r="J543" t="inlineStr"/>
      <c r="Y543" t="inlineStr">
        <is>
          <t>unknown</t>
        </is>
      </c>
      <c r="Z543" t="inlineStr"/>
      <c r="AA543" t="inlineStr"/>
      <c r="AB543" t="inlineStr"/>
      <c r="AC543" t="inlineStr"/>
      <c r="AD543" t="inlineStr">
        <is>
          <t>לא נמצא בסריקת המפיצים</t>
        </is>
      </c>
      <c r="AE543" t="inlineStr">
        <is>
          <t>סריקת אתרי מפיצים</t>
        </is>
      </c>
      <c r="AG543" t="inlineStr"/>
      <c r="AH543" t="inlineStr"/>
      <c r="AJ543" t="inlineStr"/>
      <c r="AP543" t="inlineStr">
        <is>
          <t>https://www.quartzy.com/suppliers</t>
        </is>
      </c>
    </row>
    <row r="544">
      <c r="A544" t="n">
        <v>543</v>
      </c>
      <c r="B544" t="inlineStr">
        <is>
          <t>Genie Group</t>
        </is>
      </c>
      <c r="C544" t="inlineStr">
        <is>
          <t>T</t>
        </is>
      </c>
      <c r="E544" t="inlineStr">
        <is>
          <t>https://www.thomassci.com/browse-by/suppliers/genie-group</t>
        </is>
      </c>
      <c r="F544" t="inlineStr"/>
      <c r="H544" t="inlineStr">
        <is>
          <t>https://geniegroup.com</t>
        </is>
      </c>
      <c r="I544" t="inlineStr">
        <is>
          <t>clearbit</t>
        </is>
      </c>
      <c r="J544" t="inlineStr"/>
      <c r="Y544" t="inlineStr">
        <is>
          <t>unknown</t>
        </is>
      </c>
      <c r="Z544" t="inlineStr"/>
      <c r="AA544" t="inlineStr"/>
      <c r="AB544" t="inlineStr"/>
      <c r="AC544" t="inlineStr"/>
      <c r="AD544" t="inlineStr">
        <is>
          <t>לא נמצא בסריקת המפיצים</t>
        </is>
      </c>
      <c r="AE544" t="inlineStr">
        <is>
          <t>סריקת אתרי מפיצים</t>
        </is>
      </c>
      <c r="AG544" t="inlineStr"/>
      <c r="AH544" t="inlineStr"/>
      <c r="AJ544" t="inlineStr"/>
      <c r="AP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t>
        </is>
      </c>
      <c r="J545" t="inlineStr"/>
      <c r="Y545" t="inlineStr">
        <is>
          <t>unknown</t>
        </is>
      </c>
      <c r="Z545" t="inlineStr"/>
      <c r="AA545" t="inlineStr"/>
      <c r="AB545" t="inlineStr"/>
      <c r="AC545" t="inlineStr"/>
      <c r="AD545" t="inlineStr">
        <is>
          <t>לא נמצא בסריקת המפיצים</t>
        </is>
      </c>
      <c r="AE545" t="inlineStr">
        <is>
          <t>סריקת אתרי מפיצים</t>
        </is>
      </c>
      <c r="AG545" t="inlineStr"/>
      <c r="AH545" t="inlineStr"/>
      <c r="AJ545" t="inlineStr"/>
      <c r="AP545" t="inlineStr">
        <is>
          <t>https://www.quartzy.com/suppliers</t>
        </is>
      </c>
    </row>
    <row r="546">
      <c r="A546" t="n">
        <v>545</v>
      </c>
      <c r="B546" t="inlineStr">
        <is>
          <t>Genovis</t>
        </is>
      </c>
      <c r="C546" t="inlineStr">
        <is>
          <t>Q</t>
        </is>
      </c>
      <c r="F546" t="inlineStr">
        <is>
          <t>yes</t>
        </is>
      </c>
      <c r="H546" t="inlineStr">
        <is>
          <t>https://genovis.com</t>
        </is>
      </c>
      <c r="I546" t="inlineStr">
        <is>
          <t>clearbit</t>
        </is>
      </c>
      <c r="J546" t="inlineStr"/>
      <c r="Y546" t="inlineStr">
        <is>
          <t>unknown</t>
        </is>
      </c>
      <c r="Z546" t="inlineStr"/>
      <c r="AA546" t="inlineStr"/>
      <c r="AB546" t="inlineStr"/>
      <c r="AC546" t="inlineStr"/>
      <c r="AD546" t="inlineStr">
        <is>
          <t>לא נמצא בסריקת המפיצים</t>
        </is>
      </c>
      <c r="AE546" t="inlineStr">
        <is>
          <t>סריקת אתרי מפיצים</t>
        </is>
      </c>
      <c r="AG546" t="inlineStr"/>
      <c r="AH546" t="inlineStr"/>
      <c r="AJ546" t="inlineStr"/>
      <c r="AP546" t="inlineStr">
        <is>
          <t>https://www.quartzy.com/suppliers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t>
        </is>
      </c>
      <c r="J547" t="inlineStr"/>
      <c r="Y547" t="inlineStr">
        <is>
          <t>unknown</t>
        </is>
      </c>
      <c r="Z547" t="inlineStr"/>
      <c r="AA547" t="inlineStr"/>
      <c r="AB547" t="inlineStr"/>
      <c r="AC547" t="inlineStr"/>
      <c r="AD547" t="inlineStr">
        <is>
          <t>לא נמצא בסריקת המפיצים</t>
        </is>
      </c>
      <c r="AE547" t="inlineStr">
        <is>
          <t>סריקת אתרי מפיצים</t>
        </is>
      </c>
      <c r="AG547" t="inlineStr"/>
      <c r="AH547" t="inlineStr"/>
      <c r="AJ547" t="inlineStr"/>
      <c r="AP547" t="inlineStr">
        <is>
          <t>https://www.dutscher.com/search?initialFilters=brand:Genscript | https://www.quartzy.com/suppliers | https://www.thomassci.com/browse-by/suppliers/genscript</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t>
        </is>
      </c>
      <c r="J548" t="inlineStr"/>
      <c r="Y548" t="inlineStr">
        <is>
          <t>unknown</t>
        </is>
      </c>
      <c r="Z548" t="inlineStr"/>
      <c r="AA548" t="inlineStr"/>
      <c r="AB548" t="inlineStr"/>
      <c r="AC548" t="inlineStr"/>
      <c r="AD548" t="inlineStr">
        <is>
          <t>לא נמצא בסריקת המפיצים</t>
        </is>
      </c>
      <c r="AE548" t="inlineStr">
        <is>
          <t>סריקת אתרי מפיצים</t>
        </is>
      </c>
      <c r="AG548" t="inlineStr"/>
      <c r="AH548" t="inlineStr"/>
      <c r="AJ548" t="inlineStr"/>
      <c r="AP548" t="inlineStr">
        <is>
          <t>https://www.thomassci.com/browse-by/suppliers/georgia-pacific</t>
        </is>
      </c>
    </row>
    <row r="549">
      <c r="A549" t="n">
        <v>548</v>
      </c>
      <c r="B549" t="inlineStr">
        <is>
          <t>Gerhardt</t>
        </is>
      </c>
      <c r="C549" t="inlineStr">
        <is>
          <t>D</t>
        </is>
      </c>
      <c r="D549" t="inlineStr">
        <is>
          <t>https://www.dutscher.com/search?initialFilters=brand:Gerhardt</t>
        </is>
      </c>
      <c r="F549" t="inlineStr"/>
      <c r="J549" t="inlineStr"/>
      <c r="Y549" t="inlineStr">
        <is>
          <t>unknown</t>
        </is>
      </c>
      <c r="Z549" t="inlineStr"/>
      <c r="AA549" t="inlineStr"/>
      <c r="AB549" t="inlineStr"/>
      <c r="AC549" t="inlineStr"/>
      <c r="AD549" t="inlineStr">
        <is>
          <t>לא נמצא בסריקת המפיצים</t>
        </is>
      </c>
      <c r="AE549" t="inlineStr">
        <is>
          <t>סריקת אתרי מפיצים</t>
        </is>
      </c>
      <c r="AG549" t="inlineStr"/>
      <c r="AH549" t="inlineStr"/>
      <c r="AJ549" t="inlineStr"/>
      <c r="AP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Y550" t="inlineStr">
        <is>
          <t>unknown</t>
        </is>
      </c>
      <c r="Z550" t="inlineStr"/>
      <c r="AA550" t="inlineStr"/>
      <c r="AB550" t="inlineStr"/>
      <c r="AC550" t="inlineStr"/>
      <c r="AD550" t="inlineStr">
        <is>
          <t>לא נמצא בסריקת המפיצים</t>
        </is>
      </c>
      <c r="AE550" t="inlineStr">
        <is>
          <t>סריקת אתרי מפיצים</t>
        </is>
      </c>
      <c r="AG550" t="inlineStr"/>
      <c r="AH550" t="inlineStr"/>
      <c r="AJ550" t="inlineStr"/>
      <c r="AP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https://gfschemicals.com</t>
        </is>
      </c>
      <c r="I551" t="inlineStr">
        <is>
          <t>clearbit</t>
        </is>
      </c>
      <c r="J551" t="inlineStr"/>
      <c r="Y551" t="inlineStr">
        <is>
          <t>unknown</t>
        </is>
      </c>
      <c r="Z551" t="inlineStr"/>
      <c r="AA551" t="inlineStr"/>
      <c r="AB551" t="inlineStr"/>
      <c r="AC551" t="inlineStr"/>
      <c r="AD551" t="inlineStr">
        <is>
          <t>לא נמצא בסריקת המפיצים</t>
        </is>
      </c>
      <c r="AE551" t="inlineStr">
        <is>
          <t>סריקת אתרי מפיצים</t>
        </is>
      </c>
      <c r="AG551" t="inlineStr"/>
      <c r="AH551" t="inlineStr"/>
      <c r="AJ551" t="inlineStr"/>
      <c r="AP551" t="inlineStr">
        <is>
          <t>https://www.quartzy.com/suppliers | https://www.thomassci.com/browse-by/suppliers/gfs-chemicals</t>
        </is>
      </c>
    </row>
    <row r="552">
      <c r="A552" t="n">
        <v>551</v>
      </c>
      <c r="B552" t="inlineStr">
        <is>
          <t>Gilac</t>
        </is>
      </c>
      <c r="C552" t="inlineStr">
        <is>
          <t>D</t>
        </is>
      </c>
      <c r="D552" t="inlineStr">
        <is>
          <t>https://www.dutscher.com/search?initialFilters=brand:Gilac</t>
        </is>
      </c>
      <c r="F552" t="inlineStr"/>
      <c r="H552" t="inlineStr">
        <is>
          <t>https://gilac.com</t>
        </is>
      </c>
      <c r="I552" t="inlineStr">
        <is>
          <t>clearbit</t>
        </is>
      </c>
      <c r="J552" t="inlineStr"/>
      <c r="Y552" t="inlineStr">
        <is>
          <t>unknown</t>
        </is>
      </c>
      <c r="Z552" t="inlineStr"/>
      <c r="AA552" t="inlineStr"/>
      <c r="AB552" t="inlineStr"/>
      <c r="AC552" t="inlineStr"/>
      <c r="AD552" t="inlineStr">
        <is>
          <t>לא נמצא בסריקת המפיצים</t>
        </is>
      </c>
      <c r="AE552" t="inlineStr">
        <is>
          <t>סריקת אתרי מפיצים</t>
        </is>
      </c>
      <c r="AG552" t="inlineStr"/>
      <c r="AH552" t="inlineStr"/>
      <c r="AJ552" t="inlineStr"/>
      <c r="AP552" t="inlineStr">
        <is>
          <t>https://www.dutscher.com/search?initialFilters=brand:Gilac</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P553" t="n">
        <v>800</v>
      </c>
      <c r="Q553" t="n">
        <v>2024</v>
      </c>
      <c r="R553" t="inlineStr">
        <is>
          <t>estimate</t>
        </is>
      </c>
      <c r="S553" t="inlineStr">
        <is>
          <t>prior</t>
        </is>
      </c>
      <c r="T553" t="n">
        <v>200</v>
      </c>
      <c r="U553" t="inlineStr">
        <is>
          <t>USD ~200 million (trade estimate; private)</t>
        </is>
      </c>
      <c r="V553" t="inlineStr">
        <is>
          <t>2024 (estimate)</t>
        </is>
      </c>
      <c r="W553" t="inlineStr">
        <is>
          <t>estimate</t>
        </is>
      </c>
      <c r="X553" t="inlineStr">
        <is>
          <t>prior</t>
        </is>
      </c>
      <c r="Y553" t="inlineStr">
        <is>
          <t>estimate</t>
        </is>
      </c>
      <c r="Z553" t="inlineStr">
        <is>
          <t>PIPETMAN L / G / P</t>
        </is>
      </c>
      <c r="AA553" t="inlineStr">
        <is>
          <t>PLC 2050 / 2250 purification systems</t>
        </is>
      </c>
      <c r="AB553" t="inlineStr">
        <is>
          <t>GX-271 / GX-274 ASPEC</t>
        </is>
      </c>
      <c r="AC553" t="inlineStr">
        <is>
          <t>prior</t>
        </is>
      </c>
      <c r="AD553" t="inlineStr">
        <is>
          <t>מפיץ/נציג בישראל</t>
        </is>
      </c>
      <c r="AE553" t="inlineStr">
        <is>
          <t>אומת</t>
        </is>
      </c>
      <c r="AF553" t="n">
        <v>2026</v>
      </c>
      <c r="AG553" t="inlineStr">
        <is>
          <t>Agentek (1987) Ltd.; Lifegene Ltd.</t>
        </is>
      </c>
      <c r="AH553" t="inlineStr">
        <is>
          <t>Agentek (1987) Ltd.: +972 9-965-7000; Lifegene Ltd.: +972 8-644-4314 info@lifegene.co.il</t>
        </is>
      </c>
      <c r="AI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J553" t="inlineStr">
        <is>
          <t>+1 608-836-1551</t>
        </is>
      </c>
      <c r="AL553" t="inlineStr">
        <is>
          <t>3000 Parmenter Street, P.O. Box 620027, Middleton, WI 53562-0027, USA</t>
        </is>
      </c>
      <c r="AM553" t="inlineStr">
        <is>
          <t>https://gmlh.gilson.com/GMLHSV/services-and-support/contact.html</t>
        </is>
      </c>
      <c r="AN553" t="inlineStr">
        <is>
          <t>https://gmlh.gilson.com/GMLHSV/services-and-support/contact.html</t>
        </is>
      </c>
      <c r="AP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t>
        </is>
      </c>
      <c r="J554" t="inlineStr"/>
      <c r="Y554" t="inlineStr">
        <is>
          <t>unknown</t>
        </is>
      </c>
      <c r="Z554" t="inlineStr"/>
      <c r="AA554" t="inlineStr"/>
      <c r="AB554" t="inlineStr"/>
      <c r="AC554" t="inlineStr"/>
      <c r="AD554" t="inlineStr">
        <is>
          <t>לא נמצא בסריקת המפיצים</t>
        </is>
      </c>
      <c r="AE554" t="inlineStr">
        <is>
          <t>סריקת אתרי מפיצים</t>
        </is>
      </c>
      <c r="AG554" t="inlineStr"/>
      <c r="AH554" t="inlineStr"/>
      <c r="AJ554" t="inlineStr"/>
      <c r="AP554" t="inlineStr">
        <is>
          <t>https://www.thomassci.com/browse-by/suppliers/glas-col</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Y555" t="inlineStr">
        <is>
          <t>unknown</t>
        </is>
      </c>
      <c r="Z555" t="inlineStr"/>
      <c r="AA555" t="inlineStr"/>
      <c r="AB555" t="inlineStr"/>
      <c r="AC555" t="inlineStr"/>
      <c r="AD555" t="inlineStr">
        <is>
          <t>לא נמצא בסריקת המפיצים</t>
        </is>
      </c>
      <c r="AE555" t="inlineStr">
        <is>
          <t>סריקת אתרי מפיצים</t>
        </is>
      </c>
      <c r="AG555" t="inlineStr"/>
      <c r="AH555" t="inlineStr"/>
      <c r="AJ555" t="inlineStr"/>
      <c r="AP555" t="inlineStr">
        <is>
          <t>https://www.thomassci.com/browse-by/suppliers/glass-vials</t>
        </is>
      </c>
    </row>
    <row r="556">
      <c r="A556" t="n">
        <v>555</v>
      </c>
      <c r="B556" t="inlineStr">
        <is>
          <t>Glastron</t>
        </is>
      </c>
      <c r="C556" t="inlineStr">
        <is>
          <t>T</t>
        </is>
      </c>
      <c r="E556" t="inlineStr">
        <is>
          <t>https://www.thomassci.com/browse-by/suppliers/glastron</t>
        </is>
      </c>
      <c r="F556" t="inlineStr"/>
      <c r="H556" t="inlineStr">
        <is>
          <t>https://glastron.com</t>
        </is>
      </c>
      <c r="I556" t="inlineStr">
        <is>
          <t>clearbit</t>
        </is>
      </c>
      <c r="J556" t="inlineStr"/>
      <c r="Y556" t="inlineStr">
        <is>
          <t>unknown</t>
        </is>
      </c>
      <c r="Z556" t="inlineStr"/>
      <c r="AA556" t="inlineStr"/>
      <c r="AB556" t="inlineStr"/>
      <c r="AC556" t="inlineStr"/>
      <c r="AD556" t="inlineStr">
        <is>
          <t>לא נמצא בסריקת המפיצים</t>
        </is>
      </c>
      <c r="AE556" t="inlineStr">
        <is>
          <t>סריקת אתרי מפיצים</t>
        </is>
      </c>
      <c r="AG556" t="inlineStr"/>
      <c r="AH556" t="inlineStr"/>
      <c r="AJ556" t="inlineStr"/>
      <c r="AP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t>
        </is>
      </c>
      <c r="J557" t="inlineStr"/>
      <c r="Y557" t="inlineStr">
        <is>
          <t>unknown</t>
        </is>
      </c>
      <c r="Z557" t="inlineStr"/>
      <c r="AA557" t="inlineStr"/>
      <c r="AB557" t="inlineStr"/>
      <c r="AC557" t="inlineStr"/>
      <c r="AD557" t="inlineStr">
        <is>
          <t>לא נמצא בסריקת המפיצים</t>
        </is>
      </c>
      <c r="AE557" t="inlineStr">
        <is>
          <t>סריקת אתרי מפיצים</t>
        </is>
      </c>
      <c r="AG557" t="inlineStr"/>
      <c r="AH557" t="inlineStr"/>
      <c r="AJ557" t="inlineStr"/>
      <c r="AP557" t="inlineStr">
        <is>
          <t>https://www.thomassci.com/browse-by/suppliers/globe-scientific</t>
        </is>
      </c>
    </row>
    <row r="558">
      <c r="A558" t="n">
        <v>557</v>
      </c>
      <c r="B558" t="inlineStr">
        <is>
          <t>GMP Labeling</t>
        </is>
      </c>
      <c r="C558" t="inlineStr">
        <is>
          <t>Q+Q+</t>
        </is>
      </c>
      <c r="F558" t="inlineStr">
        <is>
          <t>yes +new</t>
        </is>
      </c>
      <c r="H558" t="inlineStr">
        <is>
          <t>https://gmplabeling.com</t>
        </is>
      </c>
      <c r="I558" t="inlineStr">
        <is>
          <t>clearbit</t>
        </is>
      </c>
      <c r="J558" t="inlineStr"/>
      <c r="O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Y558" t="inlineStr">
        <is>
          <t>unknown</t>
        </is>
      </c>
      <c r="Z558" t="inlineStr"/>
      <c r="AA558" t="inlineStr"/>
      <c r="AB558" t="inlineStr"/>
      <c r="AC558" t="inlineStr"/>
      <c r="AD558" t="inlineStr">
        <is>
          <t>לא נמצא בסריקת המפיצים</t>
        </is>
      </c>
      <c r="AE558" t="inlineStr">
        <is>
          <t>סריקת אתרי מפיצים</t>
        </is>
      </c>
      <c r="AG558" t="inlineStr"/>
      <c r="AH558" t="inlineStr"/>
      <c r="AJ558" t="inlineStr"/>
      <c r="AP558" t="inlineStr">
        <is>
          <t>https://www.quartzy.com/suppliers | https://info.quartzy.com/new-suppliers</t>
        </is>
      </c>
    </row>
    <row r="559">
      <c r="A559" t="n">
        <v>558</v>
      </c>
      <c r="B559" t="inlineStr">
        <is>
          <t>GoatThroat</t>
        </is>
      </c>
      <c r="C559" t="inlineStr">
        <is>
          <t>T</t>
        </is>
      </c>
      <c r="E559" t="inlineStr">
        <is>
          <t>https://www.thomassci.com/browse-by/suppliers/goatthroat</t>
        </is>
      </c>
      <c r="F559" t="inlineStr"/>
      <c r="J559" t="inlineStr"/>
      <c r="Y559" t="inlineStr">
        <is>
          <t>unknown</t>
        </is>
      </c>
      <c r="Z559" t="inlineStr"/>
      <c r="AA559" t="inlineStr"/>
      <c r="AB559" t="inlineStr"/>
      <c r="AC559" t="inlineStr"/>
      <c r="AD559" t="inlineStr">
        <is>
          <t>לא נמצא בסריקת המפיצים</t>
        </is>
      </c>
      <c r="AE559" t="inlineStr">
        <is>
          <t>סריקת אתרי מפיצים</t>
        </is>
      </c>
      <c r="AG559" t="inlineStr"/>
      <c r="AH559" t="inlineStr"/>
      <c r="AJ559" t="inlineStr"/>
      <c r="AP559" t="inlineStr">
        <is>
          <t>https://www.thomassci.com/browse-by/suppliers/goatthroat</t>
        </is>
      </c>
    </row>
    <row r="560">
      <c r="A560" t="n">
        <v>559</v>
      </c>
      <c r="B560" t="inlineStr">
        <is>
          <t>Gold Biotechnology</t>
        </is>
      </c>
      <c r="C560" t="inlineStr">
        <is>
          <t>Q</t>
        </is>
      </c>
      <c r="F560" t="inlineStr">
        <is>
          <t>yes</t>
        </is>
      </c>
      <c r="J560" t="inlineStr"/>
      <c r="Y560" t="inlineStr">
        <is>
          <t>unknown</t>
        </is>
      </c>
      <c r="Z560" t="inlineStr"/>
      <c r="AA560" t="inlineStr"/>
      <c r="AB560" t="inlineStr"/>
      <c r="AC560" t="inlineStr"/>
      <c r="AD560" t="inlineStr">
        <is>
          <t>לא נמצא בסריקת המפיצים</t>
        </is>
      </c>
      <c r="AE560" t="inlineStr">
        <is>
          <t>סריקת אתרי מפיצים</t>
        </is>
      </c>
      <c r="AG560" t="inlineStr"/>
      <c r="AH560" t="inlineStr"/>
      <c r="AJ560" t="inlineStr"/>
      <c r="AP560" t="inlineStr">
        <is>
          <t>https://www.quartzy.com/suppliers</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t>
        </is>
      </c>
      <c r="J561" t="inlineStr"/>
      <c r="Y561" t="inlineStr">
        <is>
          <t>unknown</t>
        </is>
      </c>
      <c r="Z561" t="inlineStr"/>
      <c r="AA561" t="inlineStr"/>
      <c r="AB561" t="inlineStr"/>
      <c r="AC561" t="inlineStr"/>
      <c r="AD561" t="inlineStr">
        <is>
          <t>לא נמצא בסריקת המפיצים</t>
        </is>
      </c>
      <c r="AE561" t="inlineStr">
        <is>
          <t>סריקת אתרי מפיצים</t>
        </is>
      </c>
      <c r="AG561" t="inlineStr"/>
      <c r="AH561" t="inlineStr"/>
      <c r="AJ561" t="inlineStr"/>
      <c r="AP561" t="inlineStr">
        <is>
          <t>https://www.thomassci.com/browse-by/suppliers/gordon-brush</t>
        </is>
      </c>
    </row>
    <row r="562">
      <c r="A562" t="n">
        <v>561</v>
      </c>
      <c r="B562" t="inlineStr">
        <is>
          <t>Gosselin</t>
        </is>
      </c>
      <c r="C562" t="inlineStr">
        <is>
          <t>D</t>
        </is>
      </c>
      <c r="D562" t="inlineStr">
        <is>
          <t>https://www.dutscher.com/search?initialFilters=brand:Gosselin</t>
        </is>
      </c>
      <c r="F562" t="inlineStr"/>
      <c r="H562" t="inlineStr">
        <is>
          <t>https://gosselin-moving.com</t>
        </is>
      </c>
      <c r="I562" t="inlineStr">
        <is>
          <t>clearbit</t>
        </is>
      </c>
      <c r="J562" t="inlineStr"/>
      <c r="Y562" t="inlineStr">
        <is>
          <t>unknown</t>
        </is>
      </c>
      <c r="Z562" t="inlineStr"/>
      <c r="AA562" t="inlineStr"/>
      <c r="AB562" t="inlineStr"/>
      <c r="AC562" t="inlineStr"/>
      <c r="AD562" t="inlineStr">
        <is>
          <t>לא נמצא בסריקת המפיצים</t>
        </is>
      </c>
      <c r="AE562" t="inlineStr">
        <is>
          <t>סריקת אתרי מפיצים</t>
        </is>
      </c>
      <c r="AG562" t="inlineStr"/>
      <c r="AH562" t="inlineStr"/>
      <c r="AJ562" t="inlineStr"/>
      <c r="AP562" t="inlineStr">
        <is>
          <t>https://www.dutscher.com/search?initialFilters=brand:Gosselin</t>
        </is>
      </c>
    </row>
    <row r="563">
      <c r="A563" t="n">
        <v>562</v>
      </c>
      <c r="B563" t="inlineStr">
        <is>
          <t>Grace Bio-Labs</t>
        </is>
      </c>
      <c r="C563" t="inlineStr">
        <is>
          <t>Q</t>
        </is>
      </c>
      <c r="F563" t="inlineStr">
        <is>
          <t>yes</t>
        </is>
      </c>
      <c r="H563" t="inlineStr">
        <is>
          <t>https://gracebio.com</t>
        </is>
      </c>
      <c r="I563" t="inlineStr">
        <is>
          <t>clearbit</t>
        </is>
      </c>
      <c r="J563" t="inlineStr"/>
      <c r="Y563" t="inlineStr">
        <is>
          <t>unknown</t>
        </is>
      </c>
      <c r="Z563" t="inlineStr"/>
      <c r="AA563" t="inlineStr"/>
      <c r="AB563" t="inlineStr"/>
      <c r="AC563" t="inlineStr"/>
      <c r="AD563" t="inlineStr">
        <is>
          <t>לא נמצא בסריקת המפיצים</t>
        </is>
      </c>
      <c r="AE563" t="inlineStr">
        <is>
          <t>סריקת אתרי מפיצים</t>
        </is>
      </c>
      <c r="AG563" t="inlineStr"/>
      <c r="AH563" t="inlineStr"/>
      <c r="AJ563" t="inlineStr"/>
      <c r="AP563" t="inlineStr">
        <is>
          <t>https://www.quartzy.com/suppliers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t>
        </is>
      </c>
      <c r="J564" t="inlineStr"/>
      <c r="Y564" t="inlineStr">
        <is>
          <t>unknown</t>
        </is>
      </c>
      <c r="Z564" t="inlineStr"/>
      <c r="AA564" t="inlineStr"/>
      <c r="AB564" t="inlineStr"/>
      <c r="AC564" t="inlineStr"/>
      <c r="AD564" t="inlineStr">
        <is>
          <t>לא נמצא בסריקת המפיצים</t>
        </is>
      </c>
      <c r="AE564" t="inlineStr">
        <is>
          <t>סריקת אתרי מפיצים</t>
        </is>
      </c>
      <c r="AG564" t="inlineStr"/>
      <c r="AH564" t="inlineStr"/>
      <c r="AJ564" t="inlineStr"/>
      <c r="AP564" t="inlineStr">
        <is>
          <t>https://www.thomassci.com/browse-by/suppliers/graham-medical</t>
        </is>
      </c>
    </row>
    <row r="565">
      <c r="A565" t="n">
        <v>564</v>
      </c>
      <c r="B565" t="inlineStr">
        <is>
          <t>Grainger</t>
        </is>
      </c>
      <c r="C565" t="inlineStr">
        <is>
          <t>T</t>
        </is>
      </c>
      <c r="E565" t="inlineStr">
        <is>
          <t>https://www.thomassci.com/browse-by/suppliers/grainger</t>
        </is>
      </c>
      <c r="F565" t="inlineStr"/>
      <c r="H565" t="inlineStr">
        <is>
          <t>https://grainger.com</t>
        </is>
      </c>
      <c r="I565" t="inlineStr">
        <is>
          <t>clearbit</t>
        </is>
      </c>
      <c r="J565" t="inlineStr"/>
      <c r="Y565" t="inlineStr">
        <is>
          <t>unknown</t>
        </is>
      </c>
      <c r="Z565" t="inlineStr"/>
      <c r="AA565" t="inlineStr"/>
      <c r="AB565" t="inlineStr"/>
      <c r="AC565" t="inlineStr"/>
      <c r="AD565" t="inlineStr">
        <is>
          <t>לא נמצא בסריקת המפיצים</t>
        </is>
      </c>
      <c r="AE565" t="inlineStr">
        <is>
          <t>סריקת אתרי מפיצים</t>
        </is>
      </c>
      <c r="AG565" t="inlineStr"/>
      <c r="AH565" t="inlineStr"/>
      <c r="AJ565" t="inlineStr"/>
      <c r="AP565" t="inlineStr">
        <is>
          <t>https://www.thomassci.com/browse-by/suppliers/grainger</t>
        </is>
      </c>
    </row>
    <row r="566">
      <c r="A566" t="n">
        <v>565</v>
      </c>
      <c r="B566" t="inlineStr">
        <is>
          <t>GraLab</t>
        </is>
      </c>
      <c r="C566" t="inlineStr">
        <is>
          <t>T</t>
        </is>
      </c>
      <c r="E566" t="inlineStr">
        <is>
          <t>https://www.thomassci.com/browse-by/suppliers/gralab</t>
        </is>
      </c>
      <c r="F566" t="inlineStr"/>
      <c r="J566" t="inlineStr"/>
      <c r="Y566" t="inlineStr">
        <is>
          <t>unknown</t>
        </is>
      </c>
      <c r="Z566" t="inlineStr"/>
      <c r="AA566" t="inlineStr"/>
      <c r="AB566" t="inlineStr"/>
      <c r="AC566" t="inlineStr"/>
      <c r="AD566" t="inlineStr">
        <is>
          <t>לא נמצא בסריקת המפיצים</t>
        </is>
      </c>
      <c r="AE566" t="inlineStr">
        <is>
          <t>סריקת אתרי מפיצים</t>
        </is>
      </c>
      <c r="AG566" t="inlineStr"/>
      <c r="AH566" t="inlineStr"/>
      <c r="AJ566" t="inlineStr"/>
      <c r="AP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Y567" t="inlineStr">
        <is>
          <t>unknown</t>
        </is>
      </c>
      <c r="Z567" t="inlineStr"/>
      <c r="AA567" t="inlineStr"/>
      <c r="AB567" t="inlineStr"/>
      <c r="AC567" t="inlineStr"/>
      <c r="AD567" t="inlineStr">
        <is>
          <t>לא נמצא בסריקת המפיצים</t>
        </is>
      </c>
      <c r="AE567" t="inlineStr">
        <is>
          <t>סריקת אתרי מפיצים</t>
        </is>
      </c>
      <c r="AG567" t="inlineStr"/>
      <c r="AH567" t="inlineStr"/>
      <c r="AJ567" t="inlineStr"/>
      <c r="AP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t>
        </is>
      </c>
      <c r="J568" t="inlineStr"/>
      <c r="Y568" t="inlineStr">
        <is>
          <t>unknown</t>
        </is>
      </c>
      <c r="Z568" t="inlineStr"/>
      <c r="AA568" t="inlineStr"/>
      <c r="AB568" t="inlineStr"/>
      <c r="AC568" t="inlineStr"/>
      <c r="AD568" t="inlineStr">
        <is>
          <t>לא נמצא בסריקת המפיצים</t>
        </is>
      </c>
      <c r="AE568" t="inlineStr">
        <is>
          <t>סריקת אתרי מפיצים</t>
        </is>
      </c>
      <c r="AG568" t="inlineStr"/>
      <c r="AH568" t="inlineStr"/>
      <c r="AJ568" t="inlineStr"/>
      <c r="AP568" t="inlineStr">
        <is>
          <t>https://www.thomassci.com/browse-by/suppliers/grant-instruments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t>
        </is>
      </c>
      <c r="J569" t="inlineStr"/>
      <c r="Y569" t="inlineStr">
        <is>
          <t>unknown</t>
        </is>
      </c>
      <c r="Z569" t="inlineStr"/>
      <c r="AA569" t="inlineStr"/>
      <c r="AB569" t="inlineStr"/>
      <c r="AC569" t="inlineStr"/>
      <c r="AD569" t="inlineStr">
        <is>
          <t>לא נמצא בסריקת המפיצים</t>
        </is>
      </c>
      <c r="AE569" t="inlineStr">
        <is>
          <t>סריקת אתרי מפיצים</t>
        </is>
      </c>
      <c r="AG569" t="inlineStr"/>
      <c r="AH569" t="inlineStr"/>
      <c r="AJ569" t="inlineStr"/>
      <c r="AP569" t="inlineStr">
        <is>
          <t>https://www.thomassci.com/browse-by/suppliers/graphic-controls</t>
        </is>
      </c>
    </row>
    <row r="570">
      <c r="A570" t="n">
        <v>569</v>
      </c>
      <c r="B570" t="inlineStr">
        <is>
          <t>Great White® by PIP Global Safety</t>
        </is>
      </c>
      <c r="C570" t="inlineStr">
        <is>
          <t>T</t>
        </is>
      </c>
      <c r="E570" t="inlineStr">
        <is>
          <t>https://www.thomassci.com/browse-by/suppliers/great-white-by-pip-global-safety</t>
        </is>
      </c>
      <c r="F570" t="inlineStr"/>
      <c r="J570" t="inlineStr"/>
      <c r="Y570" t="inlineStr">
        <is>
          <t>unknown</t>
        </is>
      </c>
      <c r="Z570" t="inlineStr"/>
      <c r="AA570" t="inlineStr"/>
      <c r="AB570" t="inlineStr"/>
      <c r="AC570" t="inlineStr"/>
      <c r="AD570" t="inlineStr">
        <is>
          <t>לא נמצא בסריקת המפיצים</t>
        </is>
      </c>
      <c r="AE570" t="inlineStr">
        <is>
          <t>סריקת אתרי מפיצים</t>
        </is>
      </c>
      <c r="AG570" t="inlineStr"/>
      <c r="AH570" t="inlineStr"/>
      <c r="AJ570" t="inlineStr"/>
      <c r="AP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Y571" t="inlineStr">
        <is>
          <t>unknown</t>
        </is>
      </c>
      <c r="Z571" t="inlineStr"/>
      <c r="AA571" t="inlineStr"/>
      <c r="AB571" t="inlineStr"/>
      <c r="AC571" t="inlineStr"/>
      <c r="AD571" t="inlineStr">
        <is>
          <t>לא נמצא בסריקת המפיצים</t>
        </is>
      </c>
      <c r="AE571" t="inlineStr">
        <is>
          <t>סריקת אתרי מפיצים</t>
        </is>
      </c>
      <c r="AG571" t="inlineStr"/>
      <c r="AH571" t="inlineStr"/>
      <c r="AJ571" t="inlineStr"/>
      <c r="AP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Y572" t="inlineStr">
        <is>
          <t>unknown</t>
        </is>
      </c>
      <c r="Z572" t="inlineStr"/>
      <c r="AA572" t="inlineStr"/>
      <c r="AB572" t="inlineStr"/>
      <c r="AC572" t="inlineStr"/>
      <c r="AD572" t="inlineStr">
        <is>
          <t>לא נמצא בסריקת המפיצים</t>
        </is>
      </c>
      <c r="AE572" t="inlineStr">
        <is>
          <t>סריקת אתרי מפיצים</t>
        </is>
      </c>
      <c r="AG572" t="inlineStr"/>
      <c r="AH572" t="inlineStr"/>
      <c r="AJ572" t="inlineStr"/>
      <c r="AP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t>
        </is>
      </c>
      <c r="J573" t="inlineStr"/>
      <c r="Y573" t="inlineStr">
        <is>
          <t>unknown</t>
        </is>
      </c>
      <c r="Z573" t="inlineStr"/>
      <c r="AA573" t="inlineStr"/>
      <c r="AB573" t="inlineStr"/>
      <c r="AC573" t="inlineStr"/>
      <c r="AD573" t="inlineStr">
        <is>
          <t>לא נמצא בסריקת המפיצים</t>
        </is>
      </c>
      <c r="AE573" t="inlineStr">
        <is>
          <t>סריקת אתרי מפיצים</t>
        </is>
      </c>
      <c r="AG573" t="inlineStr"/>
      <c r="AH573" t="inlineStr"/>
      <c r="AJ573" t="inlineStr"/>
      <c r="AP573" t="inlineStr">
        <is>
          <t>https://www.quartzy.com/suppliers | https://www.thomassci.com/browse-by/suppliers/greenwood-products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P574" t="n">
        <v>2651</v>
      </c>
      <c r="Q574" t="n">
        <v>2025</v>
      </c>
      <c r="R574" t="inlineStr">
        <is>
          <t>company</t>
        </is>
      </c>
      <c r="S574" t="inlineStr">
        <is>
          <t>prior</t>
        </is>
      </c>
      <c r="T574" t="n">
        <v>701</v>
      </c>
      <c r="U574" t="inlineStr">
        <is>
          <t>EUR 637 million</t>
        </is>
      </c>
      <c r="V574" t="inlineStr">
        <is>
          <t>FY2025</t>
        </is>
      </c>
      <c r="W574" t="inlineStr">
        <is>
          <t>company</t>
        </is>
      </c>
      <c r="X574" t="inlineStr">
        <is>
          <t>prior</t>
        </is>
      </c>
      <c r="Y574" t="inlineStr">
        <is>
          <t>reported</t>
        </is>
      </c>
      <c r="Z574" t="inlineStr">
        <is>
          <t>VACUETTE</t>
        </is>
      </c>
      <c r="AA574" t="inlineStr">
        <is>
          <t>CELLSTAR</t>
        </is>
      </c>
      <c r="AB574" t="inlineStr">
        <is>
          <t>Sapphire tips &amp; µClear microplates</t>
        </is>
      </c>
      <c r="AC574" t="inlineStr">
        <is>
          <t>prior</t>
        </is>
      </c>
      <c r="AD574" t="inlineStr">
        <is>
          <t>מפיץ/נציג בישראל</t>
        </is>
      </c>
      <c r="AE574" t="inlineStr">
        <is>
          <t>אומת</t>
        </is>
      </c>
      <c r="AF574" t="n">
        <v>2026</v>
      </c>
      <c r="AG574" t="inlineStr">
        <is>
          <t>Danyel Biotech Ltd. (Gamida for Life group)</t>
        </is>
      </c>
      <c r="AH574" t="inlineStr">
        <is>
          <t>Danyel Biotech Ltd. (Gamida for Life group): 1-800-711-911 (also +972 8-936-6066)</t>
        </is>
      </c>
      <c r="AI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J574" t="inlineStr">
        <is>
          <t>+43 7583 6791-0</t>
        </is>
      </c>
      <c r="AK574" t="inlineStr">
        <is>
          <t>office@gbo.com</t>
        </is>
      </c>
      <c r="AL574" t="inlineStr">
        <is>
          <t>Bad Haller Straße 32, 4550 Kremsmünster, Austria</t>
        </is>
      </c>
      <c r="AN574" t="inlineStr">
        <is>
          <t>https://www.gbo.com/en-int/imprint</t>
        </is>
      </c>
      <c r="AP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t>
        </is>
      </c>
    </row>
    <row r="575">
      <c r="A575" t="n">
        <v>574</v>
      </c>
      <c r="B575" t="inlineStr">
        <is>
          <t>Grippaz™ by PIP Global Safety</t>
        </is>
      </c>
      <c r="C575" t="inlineStr">
        <is>
          <t>T</t>
        </is>
      </c>
      <c r="E575" t="inlineStr">
        <is>
          <t>https://www.thomassci.com/browse-by/suppliers/grippaz-by-pip-global-safety</t>
        </is>
      </c>
      <c r="F575" t="inlineStr"/>
      <c r="J575" t="inlineStr"/>
      <c r="Y575" t="inlineStr">
        <is>
          <t>unknown</t>
        </is>
      </c>
      <c r="Z575" t="inlineStr"/>
      <c r="AA575" t="inlineStr"/>
      <c r="AB575" t="inlineStr"/>
      <c r="AC575" t="inlineStr"/>
      <c r="AD575" t="inlineStr">
        <is>
          <t>לא נמצא בסריקת המפיצים</t>
        </is>
      </c>
      <c r="AE575" t="inlineStr">
        <is>
          <t>סריקת אתרי מפיצים</t>
        </is>
      </c>
      <c r="AG575" t="inlineStr"/>
      <c r="AH575" t="inlineStr"/>
      <c r="AJ575" t="inlineStr"/>
      <c r="AP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Y576" t="inlineStr">
        <is>
          <t>unknown</t>
        </is>
      </c>
      <c r="Z576" t="inlineStr"/>
      <c r="AA576" t="inlineStr"/>
      <c r="AB576" t="inlineStr"/>
      <c r="AC576" t="inlineStr"/>
      <c r="AD576" t="inlineStr">
        <is>
          <t>לא נמצא בסריקת המפיצים</t>
        </is>
      </c>
      <c r="AE576" t="inlineStr">
        <is>
          <t>סריקת אתרי מפיצים</t>
        </is>
      </c>
      <c r="AG576" t="inlineStr"/>
      <c r="AH576" t="inlineStr"/>
      <c r="AJ576" t="inlineStr"/>
      <c r="AP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t>
        </is>
      </c>
      <c r="J577" t="inlineStr"/>
      <c r="Y577" t="inlineStr">
        <is>
          <t>unknown</t>
        </is>
      </c>
      <c r="Z577" t="inlineStr"/>
      <c r="AA577" t="inlineStr"/>
      <c r="AB577" t="inlineStr"/>
      <c r="AC577" t="inlineStr"/>
      <c r="AD577" t="inlineStr">
        <is>
          <t>לא נמצא בסריקת המפיצים</t>
        </is>
      </c>
      <c r="AE577" t="inlineStr">
        <is>
          <t>סריקת אתרי מפיצים</t>
        </is>
      </c>
      <c r="AG577" t="inlineStr"/>
      <c r="AH577" t="inlineStr"/>
      <c r="AJ577" t="inlineStr"/>
      <c r="AP577" t="inlineStr">
        <is>
          <t>https://www.thomassci.com/browse-by/suppliers/growcells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t>
        </is>
      </c>
      <c r="J578" t="inlineStr"/>
      <c r="Y578" t="inlineStr">
        <is>
          <t>unknown</t>
        </is>
      </c>
      <c r="Z578" t="inlineStr"/>
      <c r="AA578" t="inlineStr"/>
      <c r="AB578" t="inlineStr"/>
      <c r="AC578" t="inlineStr"/>
      <c r="AD578" t="inlineStr">
        <is>
          <t>לא נמצא בסריקת המפיצים</t>
        </is>
      </c>
      <c r="AE578" t="inlineStr">
        <is>
          <t>סריקת אתרי מפיצים</t>
        </is>
      </c>
      <c r="AG578" t="inlineStr"/>
      <c r="AH578" t="inlineStr"/>
      <c r="AJ578" t="inlineStr"/>
      <c r="AP578" t="inlineStr">
        <is>
          <t>https://www.thomassci.com/browse-by/suppliers/gs-medical-packaging</t>
        </is>
      </c>
    </row>
    <row r="579">
      <c r="A579" t="n">
        <v>578</v>
      </c>
      <c r="B579" t="inlineStr">
        <is>
          <t>GSC International, Inc.</t>
        </is>
      </c>
      <c r="C579" t="inlineStr">
        <is>
          <t>T</t>
        </is>
      </c>
      <c r="E579" t="inlineStr">
        <is>
          <t>https://www.thomassci.com/browse-by/suppliers/gsc-international-inc-</t>
        </is>
      </c>
      <c r="F579" t="inlineStr"/>
      <c r="J579" t="inlineStr"/>
      <c r="Y579" t="inlineStr">
        <is>
          <t>unknown</t>
        </is>
      </c>
      <c r="Z579" t="inlineStr"/>
      <c r="AA579" t="inlineStr"/>
      <c r="AB579" t="inlineStr"/>
      <c r="AC579" t="inlineStr"/>
      <c r="AD579" t="inlineStr">
        <is>
          <t>לא נמצא בסריקת המפיצים</t>
        </is>
      </c>
      <c r="AE579" t="inlineStr">
        <is>
          <t>סריקת אתרי מפיצים</t>
        </is>
      </c>
      <c r="AG579" t="inlineStr"/>
      <c r="AH579" t="inlineStr"/>
      <c r="AJ579" t="inlineStr"/>
      <c r="AP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t>
        </is>
      </c>
      <c r="J580" t="inlineStr"/>
      <c r="Y580" t="inlineStr">
        <is>
          <t>unknown</t>
        </is>
      </c>
      <c r="Z580" t="inlineStr"/>
      <c r="AA580" t="inlineStr"/>
      <c r="AB580" t="inlineStr"/>
      <c r="AC580" t="inlineStr"/>
      <c r="AD580" t="inlineStr">
        <is>
          <t>לא נמצא בסריקת המפיצים</t>
        </is>
      </c>
      <c r="AE580" t="inlineStr">
        <is>
          <t>סריקת אתרי מפיצים</t>
        </is>
      </c>
      <c r="AG580" t="inlineStr"/>
      <c r="AH580" t="inlineStr"/>
      <c r="AJ580" t="inlineStr"/>
      <c r="AP580" t="inlineStr">
        <is>
          <t>https://www.thomassci.com/browse-by/suppliers/guardian</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t>
        </is>
      </c>
      <c r="J581" t="inlineStr"/>
      <c r="Y581" t="inlineStr">
        <is>
          <t>unknown</t>
        </is>
      </c>
      <c r="Z581" t="inlineStr"/>
      <c r="AA581" t="inlineStr"/>
      <c r="AB581" t="inlineStr"/>
      <c r="AC581" t="inlineStr"/>
      <c r="AD581" t="inlineStr">
        <is>
          <t>לא נמצא בסריקת המפיצים</t>
        </is>
      </c>
      <c r="AE581" t="inlineStr">
        <is>
          <t>סריקת אתרי מפיצים</t>
        </is>
      </c>
      <c r="AG581" t="inlineStr"/>
      <c r="AH581" t="inlineStr"/>
      <c r="AJ581" t="inlineStr"/>
      <c r="AP581" t="inlineStr">
        <is>
          <t>https://www.thomassci.com/browse-by/suppliers/guardian-manufacturing</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t>
        </is>
      </c>
      <c r="J582" t="inlineStr"/>
      <c r="Y582" t="inlineStr">
        <is>
          <t>unknown</t>
        </is>
      </c>
      <c r="Z582" t="inlineStr"/>
      <c r="AA582" t="inlineStr"/>
      <c r="AB582" t="inlineStr"/>
      <c r="AC582" t="inlineStr"/>
      <c r="AD582" t="inlineStr">
        <is>
          <t>לא נמצא בסריקת המפיצים</t>
        </is>
      </c>
      <c r="AE582" t="inlineStr">
        <is>
          <t>סריקת אתרי מפיצים</t>
        </is>
      </c>
      <c r="AG582" t="inlineStr"/>
      <c r="AH582" t="inlineStr"/>
      <c r="AJ582" t="inlineStr"/>
      <c r="AP582" t="inlineStr">
        <is>
          <t>https://www.thomassci.com/browse-by/suppliers/gvs-filter-technology</t>
        </is>
      </c>
    </row>
    <row r="583">
      <c r="A583" t="n">
        <v>582</v>
      </c>
      <c r="B583" t="inlineStr">
        <is>
          <t>GVS Life Sciences</t>
        </is>
      </c>
      <c r="C583" t="inlineStr">
        <is>
          <t>Q</t>
        </is>
      </c>
      <c r="F583" t="inlineStr">
        <is>
          <t>yes</t>
        </is>
      </c>
      <c r="J583" t="inlineStr"/>
      <c r="Y583" t="inlineStr">
        <is>
          <t>unknown</t>
        </is>
      </c>
      <c r="Z583" t="inlineStr"/>
      <c r="AA583" t="inlineStr"/>
      <c r="AB583" t="inlineStr"/>
      <c r="AC583" t="inlineStr"/>
      <c r="AD583" t="inlineStr">
        <is>
          <t>לא נמצא בסריקת המפיצים</t>
        </is>
      </c>
      <c r="AE583" t="inlineStr">
        <is>
          <t>סריקת אתרי מפיצים</t>
        </is>
      </c>
      <c r="AG583" t="inlineStr"/>
      <c r="AH583" t="inlineStr"/>
      <c r="AJ583" t="inlineStr"/>
      <c r="AP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Y584" t="inlineStr">
        <is>
          <t>unknown</t>
        </is>
      </c>
      <c r="Z584" t="inlineStr"/>
      <c r="AA584" t="inlineStr"/>
      <c r="AB584" t="inlineStr"/>
      <c r="AC584" t="inlineStr"/>
      <c r="AD584" t="inlineStr">
        <is>
          <t>לא נמצא בסריקת המפיצים</t>
        </is>
      </c>
      <c r="AE584" t="inlineStr">
        <is>
          <t>סריקת אתרי מפיצים</t>
        </is>
      </c>
      <c r="AG584" t="inlineStr"/>
      <c r="AH584" t="inlineStr"/>
      <c r="AJ584" t="inlineStr"/>
      <c r="AP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P585" t="n">
        <v>17000</v>
      </c>
      <c r="Q585" t="n">
        <v>2025</v>
      </c>
      <c r="R585" t="inlineStr">
        <is>
          <t>parent</t>
        </is>
      </c>
      <c r="S585" t="inlineStr">
        <is>
          <t>prior</t>
        </is>
      </c>
      <c r="T585" t="n">
        <v>3321</v>
      </c>
      <c r="U585" t="inlineStr">
        <is>
          <t>USD 3,321 million</t>
        </is>
      </c>
      <c r="V585" t="inlineStr">
        <is>
          <t>FY2025</t>
        </is>
      </c>
      <c r="W585" t="inlineStr">
        <is>
          <t>segment</t>
        </is>
      </c>
      <c r="X585" t="inlineStr">
        <is>
          <t>prior</t>
        </is>
      </c>
      <c r="Y585" t="inlineStr">
        <is>
          <t>reported</t>
        </is>
      </c>
      <c r="Z585" t="inlineStr">
        <is>
          <t>DR3900 / DR6000</t>
        </is>
      </c>
      <c r="AA585" t="inlineStr">
        <is>
          <t>TNTplus</t>
        </is>
      </c>
      <c r="AB585" t="inlineStr">
        <is>
          <t>HQ series (HQ1100/HQ4300) with Intellical probes</t>
        </is>
      </c>
      <c r="AC585" t="inlineStr">
        <is>
          <t>prior</t>
        </is>
      </c>
      <c r="AD585" t="inlineStr">
        <is>
          <t>מפיץ/נציג בישראל</t>
        </is>
      </c>
      <c r="AE585" t="inlineStr">
        <is>
          <t>חיפוש חלקי</t>
        </is>
      </c>
      <c r="AF585" t="n">
        <v>2026</v>
      </c>
      <c r="AG585" t="inlineStr">
        <is>
          <t>Modotec Ltd.</t>
        </is>
      </c>
      <c r="AH585" t="inlineStr">
        <is>
          <t>Modotec Ltd.: +972-4-991-9988</t>
        </is>
      </c>
      <c r="AI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J585" t="inlineStr">
        <is>
          <t>+1 800-227-4224 (toll-free); +1 970-669-3050 (international line)</t>
        </is>
      </c>
      <c r="AK585" t="inlineStr">
        <is>
          <t>orders@hach.com; support@hach.com</t>
        </is>
      </c>
      <c r="AL585" t="inlineStr">
        <is>
          <t>P.O. Box 389, Loveland, CO 80539, USA (street address 5600 Lindbergh Drive, Loveland, CO per directories only)</t>
        </is>
      </c>
      <c r="AM585" t="inlineStr">
        <is>
          <t>https://hach.com/contact</t>
        </is>
      </c>
      <c r="AN585" t="inlineStr">
        <is>
          <t>https://hach.com/contact</t>
        </is>
      </c>
      <c r="AP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P586" t="n">
        <v>2800</v>
      </c>
      <c r="Q586" t="n">
        <v>2024</v>
      </c>
      <c r="R586" t="inlineStr">
        <is>
          <t>estimate</t>
        </is>
      </c>
      <c r="S586" t="inlineStr">
        <is>
          <t>prior</t>
        </is>
      </c>
      <c r="T586" t="n">
        <v>323.7</v>
      </c>
      <c r="U586" t="inlineStr">
        <is>
          <t>CNY 2.329 billion</t>
        </is>
      </c>
      <c r="V586" t="inlineStr">
        <is>
          <t>FY2025</t>
        </is>
      </c>
      <c r="W586" t="inlineStr">
        <is>
          <t>company</t>
        </is>
      </c>
      <c r="X586" t="inlineStr">
        <is>
          <t>prior</t>
        </is>
      </c>
      <c r="Y586" t="inlineStr">
        <is>
          <t>mixed</t>
        </is>
      </c>
      <c r="Z586" t="inlineStr">
        <is>
          <t>DW-86L series</t>
        </is>
      </c>
      <c r="AA586" t="inlineStr">
        <is>
          <t>Automated Biobank</t>
        </is>
      </c>
      <c r="AB586" t="inlineStr">
        <is>
          <t>HXC / HYC series</t>
        </is>
      </c>
      <c r="AC586" t="inlineStr">
        <is>
          <t>prior</t>
        </is>
      </c>
      <c r="AD586" t="inlineStr">
        <is>
          <t>מפיץ/נציג בישראל</t>
        </is>
      </c>
      <c r="AE586" t="inlineStr">
        <is>
          <t>אומת</t>
        </is>
      </c>
      <c r="AF586" t="n">
        <v>2026</v>
      </c>
      <c r="AG586" t="inlineStr">
        <is>
          <t>Ex-Lab</t>
        </is>
      </c>
      <c r="AH586" t="inlineStr">
        <is>
          <t>Ex-Lab:</t>
        </is>
      </c>
      <c r="AI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J586" t="inlineStr">
        <is>
          <t>+86 532 8893 7380</t>
        </is>
      </c>
      <c r="AL586" t="inlineStr">
        <is>
          <t>Branding Building, No. 1 Haier Road, Qingdao 266101, Shandong, China (CB Insights lists No. 280 Feng Yuan Road, Qingdao)</t>
        </is>
      </c>
      <c r="AN586" t="inlineStr">
        <is>
          <t>https://disfold.com/company/qingdao-haier-biomedical-co-ltd/</t>
        </is>
      </c>
      <c r="AP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t>
        </is>
      </c>
      <c r="J587" t="inlineStr"/>
      <c r="Y587" t="inlineStr">
        <is>
          <t>unknown</t>
        </is>
      </c>
      <c r="Z587" t="inlineStr"/>
      <c r="AA587" t="inlineStr"/>
      <c r="AB587" t="inlineStr"/>
      <c r="AC587" t="inlineStr"/>
      <c r="AD587" t="inlineStr">
        <is>
          <t>לא נמצא בסריקת המפיצים</t>
        </is>
      </c>
      <c r="AE587" t="inlineStr">
        <is>
          <t>סריקת אתרי מפיצים</t>
        </is>
      </c>
      <c r="AG587" t="inlineStr"/>
      <c r="AH587" t="inlineStr"/>
      <c r="AJ587" t="inlineStr"/>
      <c r="AP587" t="inlineStr">
        <is>
          <t>https://www.thomassci.com/browse-by/suppliers/halyard-health</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P588" t="n">
        <v>3000</v>
      </c>
      <c r="R588" t="inlineStr">
        <is>
          <t>company</t>
        </is>
      </c>
      <c r="S588" t="inlineStr">
        <is>
          <t>prior</t>
        </is>
      </c>
      <c r="T588" t="n">
        <v>600</v>
      </c>
      <c r="U588" t="inlineStr">
        <is>
          <t>USD ~600 million (trade estimate; private)</t>
        </is>
      </c>
      <c r="V588" t="inlineStr">
        <is>
          <t>2024 (estimate)</t>
        </is>
      </c>
      <c r="W588" t="inlineStr">
        <is>
          <t>estimate</t>
        </is>
      </c>
      <c r="X588" t="inlineStr">
        <is>
          <t>prior</t>
        </is>
      </c>
      <c r="Y588" t="inlineStr">
        <is>
          <t>estimate</t>
        </is>
      </c>
      <c r="Z588" t="inlineStr">
        <is>
          <t>Microlab STAR / STARlet / Vantage</t>
        </is>
      </c>
      <c r="AA588" t="inlineStr">
        <is>
          <t>Hamilton precision syringes (Microliter / Gastight)</t>
        </is>
      </c>
      <c r="AB588" t="inlineStr">
        <is>
          <t>Hamilton Storage BiOS / SAM</t>
        </is>
      </c>
      <c r="AC588" t="inlineStr">
        <is>
          <t>prior</t>
        </is>
      </c>
      <c r="AD588" t="inlineStr">
        <is>
          <t>מפיץ/נציג בישראל</t>
        </is>
      </c>
      <c r="AE588" t="inlineStr">
        <is>
          <t>אומת</t>
        </is>
      </c>
      <c r="AF588" t="n">
        <v>2026</v>
      </c>
      <c r="AG588" t="inlineStr">
        <is>
          <t>Danyel Biotech Ltd. (Gamida for Life group); Ophir Analytical Ltd.; Tarom Applied Technologies Ltd.</t>
        </is>
      </c>
      <c r="AH588" t="inlineStr">
        <is>
          <t>Danyel Biotech Ltd. (Gamida for Life group): 1-800-711-911 (also +972 8-936-6066); Ophir Analytical Ltd.: +972 3-902-2277; Tarom Applied Technologies Ltd.:</t>
        </is>
      </c>
      <c r="AI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J588" t="inlineStr">
        <is>
          <t>+1 775 858 3000</t>
        </is>
      </c>
      <c r="AL588" t="inlineStr">
        <is>
          <t>4970 Energy Way, Reno, NV 89502, USA</t>
        </is>
      </c>
      <c r="AM588" t="inlineStr">
        <is>
          <t>https://www.hamiltoncompany.com/contact</t>
        </is>
      </c>
      <c r="AN588" t="inlineStr">
        <is>
          <t>https://www.hamiltoncompany.com/support/global-headquarters-subsidiaries</t>
        </is>
      </c>
      <c r="AP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Y589" t="inlineStr">
        <is>
          <t>unknown</t>
        </is>
      </c>
      <c r="Z589" t="inlineStr"/>
      <c r="AA589" t="inlineStr"/>
      <c r="AB589" t="inlineStr"/>
      <c r="AC589" t="inlineStr"/>
      <c r="AD589" t="inlineStr">
        <is>
          <t>לא נמצא בסריקת המפיצים</t>
        </is>
      </c>
      <c r="AE589" t="inlineStr">
        <is>
          <t>סריקת אתרי מפיצים</t>
        </is>
      </c>
      <c r="AG589" t="inlineStr"/>
      <c r="AH589" t="inlineStr"/>
      <c r="AJ589" t="inlineStr"/>
      <c r="AP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Y590" t="inlineStr">
        <is>
          <t>unknown</t>
        </is>
      </c>
      <c r="Z590" t="inlineStr"/>
      <c r="AA590" t="inlineStr"/>
      <c r="AB590" t="inlineStr"/>
      <c r="AC590" t="inlineStr"/>
      <c r="AD590" t="inlineStr">
        <is>
          <t>לא נמצא בסריקת המפיצים</t>
        </is>
      </c>
      <c r="AE590" t="inlineStr">
        <is>
          <t>סריקת אתרי מפיצים</t>
        </is>
      </c>
      <c r="AG590" t="inlineStr"/>
      <c r="AH590" t="inlineStr"/>
      <c r="AJ590" t="inlineStr"/>
      <c r="AP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P591" t="n">
        <v>1500</v>
      </c>
      <c r="Q591" t="n">
        <v>2024</v>
      </c>
      <c r="R591" t="inlineStr">
        <is>
          <t>estimate</t>
        </is>
      </c>
      <c r="S591" t="inlineStr">
        <is>
          <t>prior</t>
        </is>
      </c>
      <c r="T591" t="n">
        <v>150</v>
      </c>
      <c r="U591" t="inlineStr">
        <is>
          <t>USD ~150 million (trade estimate; private)</t>
        </is>
      </c>
      <c r="V591" t="inlineStr">
        <is>
          <t>2024 (estimate)</t>
        </is>
      </c>
      <c r="W591" t="inlineStr">
        <is>
          <t>estimate</t>
        </is>
      </c>
      <c r="X591" t="inlineStr">
        <is>
          <t>prior</t>
        </is>
      </c>
      <c r="Y591" t="inlineStr">
        <is>
          <t>estimate</t>
        </is>
      </c>
      <c r="Z591" t="inlineStr">
        <is>
          <t>HI931 / HI932</t>
        </is>
      </c>
      <c r="AA591" t="inlineStr">
        <is>
          <t>edge (HI2020)</t>
        </is>
      </c>
      <c r="AB591" t="inlineStr">
        <is>
          <t>HI83300 series &amp; Checker HC</t>
        </is>
      </c>
      <c r="AC591" t="inlineStr">
        <is>
          <t>prior</t>
        </is>
      </c>
      <c r="AD591" t="inlineStr">
        <is>
          <t>מפיץ/נציג בישראל</t>
        </is>
      </c>
      <c r="AE591" t="inlineStr">
        <is>
          <t>אומת</t>
        </is>
      </c>
      <c r="AF591" t="n">
        <v>2026</v>
      </c>
      <c r="AG591" t="inlineStr">
        <is>
          <t>Medent Scientific Instruments; BioAnalytics; Cannadepot; Mercury (mercury-ltd.co.il; part of Gadot Chemicals Group)</t>
        </is>
      </c>
      <c r="AH591" t="inlineStr">
        <is>
          <t>Medent Scientific Instruments: +972 72-395-0508 (sales); +972 8-683-6306 (service) info@medent.co.il; BioAnalytics: +972-72-242-9555; Cannadepot:; Mercury (mercury-ltd.co.il; part of Gadot Chemicals Group): +972 3-938-7164</t>
        </is>
      </c>
      <c r="AI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J591" t="inlineStr">
        <is>
          <t>+1 401-765-0048</t>
        </is>
      </c>
      <c r="AK591" t="inlineStr">
        <is>
          <t>intsales@hannainst.com; sales@hannainst.com (US sales/technical service office, Smithfield RI)</t>
        </is>
      </c>
      <c r="AL591" t="inlineStr">
        <is>
          <t>584 Park East Drive, Highland Industrial Park, Woonsocket, RI 02895, USA</t>
        </is>
      </c>
      <c r="AN591" t="inlineStr">
        <is>
          <t>https://hannainst.ec/catalogo/14</t>
        </is>
      </c>
      <c r="AP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Y592" t="inlineStr">
        <is>
          <t>unknown</t>
        </is>
      </c>
      <c r="Z592" t="inlineStr"/>
      <c r="AA592" t="inlineStr"/>
      <c r="AB592" t="inlineStr"/>
      <c r="AC592" t="inlineStr"/>
      <c r="AD592" t="inlineStr">
        <is>
          <t>לא נמצא בסריקת המפיצים</t>
        </is>
      </c>
      <c r="AE592" t="inlineStr">
        <is>
          <t>סריקת אתרי מפיצים</t>
        </is>
      </c>
      <c r="AG592" t="inlineStr"/>
      <c r="AH592" t="inlineStr"/>
      <c r="AJ592" t="inlineStr"/>
      <c r="AP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https://hartmann.com</t>
        </is>
      </c>
      <c r="I593" t="inlineStr">
        <is>
          <t>clearbit</t>
        </is>
      </c>
      <c r="J593" t="inlineStr"/>
      <c r="Y593" t="inlineStr">
        <is>
          <t>unknown</t>
        </is>
      </c>
      <c r="Z593" t="inlineStr"/>
      <c r="AA593" t="inlineStr"/>
      <c r="AB593" t="inlineStr"/>
      <c r="AC593" t="inlineStr"/>
      <c r="AD593" t="inlineStr">
        <is>
          <t>לא נמצא בסריקת המפיצים</t>
        </is>
      </c>
      <c r="AE593" t="inlineStr">
        <is>
          <t>סריקת אתרי מפיצים</t>
        </is>
      </c>
      <c r="AG593" t="inlineStr"/>
      <c r="AH593" t="inlineStr"/>
      <c r="AJ593" t="inlineStr"/>
      <c r="AP593" t="inlineStr">
        <is>
          <t>https://www.dutscher.com/search?initialFilters=brand:Hartmann</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t>
        </is>
      </c>
      <c r="J594" t="inlineStr"/>
      <c r="Y594" t="inlineStr">
        <is>
          <t>unknown</t>
        </is>
      </c>
      <c r="Z594" t="inlineStr"/>
      <c r="AA594" t="inlineStr"/>
      <c r="AB594" t="inlineStr"/>
      <c r="AC594" t="inlineStr"/>
      <c r="AD594" t="inlineStr">
        <is>
          <t>לא נמצא בסריקת המפיצים</t>
        </is>
      </c>
      <c r="AE594" t="inlineStr">
        <is>
          <t>סריקת אתרי מפיצים</t>
        </is>
      </c>
      <c r="AG594" t="inlineStr"/>
      <c r="AH594" t="inlineStr"/>
      <c r="AJ594" t="inlineStr"/>
      <c r="AP594" t="inlineStr">
        <is>
          <t>https://www.quartzy.com/suppliers | https://www.thomassci.com/browse-by/suppliers/harvard-apparatus</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t>
        </is>
      </c>
      <c r="J595" t="inlineStr"/>
      <c r="Y595" t="inlineStr">
        <is>
          <t>unknown</t>
        </is>
      </c>
      <c r="Z595" t="inlineStr"/>
      <c r="AA595" t="inlineStr"/>
      <c r="AB595" t="inlineStr"/>
      <c r="AC595" t="inlineStr"/>
      <c r="AD595" t="inlineStr">
        <is>
          <t>לא נמצא בסריקת המפיצים</t>
        </is>
      </c>
      <c r="AE595" t="inlineStr">
        <is>
          <t>סריקת אתרי מפיצים</t>
        </is>
      </c>
      <c r="AG595" t="inlineStr"/>
      <c r="AH595" t="inlineStr"/>
      <c r="AJ595" t="inlineStr"/>
      <c r="AP595" t="inlineStr">
        <is>
          <t>https://www.thomassci.com/browse-by/suppliers/hausser-scientific</t>
        </is>
      </c>
    </row>
    <row r="596">
      <c r="A596" t="n">
        <v>595</v>
      </c>
      <c r="B596" t="inlineStr">
        <is>
          <t>Haver &amp; Boeker</t>
        </is>
      </c>
      <c r="C596" t="inlineStr">
        <is>
          <t>D</t>
        </is>
      </c>
      <c r="D596" t="inlineStr">
        <is>
          <t>https://www.dutscher.com/search?initialFilters=brand:Haver+%26+Boeker</t>
        </is>
      </c>
      <c r="F596" t="inlineStr"/>
      <c r="J596" t="inlineStr"/>
      <c r="Y596" t="inlineStr">
        <is>
          <t>unknown</t>
        </is>
      </c>
      <c r="Z596" t="inlineStr"/>
      <c r="AA596" t="inlineStr"/>
      <c r="AB596" t="inlineStr"/>
      <c r="AC596" t="inlineStr"/>
      <c r="AD596" t="inlineStr">
        <is>
          <t>לא נמצא בסריקת המפיצים</t>
        </is>
      </c>
      <c r="AE596" t="inlineStr">
        <is>
          <t>סריקת אתרי מפיצים</t>
        </is>
      </c>
      <c r="AG596" t="inlineStr"/>
      <c r="AH596" t="inlineStr"/>
      <c r="AJ596" t="inlineStr"/>
      <c r="AP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t>
        </is>
      </c>
      <c r="J597" t="inlineStr"/>
      <c r="Y597" t="inlineStr">
        <is>
          <t>unknown</t>
        </is>
      </c>
      <c r="Z597" t="inlineStr">
        <is>
          <t>OneRack® Full-Size Delrin® POM Test Tube Racks</t>
        </is>
      </c>
      <c r="AA597" t="inlineStr">
        <is>
          <t>Disposable Transfer Pipets</t>
        </is>
      </c>
      <c r="AB597" t="inlineStr">
        <is>
          <t>Cube Rack</t>
        </is>
      </c>
      <c r="AC597" t="inlineStr">
        <is>
          <t>thomassci</t>
        </is>
      </c>
      <c r="AD597" t="inlineStr">
        <is>
          <t>לא נמצא בסריקת המפיצים</t>
        </is>
      </c>
      <c r="AE597" t="inlineStr">
        <is>
          <t>סריקת אתרי מפיצים</t>
        </is>
      </c>
      <c r="AG597" t="inlineStr"/>
      <c r="AH597" t="inlineStr"/>
      <c r="AJ597" t="inlineStr"/>
      <c r="AP597" t="inlineStr">
        <is>
          <t>https://www.quartzy.com/suppliers | https://www.thomassci.com/browse-by/suppliers/heathrow-scientific</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laboratory equipment manufacturer</t>
        </is>
      </c>
      <c r="P598" t="n">
        <v>200</v>
      </c>
      <c r="Q598" t="n">
        <v>2024</v>
      </c>
      <c r="R598" t="inlineStr">
        <is>
          <t>company</t>
        </is>
      </c>
      <c r="S598" t="inlineStr">
        <is>
          <t>prior</t>
        </is>
      </c>
      <c r="T598" t="n">
        <v>55</v>
      </c>
      <c r="U598" t="inlineStr">
        <is>
          <t>EUR ~50 million</t>
        </is>
      </c>
      <c r="V598" t="inlineStr">
        <is>
          <t>FY ending Mar-2024</t>
        </is>
      </c>
      <c r="W598" t="inlineStr">
        <is>
          <t>company</t>
        </is>
      </c>
      <c r="X598" t="inlineStr">
        <is>
          <t>prior</t>
        </is>
      </c>
      <c r="Y598" t="inlineStr">
        <is>
          <t>reported</t>
        </is>
      </c>
      <c r="Z598" t="inlineStr">
        <is>
          <t>Hei-VAP series</t>
        </is>
      </c>
      <c r="AA598" t="inlineStr">
        <is>
          <t>Hei-TORQUE series</t>
        </is>
      </c>
      <c r="AB598" t="inlineStr">
        <is>
          <t>Hei-PLATE / Hei-Tec</t>
        </is>
      </c>
      <c r="AC598" t="inlineStr">
        <is>
          <t>prior</t>
        </is>
      </c>
      <c r="AD598" t="inlineStr">
        <is>
          <t>מפיץ/נציג בישראל</t>
        </is>
      </c>
      <c r="AE598" t="inlineStr">
        <is>
          <t>אומת</t>
        </is>
      </c>
      <c r="AF598" t="n">
        <v>2026</v>
      </c>
      <c r="AG598" t="inlineStr">
        <is>
          <t>Labotal Scientific Equipment Ltd.</t>
        </is>
      </c>
      <c r="AH598" t="inlineStr">
        <is>
          <t>Labotal Scientific Equipment Ltd.: +972 2-579-9222 Sales@labotal.co.il</t>
        </is>
      </c>
      <c r="AI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J598" t="inlineStr">
        <is>
          <t>+49 9122 9920-0</t>
        </is>
      </c>
      <c r="AK598" t="inlineStr">
        <is>
          <t>sales@heidolph.de</t>
        </is>
      </c>
      <c r="AL598" t="inlineStr">
        <is>
          <t>Walpersdorfer Str. 12, 91126 Schwabach, Germany</t>
        </is>
      </c>
      <c r="AM598" t="inlineStr">
        <is>
          <t>https://www.heidolph.com/asia/ko/Contact/WorldWideExperts</t>
        </is>
      </c>
      <c r="AN598" t="inlineStr">
        <is>
          <t>https://prod.heidolph.com/Images%20%26%20Graphics/Africa%2C%20Asia%2C%20Middle%20East%2C%20South%20America.pdf</t>
        </is>
      </c>
      <c r="AO598" t="inlineStr">
        <is>
          <t>Q5699017</t>
        </is>
      </c>
      <c r="AP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t>
        </is>
      </c>
    </row>
    <row r="599">
      <c r="A599" t="n">
        <v>598</v>
      </c>
      <c r="B599" t="inlineStr">
        <is>
          <t>Hellma</t>
        </is>
      </c>
      <c r="C599" t="inlineStr">
        <is>
          <t>D</t>
        </is>
      </c>
      <c r="D599" t="inlineStr">
        <is>
          <t>https://www.dutscher.com/search?initialFilters=brand:Hellma</t>
        </is>
      </c>
      <c r="F599" t="inlineStr"/>
      <c r="J599" t="inlineStr"/>
      <c r="Y599" t="inlineStr">
        <is>
          <t>unknown</t>
        </is>
      </c>
      <c r="Z599" t="inlineStr"/>
      <c r="AA599" t="inlineStr"/>
      <c r="AB599" t="inlineStr"/>
      <c r="AC599" t="inlineStr"/>
      <c r="AD599" t="inlineStr">
        <is>
          <t>לא נמצא בסריקת המפיצים</t>
        </is>
      </c>
      <c r="AE599" t="inlineStr">
        <is>
          <t>סריקת אתרי מפיצים</t>
        </is>
      </c>
      <c r="AG599" t="inlineStr"/>
      <c r="AH599" t="inlineStr"/>
      <c r="AJ599" t="inlineStr"/>
      <c r="AP599" t="inlineStr">
        <is>
          <t>https://www.dutscher.com/search?initialFilters=brand:Hellma</t>
        </is>
      </c>
    </row>
    <row r="600">
      <c r="A600" t="n">
        <v>599</v>
      </c>
      <c r="B600" t="inlineStr">
        <is>
          <t>HelloBio</t>
        </is>
      </c>
      <c r="C600" t="inlineStr">
        <is>
          <t>Q</t>
        </is>
      </c>
      <c r="F600" t="inlineStr">
        <is>
          <t>yes</t>
        </is>
      </c>
      <c r="H600" t="inlineStr">
        <is>
          <t>https://hellobio.com</t>
        </is>
      </c>
      <c r="I600" t="inlineStr">
        <is>
          <t>clearbit</t>
        </is>
      </c>
      <c r="J600" t="inlineStr"/>
      <c r="Y600" t="inlineStr">
        <is>
          <t>unknown</t>
        </is>
      </c>
      <c r="Z600" t="inlineStr"/>
      <c r="AA600" t="inlineStr"/>
      <c r="AB600" t="inlineStr"/>
      <c r="AC600" t="inlineStr"/>
      <c r="AD600" t="inlineStr">
        <is>
          <t>לא נמצא בסריקת המפיצים</t>
        </is>
      </c>
      <c r="AE600" t="inlineStr">
        <is>
          <t>סריקת אתרי מפיצים</t>
        </is>
      </c>
      <c r="AG600" t="inlineStr"/>
      <c r="AH600" t="inlineStr"/>
      <c r="AJ600" t="inlineStr"/>
      <c r="AP600" t="inlineStr">
        <is>
          <t>https://www.quartzy.com/suppliers</t>
        </is>
      </c>
    </row>
    <row r="601">
      <c r="A601" t="n">
        <v>600</v>
      </c>
      <c r="B601" t="inlineStr">
        <is>
          <t>Hemco</t>
        </is>
      </c>
      <c r="C601" t="inlineStr">
        <is>
          <t>T</t>
        </is>
      </c>
      <c r="E601" t="inlineStr">
        <is>
          <t>https://www.thomassci.com/browse-by/suppliers/hemco</t>
        </is>
      </c>
      <c r="F601" t="inlineStr"/>
      <c r="H601" t="inlineStr">
        <is>
          <t>https://hemcocorp.com</t>
        </is>
      </c>
      <c r="I601" t="inlineStr">
        <is>
          <t>clearbit</t>
        </is>
      </c>
      <c r="J601" t="inlineStr"/>
      <c r="Y601" t="inlineStr">
        <is>
          <t>unknown</t>
        </is>
      </c>
      <c r="Z601" t="inlineStr"/>
      <c r="AA601" t="inlineStr"/>
      <c r="AB601" t="inlineStr"/>
      <c r="AC601" t="inlineStr"/>
      <c r="AD601" t="inlineStr">
        <is>
          <t>לא נמצא בסריקת המפיצים</t>
        </is>
      </c>
      <c r="AE601" t="inlineStr">
        <is>
          <t>סריקת אתרי מפיצים</t>
        </is>
      </c>
      <c r="AG601" t="inlineStr"/>
      <c r="AH601" t="inlineStr"/>
      <c r="AJ601" t="inlineStr"/>
      <c r="AP601" t="inlineStr">
        <is>
          <t>https://www.thomassci.com/browse-by/suppliers/hemco</t>
        </is>
      </c>
    </row>
    <row r="602">
      <c r="A602" t="n">
        <v>601</v>
      </c>
      <c r="B602" t="inlineStr">
        <is>
          <t>Hemp's Power Tool Repair</t>
        </is>
      </c>
      <c r="C602" t="inlineStr">
        <is>
          <t>T</t>
        </is>
      </c>
      <c r="E602" t="inlineStr">
        <is>
          <t>https://www.thomassci.com/browse-by/suppliers/hemps-power-tool-repair</t>
        </is>
      </c>
      <c r="F602" t="inlineStr"/>
      <c r="J602" t="inlineStr"/>
      <c r="Y602" t="inlineStr">
        <is>
          <t>unknown</t>
        </is>
      </c>
      <c r="Z602" t="inlineStr"/>
      <c r="AA602" t="inlineStr"/>
      <c r="AB602" t="inlineStr"/>
      <c r="AC602" t="inlineStr"/>
      <c r="AD602" t="inlineStr">
        <is>
          <t>לא נמצא בסריקת המפיצים</t>
        </is>
      </c>
      <c r="AE602" t="inlineStr">
        <is>
          <t>סריקת אתרי מפיצים</t>
        </is>
      </c>
      <c r="AG602" t="inlineStr"/>
      <c r="AH602" t="inlineStr"/>
      <c r="AJ602" t="inlineStr"/>
      <c r="AP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Y603" t="inlineStr">
        <is>
          <t>unknown</t>
        </is>
      </c>
      <c r="Z603" t="inlineStr"/>
      <c r="AA603" t="inlineStr"/>
      <c r="AB603" t="inlineStr"/>
      <c r="AC603" t="inlineStr"/>
      <c r="AD603" t="inlineStr">
        <is>
          <t>לא נמצא בסריקת המפיצים</t>
        </is>
      </c>
      <c r="AE603" t="inlineStr">
        <is>
          <t>סריקת אתרי מפיצים</t>
        </is>
      </c>
      <c r="AG603" t="inlineStr"/>
      <c r="AH603" t="inlineStr"/>
      <c r="AJ603" t="inlineStr"/>
      <c r="AP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P604" t="n">
        <v>500</v>
      </c>
      <c r="Q604" t="n">
        <v>2025</v>
      </c>
      <c r="R604" t="inlineStr">
        <is>
          <t>company</t>
        </is>
      </c>
      <c r="S604" t="inlineStr">
        <is>
          <t>prior</t>
        </is>
      </c>
      <c r="T604" t="n">
        <v>110</v>
      </c>
      <c r="U604" t="inlineStr">
        <is>
          <t>&gt; EUR 100 million</t>
        </is>
      </c>
      <c r="V604" t="inlineStr">
        <is>
          <t>FY2023</t>
        </is>
      </c>
      <c r="W604" t="inlineStr">
        <is>
          <t>company</t>
        </is>
      </c>
      <c r="X604" t="inlineStr">
        <is>
          <t>prior</t>
        </is>
      </c>
      <c r="Y604" t="inlineStr">
        <is>
          <t>reported</t>
        </is>
      </c>
      <c r="Z604" t="inlineStr">
        <is>
          <t>UNIVERSAL 320 / 320 R</t>
        </is>
      </c>
      <c r="AA604" t="inlineStr">
        <is>
          <t>ROTINA 380 / 420 (R)</t>
        </is>
      </c>
      <c r="AB604" t="inlineStr">
        <is>
          <t>HettCube</t>
        </is>
      </c>
      <c r="AC604" t="inlineStr">
        <is>
          <t>prior</t>
        </is>
      </c>
      <c r="AD604" t="inlineStr">
        <is>
          <t>מפיץ/נציג בישראל</t>
        </is>
      </c>
      <c r="AE604" t="inlineStr">
        <is>
          <t>אומת</t>
        </is>
      </c>
      <c r="AF604" t="n">
        <v>2026</v>
      </c>
      <c r="AG604" t="inlineStr">
        <is>
          <t>Eldan Electronic Instruments Ltd. (Neopharm group)</t>
        </is>
      </c>
      <c r="AH604" t="inlineStr">
        <is>
          <t>Eldan Electronic Instruments Ltd. (Neopharm group): +972-3-937-1111 info@eldan.biz</t>
        </is>
      </c>
      <c r="AI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4" t="inlineStr">
        <is>
          <t>+49 7461 705-0</t>
        </is>
      </c>
      <c r="AK604" t="inlineStr">
        <is>
          <t>info@hettichlab.com</t>
        </is>
      </c>
      <c r="AL604" t="inlineStr">
        <is>
          <t>Föhrenstraße 12, 78532 Tuttlingen, Germany</t>
        </is>
      </c>
      <c r="AN604" t="inlineStr">
        <is>
          <t>https://www.hettichlab.com/imprint</t>
        </is>
      </c>
      <c r="AP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P605" t="n">
        <v>500</v>
      </c>
      <c r="Q605" t="n">
        <v>2025</v>
      </c>
      <c r="R605" t="inlineStr">
        <is>
          <t>company</t>
        </is>
      </c>
      <c r="S605" t="inlineStr">
        <is>
          <t>prior</t>
        </is>
      </c>
      <c r="T605" t="n">
        <v>110</v>
      </c>
      <c r="U605" t="inlineStr">
        <is>
          <t>&gt; EUR 100 million</t>
        </is>
      </c>
      <c r="V605" t="inlineStr">
        <is>
          <t>FY2023</t>
        </is>
      </c>
      <c r="W605" t="inlineStr">
        <is>
          <t>company</t>
        </is>
      </c>
      <c r="X605" t="inlineStr">
        <is>
          <t>prior</t>
        </is>
      </c>
      <c r="Y605" t="inlineStr">
        <is>
          <t>reported</t>
        </is>
      </c>
      <c r="Z605" t="inlineStr">
        <is>
          <t>UNIVERSAL 320 / 320 R</t>
        </is>
      </c>
      <c r="AA605" t="inlineStr">
        <is>
          <t>ROTINA 380 / 420 (R)</t>
        </is>
      </c>
      <c r="AB605" t="inlineStr">
        <is>
          <t>HettCube</t>
        </is>
      </c>
      <c r="AC605" t="inlineStr">
        <is>
          <t>prior</t>
        </is>
      </c>
      <c r="AD605" t="inlineStr">
        <is>
          <t>מפיץ/נציג בישראל</t>
        </is>
      </c>
      <c r="AE605" t="inlineStr">
        <is>
          <t>אומת</t>
        </is>
      </c>
      <c r="AF605" t="n">
        <v>2026</v>
      </c>
      <c r="AG605" t="inlineStr">
        <is>
          <t>Eldan Electronic Instruments Ltd. (Neopharm group)</t>
        </is>
      </c>
      <c r="AH605" t="inlineStr">
        <is>
          <t>Eldan Electronic Instruments Ltd. (Neopharm group): +972-3-937-1111 info@eldan.biz</t>
        </is>
      </c>
      <c r="AI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5" t="inlineStr">
        <is>
          <t>+49 7461 705-0</t>
        </is>
      </c>
      <c r="AK605" t="inlineStr">
        <is>
          <t>info@hettichlab.com</t>
        </is>
      </c>
      <c r="AL605" t="inlineStr">
        <is>
          <t>Föhrenstraße 12, 78532 Tuttlingen, Germany</t>
        </is>
      </c>
      <c r="AN605" t="inlineStr">
        <is>
          <t>https://www.hettichlab.com/imprint</t>
        </is>
      </c>
      <c r="AP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Y606" t="inlineStr">
        <is>
          <t>unknown</t>
        </is>
      </c>
      <c r="Z606" t="inlineStr"/>
      <c r="AA606" t="inlineStr"/>
      <c r="AB606" t="inlineStr"/>
      <c r="AC606" t="inlineStr"/>
      <c r="AD606" t="inlineStr">
        <is>
          <t>לא נמצא בסריקת המפיצים</t>
        </is>
      </c>
      <c r="AE606" t="inlineStr">
        <is>
          <t>סריקת אתרי מפיצים</t>
        </is>
      </c>
      <c r="AG606" t="inlineStr"/>
      <c r="AH606" t="inlineStr"/>
      <c r="AJ606" t="inlineStr"/>
      <c r="AP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t>
        </is>
      </c>
      <c r="J607" t="inlineStr"/>
      <c r="Y607" t="inlineStr">
        <is>
          <t>unknown</t>
        </is>
      </c>
      <c r="Z607" t="inlineStr"/>
      <c r="AA607" t="inlineStr"/>
      <c r="AB607" t="inlineStr"/>
      <c r="AC607" t="inlineStr"/>
      <c r="AD607" t="inlineStr">
        <is>
          <t>לא נמצא בסריקת המפיצים</t>
        </is>
      </c>
      <c r="AE607" t="inlineStr">
        <is>
          <t>סריקת אתרי מפיצים</t>
        </is>
      </c>
      <c r="AG607" t="inlineStr"/>
      <c r="AH607" t="inlineStr"/>
      <c r="AJ607" t="inlineStr"/>
      <c r="AP607" t="inlineStr">
        <is>
          <t>https://www.thomassci.com/browse-by/suppliers/high-five</t>
        </is>
      </c>
    </row>
    <row r="608">
      <c r="A608" t="n">
        <v>607</v>
      </c>
      <c r="B608" t="inlineStr">
        <is>
          <t>High-Purity Standards</t>
        </is>
      </c>
      <c r="C608" t="inlineStr">
        <is>
          <t>Q</t>
        </is>
      </c>
      <c r="F608" t="inlineStr">
        <is>
          <t>yes</t>
        </is>
      </c>
      <c r="H608" t="inlineStr">
        <is>
          <t>https://highpuritystandards.com</t>
        </is>
      </c>
      <c r="I608" t="inlineStr">
        <is>
          <t>clearbit</t>
        </is>
      </c>
      <c r="J608" t="inlineStr"/>
      <c r="Y608" t="inlineStr">
        <is>
          <t>unknown</t>
        </is>
      </c>
      <c r="Z608" t="inlineStr"/>
      <c r="AA608" t="inlineStr"/>
      <c r="AB608" t="inlineStr"/>
      <c r="AC608" t="inlineStr"/>
      <c r="AD608" t="inlineStr">
        <is>
          <t>לא נמצא בסריקת המפיצים</t>
        </is>
      </c>
      <c r="AE608" t="inlineStr">
        <is>
          <t>סריקת אתרי מפיצים</t>
        </is>
      </c>
      <c r="AG608" t="inlineStr"/>
      <c r="AH608" t="inlineStr"/>
      <c r="AJ608" t="inlineStr"/>
      <c r="AP608" t="inlineStr">
        <is>
          <t>https://www.quartzy.com/suppliers</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t>
        </is>
      </c>
      <c r="J609" t="inlineStr"/>
      <c r="Y609" t="inlineStr">
        <is>
          <t>unknown</t>
        </is>
      </c>
      <c r="Z609" t="inlineStr"/>
      <c r="AA609" t="inlineStr"/>
      <c r="AB609" t="inlineStr"/>
      <c r="AC609" t="inlineStr"/>
      <c r="AD609" t="inlineStr">
        <is>
          <t>לא נמצא בסריקת המפיצים</t>
        </is>
      </c>
      <c r="AE609" t="inlineStr">
        <is>
          <t>סריקת אתרי מפיצים</t>
        </is>
      </c>
      <c r="AG609" t="inlineStr"/>
      <c r="AH609" t="inlineStr"/>
      <c r="AJ609" t="inlineStr"/>
      <c r="AP609" t="inlineStr">
        <is>
          <t>https://www.thomassci.com/browse-by/suppliers/high-tech-conversions</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https://himedya.com</t>
        </is>
      </c>
      <c r="I610" t="inlineStr">
        <is>
          <t>clearbit</t>
        </is>
      </c>
      <c r="J610" t="inlineStr"/>
      <c r="Y610" t="inlineStr">
        <is>
          <t>unknown</t>
        </is>
      </c>
      <c r="Z610" t="inlineStr"/>
      <c r="AA610" t="inlineStr"/>
      <c r="AB610" t="inlineStr"/>
      <c r="AC610" t="inlineStr"/>
      <c r="AD610" t="inlineStr">
        <is>
          <t>לא נמצא בסריקת המפיצים</t>
        </is>
      </c>
      <c r="AE610" t="inlineStr">
        <is>
          <t>סריקת אתרי מפיצים</t>
        </is>
      </c>
      <c r="AG610" t="inlineStr"/>
      <c r="AH610" t="inlineStr"/>
      <c r="AJ610" t="inlineStr"/>
      <c r="AP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Y611" t="inlineStr">
        <is>
          <t>unknown</t>
        </is>
      </c>
      <c r="Z611" t="inlineStr"/>
      <c r="AA611" t="inlineStr"/>
      <c r="AB611" t="inlineStr"/>
      <c r="AC611" t="inlineStr"/>
      <c r="AD611" t="inlineStr">
        <is>
          <t>לא נמצא בסריקת המפיצים</t>
        </is>
      </c>
      <c r="AE611" t="inlineStr">
        <is>
          <t>סריקת אתרי מפיצים</t>
        </is>
      </c>
      <c r="AG611" t="inlineStr"/>
      <c r="AH611" t="inlineStr"/>
      <c r="AJ611" t="inlineStr"/>
      <c r="AP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Y612" t="inlineStr">
        <is>
          <t>unknown</t>
        </is>
      </c>
      <c r="Z612" t="inlineStr"/>
      <c r="AA612" t="inlineStr"/>
      <c r="AB612" t="inlineStr"/>
      <c r="AC612" t="inlineStr"/>
      <c r="AD612" t="inlineStr">
        <is>
          <t>לא נמצא בסריקת המפיצים</t>
        </is>
      </c>
      <c r="AE612" t="inlineStr">
        <is>
          <t>סריקת אתרי מפיצים</t>
        </is>
      </c>
      <c r="AG612" t="inlineStr"/>
      <c r="AH612" t="inlineStr"/>
      <c r="AJ612" t="inlineStr"/>
      <c r="AP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t>
        </is>
      </c>
      <c r="J613" t="inlineStr"/>
      <c r="Y613" t="inlineStr">
        <is>
          <t>unknown</t>
        </is>
      </c>
      <c r="Z613" t="inlineStr"/>
      <c r="AA613" t="inlineStr"/>
      <c r="AB613" t="inlineStr"/>
      <c r="AC613" t="inlineStr"/>
      <c r="AD613" t="inlineStr">
        <is>
          <t>לא נמצא בסריקת המפיצים</t>
        </is>
      </c>
      <c r="AE613" t="inlineStr">
        <is>
          <t>סריקת אתרי מפיצים</t>
        </is>
      </c>
      <c r="AG613" t="inlineStr"/>
      <c r="AH613" t="inlineStr"/>
      <c r="AJ613" t="inlineStr"/>
      <c r="AP613" t="inlineStr">
        <is>
          <t>https://www.quartzy.com/suppliers | https://www.thomassci.com/browse-by/suppliers/hoefer</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t>
        </is>
      </c>
      <c r="J614" t="inlineStr"/>
      <c r="Y614" t="inlineStr">
        <is>
          <t>unknown</t>
        </is>
      </c>
      <c r="Z614" t="inlineStr"/>
      <c r="AA614" t="inlineStr"/>
      <c r="AB614" t="inlineStr"/>
      <c r="AC614" t="inlineStr"/>
      <c r="AD614" t="inlineStr">
        <is>
          <t>לא נמצא בסריקת המפיצים</t>
        </is>
      </c>
      <c r="AE614" t="inlineStr">
        <is>
          <t>סריקת אתרי מפיצים</t>
        </is>
      </c>
      <c r="AG614" t="inlineStr"/>
      <c r="AH614" t="inlineStr"/>
      <c r="AJ614" t="inlineStr"/>
      <c r="AP614" t="inlineStr">
        <is>
          <t>https://www.dutscher.com/search?initialFilters=brand:Honeywell | https://www.thomassci.com/browse-by/suppliers/honeywell</t>
        </is>
      </c>
    </row>
    <row r="615">
      <c r="A615" t="n">
        <v>614</v>
      </c>
      <c r="B615" t="inlineStr">
        <is>
          <t>Honeywell Burdick &amp; Jackson</t>
        </is>
      </c>
      <c r="C615" t="inlineStr">
        <is>
          <t>T</t>
        </is>
      </c>
      <c r="E615" t="inlineStr">
        <is>
          <t>https://www.thomassci.com/browse-by/suppliers/honeywell-burdick-and-jackson</t>
        </is>
      </c>
      <c r="F615" t="inlineStr"/>
      <c r="J615" t="inlineStr"/>
      <c r="Y615" t="inlineStr">
        <is>
          <t>unknown</t>
        </is>
      </c>
      <c r="Z615" t="inlineStr"/>
      <c r="AA615" t="inlineStr"/>
      <c r="AB615" t="inlineStr"/>
      <c r="AC615" t="inlineStr"/>
      <c r="AD615" t="inlineStr">
        <is>
          <t>לא נמצא בסריקת המפיצים</t>
        </is>
      </c>
      <c r="AE615" t="inlineStr">
        <is>
          <t>סריקת אתרי מפיצים</t>
        </is>
      </c>
      <c r="AG615" t="inlineStr"/>
      <c r="AH615" t="inlineStr"/>
      <c r="AJ615" t="inlineStr"/>
      <c r="AP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Y616" t="inlineStr">
        <is>
          <t>unknown</t>
        </is>
      </c>
      <c r="Z616" t="inlineStr"/>
      <c r="AA616" t="inlineStr"/>
      <c r="AB616" t="inlineStr"/>
      <c r="AC616" t="inlineStr"/>
      <c r="AD616" t="inlineStr">
        <is>
          <t>לא נמצא בסריקת המפיצים</t>
        </is>
      </c>
      <c r="AE616" t="inlineStr">
        <is>
          <t>סריקת אתרי מפיצים</t>
        </is>
      </c>
      <c r="AG616" t="inlineStr"/>
      <c r="AH616" t="inlineStr"/>
      <c r="AJ616" t="inlineStr"/>
      <c r="AP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Y617" t="inlineStr">
        <is>
          <t>unknown</t>
        </is>
      </c>
      <c r="Z617" t="inlineStr"/>
      <c r="AA617" t="inlineStr"/>
      <c r="AB617" t="inlineStr"/>
      <c r="AC617" t="inlineStr"/>
      <c r="AD617" t="inlineStr">
        <is>
          <t>לא נמצא בסריקת המפיצים</t>
        </is>
      </c>
      <c r="AE617" t="inlineStr">
        <is>
          <t>סריקת אתרי מפיצים</t>
        </is>
      </c>
      <c r="AG617" t="inlineStr"/>
      <c r="AH617" t="inlineStr"/>
      <c r="AJ617" t="inlineStr"/>
      <c r="AP617" t="inlineStr">
        <is>
          <t>https://www.thomassci.com/browse-by/suppliers/honeywell-research-chemicals</t>
        </is>
      </c>
    </row>
    <row r="618">
      <c r="A618" t="n">
        <v>617</v>
      </c>
      <c r="B618" t="inlineStr">
        <is>
          <t>Hongene</t>
        </is>
      </c>
      <c r="C618" t="inlineStr">
        <is>
          <t>Q</t>
        </is>
      </c>
      <c r="F618" t="inlineStr">
        <is>
          <t>yes</t>
        </is>
      </c>
      <c r="J618" t="inlineStr"/>
      <c r="Y618" t="inlineStr">
        <is>
          <t>unknown</t>
        </is>
      </c>
      <c r="Z618" t="inlineStr"/>
      <c r="AA618" t="inlineStr"/>
      <c r="AB618" t="inlineStr"/>
      <c r="AC618" t="inlineStr"/>
      <c r="AD618" t="inlineStr">
        <is>
          <t>לא נמצא בסריקת המפיצים</t>
        </is>
      </c>
      <c r="AE618" t="inlineStr">
        <is>
          <t>סריקת אתרי מפיצים</t>
        </is>
      </c>
      <c r="AG618" t="inlineStr"/>
      <c r="AH618" t="inlineStr"/>
      <c r="AJ618" t="inlineStr"/>
      <c r="AP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t>
        </is>
      </c>
      <c r="J619" t="inlineStr"/>
      <c r="Y619" t="inlineStr">
        <is>
          <t>unknown</t>
        </is>
      </c>
      <c r="Z619" t="inlineStr"/>
      <c r="AA619" t="inlineStr"/>
      <c r="AB619" t="inlineStr"/>
      <c r="AC619" t="inlineStr"/>
      <c r="AD619" t="inlineStr">
        <is>
          <t>לא נמצא בסריקת המפיצים</t>
        </is>
      </c>
      <c r="AE619" t="inlineStr">
        <is>
          <t>סריקת אתרי מפיצים</t>
        </is>
      </c>
      <c r="AG619" t="inlineStr"/>
      <c r="AH619" t="inlineStr"/>
      <c r="AJ619" t="inlineStr"/>
      <c r="AP619" t="inlineStr">
        <is>
          <t>https://www.thomassci.com/browse-by/suppliers/horizon-industries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t>
        </is>
      </c>
      <c r="J620" t="inlineStr"/>
      <c r="Y620" t="inlineStr">
        <is>
          <t>unknown</t>
        </is>
      </c>
      <c r="Z620" t="inlineStr"/>
      <c r="AA620" t="inlineStr"/>
      <c r="AB620" t="inlineStr"/>
      <c r="AC620" t="inlineStr"/>
      <c r="AD620" t="inlineStr">
        <is>
          <t>לא נמצא בסריקת המפיצים</t>
        </is>
      </c>
      <c r="AE620" t="inlineStr">
        <is>
          <t>סריקת אתרי מפיצים</t>
        </is>
      </c>
      <c r="AG620" t="inlineStr"/>
      <c r="AH620" t="inlineStr"/>
      <c r="AJ620" t="inlineStr"/>
      <c r="AP620" t="inlineStr">
        <is>
          <t>https://www.thomassci.com/browse-by/suppliers/horizon-scientific</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Y621" t="inlineStr">
        <is>
          <t>unknown</t>
        </is>
      </c>
      <c r="Z621" t="inlineStr"/>
      <c r="AA621" t="inlineStr"/>
      <c r="AB621" t="inlineStr"/>
      <c r="AC621" t="inlineStr"/>
      <c r="AD621" t="inlineStr">
        <is>
          <t>לא נמצא בסריקת המפיצים</t>
        </is>
      </c>
      <c r="AE621" t="inlineStr">
        <is>
          <t>סריקת אתרי מפיצים</t>
        </is>
      </c>
      <c r="AG621" t="inlineStr"/>
      <c r="AH621" t="inlineStr"/>
      <c r="AJ621" t="inlineStr"/>
      <c r="AP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Y622" t="inlineStr">
        <is>
          <t>unknown</t>
        </is>
      </c>
      <c r="Z622" t="inlineStr"/>
      <c r="AA622" t="inlineStr"/>
      <c r="AB622" t="inlineStr"/>
      <c r="AC622" t="inlineStr"/>
      <c r="AD622" t="inlineStr">
        <is>
          <t>לא נמצא בסריקת המפיצים</t>
        </is>
      </c>
      <c r="AE622" t="inlineStr">
        <is>
          <t>סריקת אתרי מפיצים</t>
        </is>
      </c>
      <c r="AG622" t="inlineStr"/>
      <c r="AH622" t="inlineStr"/>
      <c r="AJ622" t="inlineStr"/>
      <c r="AP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Y623" t="inlineStr">
        <is>
          <t>unknown</t>
        </is>
      </c>
      <c r="Z623" t="inlineStr"/>
      <c r="AA623" t="inlineStr"/>
      <c r="AB623" t="inlineStr"/>
      <c r="AC623" t="inlineStr"/>
      <c r="AD623" t="inlineStr">
        <is>
          <t>לא נמצא בסריקת המפיצים</t>
        </is>
      </c>
      <c r="AE623" t="inlineStr">
        <is>
          <t>סריקת אתרי מפיצים</t>
        </is>
      </c>
      <c r="AG623" t="inlineStr"/>
      <c r="AH623" t="inlineStr"/>
      <c r="AJ623" t="inlineStr"/>
      <c r="AP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Y624" t="inlineStr">
        <is>
          <t>unknown</t>
        </is>
      </c>
      <c r="Z624" t="inlineStr"/>
      <c r="AA624" t="inlineStr"/>
      <c r="AB624" t="inlineStr"/>
      <c r="AC624" t="inlineStr"/>
      <c r="AD624" t="inlineStr">
        <is>
          <t>לא נמצא בסריקת המפיצים</t>
        </is>
      </c>
      <c r="AE624" t="inlineStr">
        <is>
          <t>סריקת אתרי מפיצים</t>
        </is>
      </c>
      <c r="AG624" t="inlineStr"/>
      <c r="AH624" t="inlineStr"/>
      <c r="AJ624" t="inlineStr"/>
      <c r="AP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t>
        </is>
      </c>
      <c r="J625" t="inlineStr"/>
      <c r="Y625" t="inlineStr">
        <is>
          <t>unknown</t>
        </is>
      </c>
      <c r="Z625" t="inlineStr"/>
      <c r="AA625" t="inlineStr"/>
      <c r="AB625" t="inlineStr"/>
      <c r="AC625" t="inlineStr"/>
      <c r="AD625" t="inlineStr">
        <is>
          <t>לא נמצא בסריקת המפיצים</t>
        </is>
      </c>
      <c r="AE625" t="inlineStr">
        <is>
          <t>סריקת אתרי מפיצים</t>
        </is>
      </c>
      <c r="AG625" t="inlineStr"/>
      <c r="AH625" t="inlineStr"/>
      <c r="AJ625" t="inlineStr"/>
      <c r="AP625" t="inlineStr">
        <is>
          <t>https://www.thomassci.com/browse-by/suppliers/hpk-industries</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Y626" t="inlineStr">
        <is>
          <t>unknown</t>
        </is>
      </c>
      <c r="Z626" t="inlineStr"/>
      <c r="AA626" t="inlineStr"/>
      <c r="AB626" t="inlineStr"/>
      <c r="AC626" t="inlineStr"/>
      <c r="AD626" t="inlineStr">
        <is>
          <t>לא נמצא בסריקת המפיצים</t>
        </is>
      </c>
      <c r="AE626" t="inlineStr">
        <is>
          <t>סריקת אתרי מפיצים</t>
        </is>
      </c>
      <c r="AG626" t="inlineStr"/>
      <c r="AH626" t="inlineStr"/>
      <c r="AJ626" t="inlineStr"/>
      <c r="AP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P627" t="n">
        <v>480</v>
      </c>
      <c r="Q627" t="n">
        <v>2023</v>
      </c>
      <c r="R627" t="inlineStr">
        <is>
          <t>company</t>
        </is>
      </c>
      <c r="S627" t="inlineStr">
        <is>
          <t>prior</t>
        </is>
      </c>
      <c r="T627" t="n">
        <v>83</v>
      </c>
      <c r="U627" t="inlineStr">
        <is>
          <t>EUR ~75 million (trade estimate; private)</t>
        </is>
      </c>
      <c r="V627" t="inlineStr">
        <is>
          <t>2024 (estimate)</t>
        </is>
      </c>
      <c r="W627" t="inlineStr">
        <is>
          <t>estimate</t>
        </is>
      </c>
      <c r="X627" t="inlineStr">
        <is>
          <t>prior</t>
        </is>
      </c>
      <c r="Y627" t="inlineStr">
        <is>
          <t>reported</t>
        </is>
      </c>
      <c r="Z627" t="inlineStr">
        <is>
          <t>Unistat</t>
        </is>
      </c>
      <c r="AA627" t="inlineStr">
        <is>
          <t>Unichiller</t>
        </is>
      </c>
      <c r="AB627" t="inlineStr">
        <is>
          <t>Ministat / Petite Fleur / CC series</t>
        </is>
      </c>
      <c r="AC627" t="inlineStr">
        <is>
          <t>prior</t>
        </is>
      </c>
      <c r="AD627" t="inlineStr">
        <is>
          <t>מפיץ/נציג בישראל</t>
        </is>
      </c>
      <c r="AE627" t="inlineStr">
        <is>
          <t>אומת</t>
        </is>
      </c>
      <c r="AF627" t="n">
        <v>2026</v>
      </c>
      <c r="AG627" t="inlineStr">
        <is>
          <t>S.L. Moran Ltd.; Master-Cold</t>
        </is>
      </c>
      <c r="AH627" t="inlineStr">
        <is>
          <t>S.L. Moran Ltd.: +972 74-702-9898; Master-Cold:</t>
        </is>
      </c>
      <c r="AI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J627" t="inlineStr">
        <is>
          <t>+49 781 9603-0</t>
        </is>
      </c>
      <c r="AK627" t="inlineStr">
        <is>
          <t>info@huber-online.com</t>
        </is>
      </c>
      <c r="AL627" t="inlineStr">
        <is>
          <t>Werner-von-Siemens-Straße 1, 77656 Offenburg, Germany</t>
        </is>
      </c>
      <c r="AM627" t="inlineStr">
        <is>
          <t>https://huber-online.com/en/company/locations</t>
        </is>
      </c>
      <c r="AN627" t="inlineStr">
        <is>
          <t>https://huber-online.com/en/company/locations</t>
        </is>
      </c>
      <c r="AP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t>
        </is>
      </c>
      <c r="J628" t="inlineStr"/>
      <c r="Y628" t="inlineStr">
        <is>
          <t>unknown</t>
        </is>
      </c>
      <c r="Z628" t="inlineStr"/>
      <c r="AA628" t="inlineStr"/>
      <c r="AB628" t="inlineStr"/>
      <c r="AC628" t="inlineStr"/>
      <c r="AD628" t="inlineStr">
        <is>
          <t>לא נמצא בסריקת המפיצים</t>
        </is>
      </c>
      <c r="AE628" t="inlineStr">
        <is>
          <t>סריקת אתרי מפיצים</t>
        </is>
      </c>
      <c r="AG628" t="inlineStr"/>
      <c r="AH628" t="inlineStr"/>
      <c r="AJ628" t="inlineStr"/>
      <c r="AP628" t="inlineStr">
        <is>
          <t>https://www.thomassci.com/browse-by/suppliers/hudson-valley-lyomac</t>
        </is>
      </c>
    </row>
    <row r="629">
      <c r="A629" t="n">
        <v>628</v>
      </c>
      <c r="B629" t="inlineStr">
        <is>
          <t>Huff Paper</t>
        </is>
      </c>
      <c r="C629" t="inlineStr">
        <is>
          <t>T</t>
        </is>
      </c>
      <c r="E629" t="inlineStr">
        <is>
          <t>https://www.thomassci.com/browse-by/suppliers/huff-paper</t>
        </is>
      </c>
      <c r="F629" t="inlineStr"/>
      <c r="J629" t="inlineStr"/>
      <c r="Y629" t="inlineStr">
        <is>
          <t>unknown</t>
        </is>
      </c>
      <c r="Z629" t="inlineStr"/>
      <c r="AA629" t="inlineStr"/>
      <c r="AB629" t="inlineStr"/>
      <c r="AC629" t="inlineStr"/>
      <c r="AD629" t="inlineStr">
        <is>
          <t>לא נמצא בסריקת המפיצים</t>
        </is>
      </c>
      <c r="AE629" t="inlineStr">
        <is>
          <t>סריקת אתרי מפיצים</t>
        </is>
      </c>
      <c r="AG629" t="inlineStr"/>
      <c r="AH629" t="inlineStr"/>
      <c r="AJ629" t="inlineStr"/>
      <c r="AP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Y630" t="inlineStr">
        <is>
          <t>unknown</t>
        </is>
      </c>
      <c r="Z630" t="inlineStr"/>
      <c r="AA630" t="inlineStr"/>
      <c r="AB630" t="inlineStr"/>
      <c r="AC630" t="inlineStr"/>
      <c r="AD630" t="inlineStr">
        <is>
          <t>לא נמצא בסריקת המפיצים</t>
        </is>
      </c>
      <c r="AE630" t="inlineStr">
        <is>
          <t>סריקת אתרי מפיצים</t>
        </is>
      </c>
      <c r="AG630" t="inlineStr"/>
      <c r="AH630" t="inlineStr"/>
      <c r="AJ630" t="inlineStr"/>
      <c r="AP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Y631" t="inlineStr">
        <is>
          <t>unknown</t>
        </is>
      </c>
      <c r="Z631" t="inlineStr"/>
      <c r="AA631" t="inlineStr"/>
      <c r="AB631" t="inlineStr"/>
      <c r="AC631" t="inlineStr"/>
      <c r="AD631" t="inlineStr">
        <is>
          <t>לא נמצא בסריקת המפיצים</t>
        </is>
      </c>
      <c r="AE631" t="inlineStr">
        <is>
          <t>סריקת אתרי מפיצים</t>
        </is>
      </c>
      <c r="AG631" t="inlineStr"/>
      <c r="AH631" t="inlineStr"/>
      <c r="AJ631" t="inlineStr"/>
      <c r="AP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Y632" t="inlineStr">
        <is>
          <t>unknown</t>
        </is>
      </c>
      <c r="Z632" t="inlineStr"/>
      <c r="AA632" t="inlineStr"/>
      <c r="AB632" t="inlineStr"/>
      <c r="AC632" t="inlineStr"/>
      <c r="AD632" t="inlineStr">
        <is>
          <t>לא נמצא בסריקת המפיצים</t>
        </is>
      </c>
      <c r="AE632" t="inlineStr">
        <is>
          <t>סריקת אתרי מפיצים</t>
        </is>
      </c>
      <c r="AG632" t="inlineStr"/>
      <c r="AH632" t="inlineStr"/>
      <c r="AJ632" t="inlineStr"/>
      <c r="AP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t>
        </is>
      </c>
      <c r="J633" t="inlineStr"/>
      <c r="Y633" t="inlineStr">
        <is>
          <t>unknown</t>
        </is>
      </c>
      <c r="Z633" t="inlineStr"/>
      <c r="AA633" t="inlineStr"/>
      <c r="AB633" t="inlineStr"/>
      <c r="AC633" t="inlineStr"/>
      <c r="AD633" t="inlineStr">
        <is>
          <t>לא נמצא בסריקת המפיצים</t>
        </is>
      </c>
      <c r="AE633" t="inlineStr">
        <is>
          <t>סריקת אתרי מפיצים</t>
        </is>
      </c>
      <c r="AG633" t="inlineStr"/>
      <c r="AH633" t="inlineStr"/>
      <c r="AJ633" t="inlineStr"/>
      <c r="AP633" t="inlineStr">
        <is>
          <t>https://www.thomassci.com/browse-by/suppliers/hydrox</t>
        </is>
      </c>
    </row>
    <row r="634">
      <c r="A634" t="n">
        <v>633</v>
      </c>
      <c r="B634" t="inlineStr">
        <is>
          <t>Hygenic Corporation</t>
        </is>
      </c>
      <c r="C634" t="inlineStr">
        <is>
          <t>T</t>
        </is>
      </c>
      <c r="E634" t="inlineStr">
        <is>
          <t>https://www.thomassci.com/browse-by/suppliers/hygenic-corporation</t>
        </is>
      </c>
      <c r="F634" t="inlineStr"/>
      <c r="J634" t="inlineStr"/>
      <c r="Y634" t="inlineStr">
        <is>
          <t>unknown</t>
        </is>
      </c>
      <c r="Z634" t="inlineStr"/>
      <c r="AA634" t="inlineStr"/>
      <c r="AB634" t="inlineStr"/>
      <c r="AC634" t="inlineStr"/>
      <c r="AD634" t="inlineStr">
        <is>
          <t>לא נמצא בסריקת המפיצים</t>
        </is>
      </c>
      <c r="AE634" t="inlineStr">
        <is>
          <t>סריקת אתרי מפיצים</t>
        </is>
      </c>
      <c r="AG634" t="inlineStr"/>
      <c r="AH634" t="inlineStr"/>
      <c r="AJ634" t="inlineStr"/>
      <c r="AP634" t="inlineStr">
        <is>
          <t>https://www.thomassci.com/browse-by/suppliers/hygenic-corporation</t>
        </is>
      </c>
    </row>
    <row r="635">
      <c r="A635" t="n">
        <v>634</v>
      </c>
      <c r="B635" t="inlineStr">
        <is>
          <t>I-Chem</t>
        </is>
      </c>
      <c r="C635" t="inlineStr">
        <is>
          <t>T</t>
        </is>
      </c>
      <c r="E635" t="inlineStr">
        <is>
          <t>https://www.thomassci.com/browse-by/suppliers/i-chem</t>
        </is>
      </c>
      <c r="F635" t="inlineStr"/>
      <c r="H635" t="inlineStr">
        <is>
          <t>https://ichem.com.pl</t>
        </is>
      </c>
      <c r="I635" t="inlineStr">
        <is>
          <t>clearbit</t>
        </is>
      </c>
      <c r="J635" t="inlineStr"/>
      <c r="Y635" t="inlineStr">
        <is>
          <t>unknown</t>
        </is>
      </c>
      <c r="Z635" t="inlineStr"/>
      <c r="AA635" t="inlineStr"/>
      <c r="AB635" t="inlineStr"/>
      <c r="AC635" t="inlineStr"/>
      <c r="AD635" t="inlineStr">
        <is>
          <t>לא נמצא בסריקת המפיצים</t>
        </is>
      </c>
      <c r="AE635" t="inlineStr">
        <is>
          <t>סריקת אתרי מפיצים</t>
        </is>
      </c>
      <c r="AG635" t="inlineStr"/>
      <c r="AH635" t="inlineStr"/>
      <c r="AJ635" t="inlineStr"/>
      <c r="AP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t>
        </is>
      </c>
      <c r="J636" t="inlineStr"/>
      <c r="Y636" t="inlineStr">
        <is>
          <t>unknown</t>
        </is>
      </c>
      <c r="Z636" t="inlineStr"/>
      <c r="AA636" t="inlineStr"/>
      <c r="AB636" t="inlineStr"/>
      <c r="AC636" t="inlineStr"/>
      <c r="AD636" t="inlineStr">
        <is>
          <t>לא נמצא בסריקת המפיצים</t>
        </is>
      </c>
      <c r="AE636" t="inlineStr">
        <is>
          <t>סריקת אתרי מפיצים</t>
        </is>
      </c>
      <c r="AG636" t="inlineStr"/>
      <c r="AH636" t="inlineStr"/>
      <c r="AJ636" t="inlineStr"/>
      <c r="AP636" t="inlineStr">
        <is>
          <t>https://www.quartzy.com/suppliers</t>
        </is>
      </c>
    </row>
    <row r="637">
      <c r="A637" t="n">
        <v>636</v>
      </c>
      <c r="B637" t="inlineStr">
        <is>
          <t>I-Solutions</t>
        </is>
      </c>
      <c r="C637" t="inlineStr">
        <is>
          <t>T</t>
        </is>
      </c>
      <c r="E637" t="inlineStr">
        <is>
          <t>https://www.thomassci.com/browse-by/suppliers/i-solutions</t>
        </is>
      </c>
      <c r="F637" t="inlineStr"/>
      <c r="H637" t="inlineStr">
        <is>
          <t>https://3isolutions.org</t>
        </is>
      </c>
      <c r="I637" t="inlineStr">
        <is>
          <t>clearbit</t>
        </is>
      </c>
      <c r="J637" t="inlineStr"/>
      <c r="Y637" t="inlineStr">
        <is>
          <t>unknown</t>
        </is>
      </c>
      <c r="Z637" t="inlineStr"/>
      <c r="AA637" t="inlineStr"/>
      <c r="AB637" t="inlineStr"/>
      <c r="AC637" t="inlineStr"/>
      <c r="AD637" t="inlineStr">
        <is>
          <t>לא נמצא בסריקת המפיצים</t>
        </is>
      </c>
      <c r="AE637" t="inlineStr">
        <is>
          <t>סריקת אתרי מפיצים</t>
        </is>
      </c>
      <c r="AG637" t="inlineStr"/>
      <c r="AH637" t="inlineStr"/>
      <c r="AJ637" t="inlineStr"/>
      <c r="AP637" t="inlineStr">
        <is>
          <t>https://www.thomassci.com/browse-by/suppliers/i-solutions</t>
        </is>
      </c>
    </row>
    <row r="638">
      <c r="A638" t="n">
        <v>637</v>
      </c>
      <c r="B638" t="inlineStr">
        <is>
          <t>I.W. Tremont</t>
        </is>
      </c>
      <c r="C638" t="inlineStr">
        <is>
          <t>Q</t>
        </is>
      </c>
      <c r="F638" t="inlineStr">
        <is>
          <t>yes</t>
        </is>
      </c>
      <c r="J638" t="inlineStr"/>
      <c r="Y638" t="inlineStr">
        <is>
          <t>unknown</t>
        </is>
      </c>
      <c r="Z638" t="inlineStr"/>
      <c r="AA638" t="inlineStr"/>
      <c r="AB638" t="inlineStr"/>
      <c r="AC638" t="inlineStr"/>
      <c r="AD638" t="inlineStr">
        <is>
          <t>לא נמצא בסריקת המפיצים</t>
        </is>
      </c>
      <c r="AE638" t="inlineStr">
        <is>
          <t>סריקת אתרי מפיצים</t>
        </is>
      </c>
      <c r="AG638" t="inlineStr"/>
      <c r="AH638" t="inlineStr"/>
      <c r="AJ638" t="inlineStr"/>
      <c r="AP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t>
        </is>
      </c>
      <c r="J639" t="inlineStr"/>
      <c r="Y639" t="inlineStr">
        <is>
          <t>unknown</t>
        </is>
      </c>
      <c r="Z639" t="inlineStr"/>
      <c r="AA639" t="inlineStr"/>
      <c r="AB639" t="inlineStr"/>
      <c r="AC639" t="inlineStr"/>
      <c r="AD639" t="inlineStr">
        <is>
          <t>לא נמצא בסריקת המפיצים</t>
        </is>
      </c>
      <c r="AE639" t="inlineStr">
        <is>
          <t>סריקת אתרי מפיצים</t>
        </is>
      </c>
      <c r="AG639" t="inlineStr"/>
      <c r="AH639" t="inlineStr"/>
      <c r="AJ639" t="inlineStr"/>
      <c r="AP639" t="inlineStr">
        <is>
          <t>https://www.quartzy.com/suppliers</t>
        </is>
      </c>
    </row>
    <row r="640">
      <c r="A640" t="n">
        <v>639</v>
      </c>
      <c r="B640" t="inlineStr">
        <is>
          <t>IBA Lifesciences</t>
        </is>
      </c>
      <c r="C640" t="inlineStr">
        <is>
          <t>Q+</t>
        </is>
      </c>
      <c r="F640" t="inlineStr">
        <is>
          <t xml:space="preserve"> +new</t>
        </is>
      </c>
      <c r="H640" t="inlineStr">
        <is>
          <t>https://iba-lifesciences.com</t>
        </is>
      </c>
      <c r="I640" t="inlineStr">
        <is>
          <t>clearbit</t>
        </is>
      </c>
      <c r="J640" t="inlineStr"/>
      <c r="O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Y640" t="inlineStr">
        <is>
          <t>unknown</t>
        </is>
      </c>
      <c r="Z640" t="inlineStr"/>
      <c r="AA640" t="inlineStr"/>
      <c r="AB640" t="inlineStr"/>
      <c r="AC640" t="inlineStr"/>
      <c r="AD640" t="inlineStr">
        <is>
          <t>לא נמצא בסריקת המפיצים</t>
        </is>
      </c>
      <c r="AE640" t="inlineStr">
        <is>
          <t>סריקת אתרי מפיצים</t>
        </is>
      </c>
      <c r="AG640" t="inlineStr"/>
      <c r="AH640" t="inlineStr"/>
      <c r="AJ640" t="inlineStr"/>
      <c r="AP640" t="inlineStr">
        <is>
          <t>https://info.quartzy.com/new-suppliers</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t>
        </is>
      </c>
      <c r="J641" t="inlineStr"/>
      <c r="Y641" t="inlineStr">
        <is>
          <t>unknown</t>
        </is>
      </c>
      <c r="Z641" t="inlineStr"/>
      <c r="AA641" t="inlineStr"/>
      <c r="AB641" t="inlineStr"/>
      <c r="AC641" t="inlineStr"/>
      <c r="AD641" t="inlineStr">
        <is>
          <t>לא נמצא בסריקת המפיצים</t>
        </is>
      </c>
      <c r="AE641" t="inlineStr">
        <is>
          <t>סריקת אתרי מפיצים</t>
        </is>
      </c>
      <c r="AG641" t="inlineStr"/>
      <c r="AH641" t="inlineStr"/>
      <c r="AJ641" t="inlineStr"/>
      <c r="AP641" t="inlineStr">
        <is>
          <t>https://www.quartzy.com/suppliers | https://www.thomassci.com/browse-by/suppliers/ibi-scientific</t>
        </is>
      </c>
    </row>
    <row r="642">
      <c r="A642" t="n">
        <v>641</v>
      </c>
      <c r="B642" t="inlineStr">
        <is>
          <t>Ibis Scientific</t>
        </is>
      </c>
      <c r="C642" t="inlineStr">
        <is>
          <t>Q</t>
        </is>
      </c>
      <c r="F642" t="inlineStr">
        <is>
          <t>yes</t>
        </is>
      </c>
      <c r="H642" t="inlineStr">
        <is>
          <t>https://ibisscientific.com</t>
        </is>
      </c>
      <c r="I642" t="inlineStr">
        <is>
          <t>clearbit</t>
        </is>
      </c>
      <c r="J642" t="inlineStr"/>
      <c r="Y642" t="inlineStr">
        <is>
          <t>unknown</t>
        </is>
      </c>
      <c r="Z642" t="inlineStr"/>
      <c r="AA642" t="inlineStr"/>
      <c r="AB642" t="inlineStr"/>
      <c r="AC642" t="inlineStr"/>
      <c r="AD642" t="inlineStr">
        <is>
          <t>לא נמצא בסריקת המפיצים</t>
        </is>
      </c>
      <c r="AE642" t="inlineStr">
        <is>
          <t>סריקת אתרי מפיצים</t>
        </is>
      </c>
      <c r="AG642" t="inlineStr"/>
      <c r="AH642" t="inlineStr"/>
      <c r="AJ642" t="inlineStr"/>
      <c r="AP642" t="inlineStr">
        <is>
          <t>https://www.quartzy.com/suppliers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t>
        </is>
      </c>
      <c r="J643" t="inlineStr"/>
      <c r="Y643" t="inlineStr">
        <is>
          <t>unknown</t>
        </is>
      </c>
      <c r="Z643" t="inlineStr"/>
      <c r="AA643" t="inlineStr"/>
      <c r="AB643" t="inlineStr"/>
      <c r="AC643" t="inlineStr"/>
      <c r="AD643" t="inlineStr">
        <is>
          <t>לא נמצא בסריקת המפיצים</t>
        </is>
      </c>
      <c r="AE643" t="inlineStr">
        <is>
          <t>סריקת אתרי מפיצים</t>
        </is>
      </c>
      <c r="AG643" t="inlineStr"/>
      <c r="AH643" t="inlineStr"/>
      <c r="AJ643" t="inlineStr"/>
      <c r="AP643" t="inlineStr">
        <is>
          <t>https://www.thomassci.com/browse-by/suppliers/ibt-bioservices</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Y644" t="inlineStr">
        <is>
          <t>unknown</t>
        </is>
      </c>
      <c r="Z644" t="inlineStr"/>
      <c r="AA644" t="inlineStr"/>
      <c r="AB644" t="inlineStr"/>
      <c r="AC644" t="inlineStr"/>
      <c r="AD644" t="inlineStr">
        <is>
          <t>לא נמצא בסריקת המפיצים</t>
        </is>
      </c>
      <c r="AE644" t="inlineStr">
        <is>
          <t>סריקת אתרי מפיצים</t>
        </is>
      </c>
      <c r="AG644" t="inlineStr"/>
      <c r="AH644" t="inlineStr"/>
      <c r="AJ644" t="inlineStr"/>
      <c r="AP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Y645" t="inlineStr">
        <is>
          <t>unknown</t>
        </is>
      </c>
      <c r="Z645" t="inlineStr"/>
      <c r="AA645" t="inlineStr"/>
      <c r="AB645" t="inlineStr"/>
      <c r="AC645" t="inlineStr"/>
      <c r="AD645" t="inlineStr">
        <is>
          <t>לא נמצא בסריקת המפיצים</t>
        </is>
      </c>
      <c r="AE645" t="inlineStr">
        <is>
          <t>סריקת אתרי מפיצים</t>
        </is>
      </c>
      <c r="AG645" t="inlineStr"/>
      <c r="AH645" t="inlineStr"/>
      <c r="AJ645" t="inlineStr"/>
      <c r="AP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t>
        </is>
      </c>
      <c r="J646" t="inlineStr"/>
      <c r="Y646" t="inlineStr">
        <is>
          <t>unknown</t>
        </is>
      </c>
      <c r="Z646" t="inlineStr"/>
      <c r="AA646" t="inlineStr"/>
      <c r="AB646" t="inlineStr"/>
      <c r="AC646" t="inlineStr"/>
      <c r="AD646" t="inlineStr">
        <is>
          <t>לא נמצא בסריקת המפיצים</t>
        </is>
      </c>
      <c r="AE646" t="inlineStr">
        <is>
          <t>סריקת אתרי מפיצים</t>
        </is>
      </c>
      <c r="AG646" t="inlineStr"/>
      <c r="AH646" t="inlineStr"/>
      <c r="AJ646" t="inlineStr"/>
      <c r="AP646" t="inlineStr">
        <is>
          <t>https://www.thomassci.com/browse-by/suppliers/idex-health-and-science</t>
        </is>
      </c>
    </row>
    <row r="647">
      <c r="A647" t="n">
        <v>646</v>
      </c>
      <c r="B647" t="inlineStr">
        <is>
          <t>Ignyte Bio</t>
        </is>
      </c>
      <c r="C647" t="inlineStr">
        <is>
          <t>Q</t>
        </is>
      </c>
      <c r="F647" t="inlineStr">
        <is>
          <t>yes</t>
        </is>
      </c>
      <c r="H647" t="inlineStr">
        <is>
          <t>https://ignytebio.com</t>
        </is>
      </c>
      <c r="I647" t="inlineStr">
        <is>
          <t>clearbit</t>
        </is>
      </c>
      <c r="J647" t="inlineStr"/>
      <c r="Y647" t="inlineStr">
        <is>
          <t>unknown</t>
        </is>
      </c>
      <c r="Z647" t="inlineStr"/>
      <c r="AA647" t="inlineStr"/>
      <c r="AB647" t="inlineStr"/>
      <c r="AC647" t="inlineStr"/>
      <c r="AD647" t="inlineStr">
        <is>
          <t>לא נמצא בסריקת המפיצים</t>
        </is>
      </c>
      <c r="AE647" t="inlineStr">
        <is>
          <t>סריקת אתרי מפיצים</t>
        </is>
      </c>
      <c r="AG647" t="inlineStr"/>
      <c r="AH647" t="inlineStr"/>
      <c r="AJ647" t="inlineStr"/>
      <c r="AP647" t="inlineStr">
        <is>
          <t>https://www.quartzy.com/suppliers</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P648" t="n">
        <v>900</v>
      </c>
      <c r="Q648" t="n">
        <v>2024</v>
      </c>
      <c r="R648" t="inlineStr">
        <is>
          <t>company</t>
        </is>
      </c>
      <c r="S648" t="inlineStr">
        <is>
          <t>prior</t>
        </is>
      </c>
      <c r="T648" t="n">
        <v>260</v>
      </c>
      <c r="U648" t="inlineStr">
        <is>
          <t>USD ~250-273 million (aggregator estimates: Prospeo 250M, ZoomInfo 272.7M); last company-stated figure &gt;EUR 100 million (2014)</t>
        </is>
      </c>
      <c r="V648" t="inlineStr">
        <is>
          <t>undated aggregator estimates (c. 2024)</t>
        </is>
      </c>
      <c r="W648" t="inlineStr">
        <is>
          <t>estimate</t>
        </is>
      </c>
      <c r="X648" t="inlineStr">
        <is>
          <t>prior</t>
        </is>
      </c>
      <c r="Y648" t="inlineStr">
        <is>
          <t>mixed</t>
        </is>
      </c>
      <c r="Z648" t="inlineStr">
        <is>
          <t>RCT basic / C-MAG HS</t>
        </is>
      </c>
      <c r="AA648" t="inlineStr">
        <is>
          <t>ULTRA-TURRAX T 25 / T 50</t>
        </is>
      </c>
      <c r="AB648" t="inlineStr">
        <is>
          <t>EUROSTAR / MICROSTAR</t>
        </is>
      </c>
      <c r="AC648" t="inlineStr">
        <is>
          <t>prior</t>
        </is>
      </c>
      <c r="AD648" t="inlineStr">
        <is>
          <t>מפיץ/נציג בישראל</t>
        </is>
      </c>
      <c r="AE648" t="inlineStr">
        <is>
          <t>אומת</t>
        </is>
      </c>
      <c r="AF648" t="n">
        <v>2026</v>
      </c>
      <c r="AG648" t="inlineStr">
        <is>
          <t>Medent Scientific Instruments; Labotal Scientific Equipment Ltd.</t>
        </is>
      </c>
      <c r="AH648" t="inlineStr">
        <is>
          <t>Medent Scientific Instruments: +972 72-395-0508 (sales); +972 8-683-6306 (service) info@medent.co.il; Labotal Scientific Equipment Ltd.: +972 2-579-9222 Sales@labotal.co.il</t>
        </is>
      </c>
      <c r="AI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8" t="inlineStr">
        <is>
          <t>+49 7633 831-0</t>
        </is>
      </c>
      <c r="AK648" t="inlineStr">
        <is>
          <t>sales@ika.de</t>
        </is>
      </c>
      <c r="AL648" t="inlineStr">
        <is>
          <t>Janke &amp; Kunkel-Straße 10, 79219 Staufen, Germany</t>
        </is>
      </c>
      <c r="AN648" t="inlineStr">
        <is>
          <t>https://www.bionity.com/en/companies/7616/</t>
        </is>
      </c>
      <c r="AP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P649" t="n">
        <v>900</v>
      </c>
      <c r="Q649" t="n">
        <v>2024</v>
      </c>
      <c r="R649" t="inlineStr">
        <is>
          <t>company</t>
        </is>
      </c>
      <c r="S649" t="inlineStr">
        <is>
          <t>prior</t>
        </is>
      </c>
      <c r="T649" t="n">
        <v>260</v>
      </c>
      <c r="U649" t="inlineStr">
        <is>
          <t>USD ~250-273 million (aggregator estimates: Prospeo 250M, ZoomInfo 272.7M); last company-stated figure &gt;EUR 100 million (2014)</t>
        </is>
      </c>
      <c r="V649" t="inlineStr">
        <is>
          <t>undated aggregator estimates (c. 2024)</t>
        </is>
      </c>
      <c r="W649" t="inlineStr">
        <is>
          <t>estimate</t>
        </is>
      </c>
      <c r="X649" t="inlineStr">
        <is>
          <t>prior</t>
        </is>
      </c>
      <c r="Y649" t="inlineStr">
        <is>
          <t>mixed</t>
        </is>
      </c>
      <c r="Z649" t="inlineStr">
        <is>
          <t>RCT basic / C-MAG HS</t>
        </is>
      </c>
      <c r="AA649" t="inlineStr">
        <is>
          <t>ULTRA-TURRAX T 25 / T 50</t>
        </is>
      </c>
      <c r="AB649" t="inlineStr">
        <is>
          <t>EUROSTAR / MICROSTAR</t>
        </is>
      </c>
      <c r="AC649" t="inlineStr">
        <is>
          <t>prior</t>
        </is>
      </c>
      <c r="AD649" t="inlineStr">
        <is>
          <t>מפיץ/נציג בישראל</t>
        </is>
      </c>
      <c r="AE649" t="inlineStr">
        <is>
          <t>אומת</t>
        </is>
      </c>
      <c r="AF649" t="n">
        <v>2026</v>
      </c>
      <c r="AG649" t="inlineStr">
        <is>
          <t>Medent Scientific Instruments; Labotal Scientific Equipment Ltd.</t>
        </is>
      </c>
      <c r="AH649" t="inlineStr">
        <is>
          <t>Medent Scientific Instruments: +972 72-395-0508 (sales); +972 8-683-6306 (service) info@medent.co.il; Labotal Scientific Equipment Ltd.: +972 2-579-9222 Sales@labotal.co.il</t>
        </is>
      </c>
      <c r="AI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9" t="inlineStr">
        <is>
          <t>+49 7633 831-0</t>
        </is>
      </c>
      <c r="AK649" t="inlineStr">
        <is>
          <t>sales@ika.de</t>
        </is>
      </c>
      <c r="AL649" t="inlineStr">
        <is>
          <t>Janke &amp; Kunkel-Straße 10, 79219 Staufen, Germany</t>
        </is>
      </c>
      <c r="AN649" t="inlineStr">
        <is>
          <t>https://www.bionity.com/en/companies/7616/</t>
        </is>
      </c>
      <c r="AP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Y650" t="inlineStr">
        <is>
          <t>unknown</t>
        </is>
      </c>
      <c r="Z650" t="inlineStr"/>
      <c r="AA650" t="inlineStr"/>
      <c r="AB650" t="inlineStr"/>
      <c r="AC650" t="inlineStr"/>
      <c r="AD650" t="inlineStr">
        <is>
          <t>לא נמצא בסריקת המפיצים</t>
        </is>
      </c>
      <c r="AE650" t="inlineStr">
        <is>
          <t>סריקת אתרי מפיצים</t>
        </is>
      </c>
      <c r="AG650" t="inlineStr"/>
      <c r="AH650" t="inlineStr"/>
      <c r="AJ650" t="inlineStr"/>
      <c r="AP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H651" t="inlineStr">
        <is>
          <t>https://trustedppeca.ca</t>
        </is>
      </c>
      <c r="I651" t="inlineStr">
        <is>
          <t>clearbit</t>
        </is>
      </c>
      <c r="J651" t="inlineStr"/>
      <c r="Y651" t="inlineStr">
        <is>
          <t>unknown</t>
        </is>
      </c>
      <c r="Z651" t="inlineStr"/>
      <c r="AA651" t="inlineStr"/>
      <c r="AB651" t="inlineStr"/>
      <c r="AC651" t="inlineStr"/>
      <c r="AD651" t="inlineStr">
        <is>
          <t>לא נמצא בסריקת המפיצים</t>
        </is>
      </c>
      <c r="AE651" t="inlineStr">
        <is>
          <t>סריקת אתרי מפיצים</t>
        </is>
      </c>
      <c r="AG651" t="inlineStr"/>
      <c r="AH651" t="inlineStr"/>
      <c r="AJ651" t="inlineStr"/>
      <c r="AP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https://implen.cn</t>
        </is>
      </c>
      <c r="I652" t="inlineStr">
        <is>
          <t>clearbit</t>
        </is>
      </c>
      <c r="J652" t="inlineStr"/>
      <c r="Y652" t="inlineStr">
        <is>
          <t>unknown</t>
        </is>
      </c>
      <c r="Z652" t="inlineStr"/>
      <c r="AA652" t="inlineStr"/>
      <c r="AB652" t="inlineStr"/>
      <c r="AC652" t="inlineStr"/>
      <c r="AD652" t="inlineStr">
        <is>
          <t>לא נמצא בסריקת המפיצים</t>
        </is>
      </c>
      <c r="AE652" t="inlineStr">
        <is>
          <t>סריקת אתרי מפיצים</t>
        </is>
      </c>
      <c r="AG652" t="inlineStr"/>
      <c r="AH652" t="inlineStr"/>
      <c r="AJ652" t="inlineStr"/>
      <c r="AP652" t="inlineStr">
        <is>
          <t>https://www.dutscher.com/search?initialFilters=brand:Implen | https://www.thomassci.com/browse-by/suppliers/implen</t>
        </is>
      </c>
    </row>
    <row r="653">
      <c r="A653" t="n">
        <v>652</v>
      </c>
      <c r="B653" t="inlineStr">
        <is>
          <t>Improve Medical</t>
        </is>
      </c>
      <c r="C653" t="inlineStr">
        <is>
          <t>T+Q</t>
        </is>
      </c>
      <c r="E653" t="inlineStr">
        <is>
          <t>https://www.thomassci.com/browse-by/suppliers/improve-medical</t>
        </is>
      </c>
      <c r="F653" t="inlineStr">
        <is>
          <t>yes</t>
        </is>
      </c>
      <c r="H653" t="inlineStr">
        <is>
          <t>https://improvemed.com.ua</t>
        </is>
      </c>
      <c r="I653" t="inlineStr">
        <is>
          <t>clearbit</t>
        </is>
      </c>
      <c r="J653" t="inlineStr"/>
      <c r="Y653" t="inlineStr">
        <is>
          <t>unknown</t>
        </is>
      </c>
      <c r="Z653" t="inlineStr"/>
      <c r="AA653" t="inlineStr"/>
      <c r="AB653" t="inlineStr"/>
      <c r="AC653" t="inlineStr"/>
      <c r="AD653" t="inlineStr">
        <is>
          <t>לא נמצא בסריקת המפיצים</t>
        </is>
      </c>
      <c r="AE653" t="inlineStr">
        <is>
          <t>סריקת אתרי מפיצים</t>
        </is>
      </c>
      <c r="AG653" t="inlineStr"/>
      <c r="AH653" t="inlineStr"/>
      <c r="AJ653" t="inlineStr"/>
      <c r="AP653" t="inlineStr">
        <is>
          <t>https://www.quartzy.com/suppliers | https://www.thomassci.com/browse-by/suppliers/improve-medical</t>
        </is>
      </c>
    </row>
    <row r="654">
      <c r="A654" t="n">
        <v>653</v>
      </c>
      <c r="B654" t="inlineStr">
        <is>
          <t>Independence Medical</t>
        </is>
      </c>
      <c r="C654" t="inlineStr">
        <is>
          <t>Q</t>
        </is>
      </c>
      <c r="F654" t="inlineStr">
        <is>
          <t>yes</t>
        </is>
      </c>
      <c r="J654" t="inlineStr"/>
      <c r="Y654" t="inlineStr">
        <is>
          <t>unknown</t>
        </is>
      </c>
      <c r="Z654" t="inlineStr"/>
      <c r="AA654" t="inlineStr"/>
      <c r="AB654" t="inlineStr"/>
      <c r="AC654" t="inlineStr"/>
      <c r="AD654" t="inlineStr">
        <is>
          <t>לא נמצא בסריקת המפיצים</t>
        </is>
      </c>
      <c r="AE654" t="inlineStr">
        <is>
          <t>סריקת אתרי מפיצים</t>
        </is>
      </c>
      <c r="AG654" t="inlineStr"/>
      <c r="AH654" t="inlineStr"/>
      <c r="AJ654" t="inlineStr"/>
      <c r="AP654" t="inlineStr">
        <is>
          <t>https://www.quartzy.com/suppliers</t>
        </is>
      </c>
    </row>
    <row r="655">
      <c r="A655" t="n">
        <v>654</v>
      </c>
      <c r="B655" t="inlineStr">
        <is>
          <t>Indicia</t>
        </is>
      </c>
      <c r="C655" t="inlineStr">
        <is>
          <t>D</t>
        </is>
      </c>
      <c r="D655" t="inlineStr">
        <is>
          <t>https://www.dutscher.com/search?initialFilters=brand:Indicia</t>
        </is>
      </c>
      <c r="F655" t="inlineStr"/>
      <c r="H655" t="inlineStr">
        <is>
          <t>https://indicia.sk</t>
        </is>
      </c>
      <c r="I655" t="inlineStr">
        <is>
          <t>clearbit</t>
        </is>
      </c>
      <c r="J655" t="inlineStr"/>
      <c r="Y655" t="inlineStr">
        <is>
          <t>unknown</t>
        </is>
      </c>
      <c r="Z655" t="inlineStr"/>
      <c r="AA655" t="inlineStr"/>
      <c r="AB655" t="inlineStr"/>
      <c r="AC655" t="inlineStr"/>
      <c r="AD655" t="inlineStr">
        <is>
          <t>לא נמצא בסריקת המפיצים</t>
        </is>
      </c>
      <c r="AE655" t="inlineStr">
        <is>
          <t>סריקת אתרי מפיצים</t>
        </is>
      </c>
      <c r="AG655" t="inlineStr"/>
      <c r="AH655" t="inlineStr"/>
      <c r="AJ655" t="inlineStr"/>
      <c r="AP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Y656" t="inlineStr">
        <is>
          <t>unknown</t>
        </is>
      </c>
      <c r="Z656" t="inlineStr"/>
      <c r="AA656" t="inlineStr"/>
      <c r="AB656" t="inlineStr"/>
      <c r="AC656" t="inlineStr"/>
      <c r="AD656" t="inlineStr">
        <is>
          <t>לא נמצא בסריקת המפיצים</t>
        </is>
      </c>
      <c r="AE656" t="inlineStr">
        <is>
          <t>סריקת אתרי מפיצים</t>
        </is>
      </c>
      <c r="AG656" t="inlineStr"/>
      <c r="AH656" t="inlineStr"/>
      <c r="AJ656" t="inlineStr"/>
      <c r="AP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Y657" t="inlineStr">
        <is>
          <t>unknown</t>
        </is>
      </c>
      <c r="Z657" t="inlineStr"/>
      <c r="AA657" t="inlineStr"/>
      <c r="AB657" t="inlineStr"/>
      <c r="AC657" t="inlineStr"/>
      <c r="AD657" t="inlineStr">
        <is>
          <t>לא נמצא בסריקת המפיצים</t>
        </is>
      </c>
      <c r="AE657" t="inlineStr">
        <is>
          <t>סריקת אתרי מפיצים</t>
        </is>
      </c>
      <c r="AG657" t="inlineStr"/>
      <c r="AH657" t="inlineStr"/>
      <c r="AJ657" t="inlineStr"/>
      <c r="AP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https://inficon.com</t>
        </is>
      </c>
      <c r="I658" t="inlineStr">
        <is>
          <t>clearbit</t>
        </is>
      </c>
      <c r="J658" t="inlineStr"/>
      <c r="Y658" t="inlineStr">
        <is>
          <t>unknown</t>
        </is>
      </c>
      <c r="Z658" t="inlineStr"/>
      <c r="AA658" t="inlineStr"/>
      <c r="AB658" t="inlineStr"/>
      <c r="AC658" t="inlineStr"/>
      <c r="AD658" t="inlineStr">
        <is>
          <t>לא נמצא בסריקת המפיצים</t>
        </is>
      </c>
      <c r="AE658" t="inlineStr">
        <is>
          <t>סריקת אתרי מפיצים</t>
        </is>
      </c>
      <c r="AG658" t="inlineStr"/>
      <c r="AH658" t="inlineStr"/>
      <c r="AJ658" t="inlineStr"/>
      <c r="AP658" t="inlineStr">
        <is>
          <t>https://www.thomassci.com/browse-by/suppliers/inficon</t>
        </is>
      </c>
    </row>
    <row r="659">
      <c r="A659" t="n">
        <v>658</v>
      </c>
      <c r="B659" t="inlineStr">
        <is>
          <t>Informs</t>
        </is>
      </c>
      <c r="C659" t="inlineStr">
        <is>
          <t>T</t>
        </is>
      </c>
      <c r="E659" t="inlineStr">
        <is>
          <t>https://www.thomassci.com/browse-by/suppliers/informs</t>
        </is>
      </c>
      <c r="F659" t="inlineStr"/>
      <c r="H659" t="inlineStr">
        <is>
          <t>https://informs.org</t>
        </is>
      </c>
      <c r="I659" t="inlineStr">
        <is>
          <t>clearbit</t>
        </is>
      </c>
      <c r="J659" t="inlineStr"/>
      <c r="Y659" t="inlineStr">
        <is>
          <t>unknown</t>
        </is>
      </c>
      <c r="Z659" t="inlineStr"/>
      <c r="AA659" t="inlineStr"/>
      <c r="AB659" t="inlineStr"/>
      <c r="AC659" t="inlineStr"/>
      <c r="AD659" t="inlineStr">
        <is>
          <t>לא נמצא בסריקת המפיצים</t>
        </is>
      </c>
      <c r="AE659" t="inlineStr">
        <is>
          <t>סריקת אתרי מפיצים</t>
        </is>
      </c>
      <c r="AG659" t="inlineStr"/>
      <c r="AH659" t="inlineStr"/>
      <c r="AJ659" t="inlineStr"/>
      <c r="AP659" t="inlineStr">
        <is>
          <t>https://www.thomassci.com/browse-by/suppliers/informs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Y660" t="inlineStr">
        <is>
          <t>unknown</t>
        </is>
      </c>
      <c r="Z660" t="inlineStr"/>
      <c r="AA660" t="inlineStr"/>
      <c r="AB660" t="inlineStr"/>
      <c r="AC660" t="inlineStr"/>
      <c r="AD660" t="inlineStr">
        <is>
          <t>לא נמצא בסריקת המפיצים</t>
        </is>
      </c>
      <c r="AE660" t="inlineStr">
        <is>
          <t>סריקת אתרי מפיצים</t>
        </is>
      </c>
      <c r="AG660" t="inlineStr"/>
      <c r="AH660" t="inlineStr"/>
      <c r="AJ660" t="inlineStr"/>
      <c r="AP660" t="inlineStr">
        <is>
          <t>https://www.thomassci.com/browse-by/suppliers/inmark</t>
        </is>
      </c>
    </row>
    <row r="661">
      <c r="A661" t="n">
        <v>660</v>
      </c>
      <c r="B661" t="inlineStr">
        <is>
          <t>Innotech</t>
        </is>
      </c>
      <c r="C661" t="inlineStr">
        <is>
          <t>T</t>
        </is>
      </c>
      <c r="E661" t="inlineStr">
        <is>
          <t>https://www.thomassci.com/browse-by/suppliers/innotech</t>
        </is>
      </c>
      <c r="F661" t="inlineStr"/>
      <c r="H661" t="inlineStr">
        <is>
          <t>https://inno.tech</t>
        </is>
      </c>
      <c r="I661" t="inlineStr">
        <is>
          <t>clearbit</t>
        </is>
      </c>
      <c r="J661" t="inlineStr"/>
      <c r="Y661" t="inlineStr">
        <is>
          <t>unknown</t>
        </is>
      </c>
      <c r="Z661" t="inlineStr"/>
      <c r="AA661" t="inlineStr"/>
      <c r="AB661" t="inlineStr"/>
      <c r="AC661" t="inlineStr"/>
      <c r="AD661" t="inlineStr">
        <is>
          <t>לא נמצא בסריקת המפיצים</t>
        </is>
      </c>
      <c r="AE661" t="inlineStr">
        <is>
          <t>סריקת אתרי מפיצים</t>
        </is>
      </c>
      <c r="AG661" t="inlineStr"/>
      <c r="AH661" t="inlineStr"/>
      <c r="AJ661" t="inlineStr"/>
      <c r="AP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Y662" t="inlineStr">
        <is>
          <t>unknown</t>
        </is>
      </c>
      <c r="Z662" t="inlineStr"/>
      <c r="AA662" t="inlineStr"/>
      <c r="AB662" t="inlineStr"/>
      <c r="AC662" t="inlineStr"/>
      <c r="AD662" t="inlineStr">
        <is>
          <t>לא נמצא בסריקת המפיצים</t>
        </is>
      </c>
      <c r="AE662" t="inlineStr">
        <is>
          <t>סריקת אתרי מפיצים</t>
        </is>
      </c>
      <c r="AG662" t="inlineStr"/>
      <c r="AH662" t="inlineStr"/>
      <c r="AJ662" t="inlineStr"/>
      <c r="AP662" t="inlineStr">
        <is>
          <t>https://www.thomassci.com/browse-by/suppliers/innovating-science</t>
        </is>
      </c>
    </row>
    <row r="663">
      <c r="A663" t="n">
        <v>662</v>
      </c>
      <c r="B663" t="inlineStr">
        <is>
          <t>Innovative Bioscience</t>
        </is>
      </c>
      <c r="C663" t="inlineStr">
        <is>
          <t>Q+Q+</t>
        </is>
      </c>
      <c r="F663" t="inlineStr">
        <is>
          <t>yes +new</t>
        </is>
      </c>
      <c r="J663" t="inlineStr"/>
      <c r="O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Y663" t="inlineStr">
        <is>
          <t>unknown</t>
        </is>
      </c>
      <c r="Z663" t="inlineStr"/>
      <c r="AA663" t="inlineStr"/>
      <c r="AB663" t="inlineStr"/>
      <c r="AC663" t="inlineStr"/>
      <c r="AD663" t="inlineStr">
        <is>
          <t>לא נמצא בסריקת המפיצים</t>
        </is>
      </c>
      <c r="AE663" t="inlineStr">
        <is>
          <t>סריקת אתרי מפיצים</t>
        </is>
      </c>
      <c r="AG663" t="inlineStr"/>
      <c r="AH663" t="inlineStr"/>
      <c r="AJ663" t="inlineStr"/>
      <c r="AP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t>
        </is>
      </c>
      <c r="J664" t="inlineStr"/>
      <c r="Y664" t="inlineStr">
        <is>
          <t>unknown</t>
        </is>
      </c>
      <c r="Z664" t="inlineStr"/>
      <c r="AA664" t="inlineStr"/>
      <c r="AB664" t="inlineStr"/>
      <c r="AC664" t="inlineStr"/>
      <c r="AD664" t="inlineStr">
        <is>
          <t>לא נמצא בסריקת המפיצים</t>
        </is>
      </c>
      <c r="AE664" t="inlineStr">
        <is>
          <t>סריקת אתרי מפיצים</t>
        </is>
      </c>
      <c r="AG664" t="inlineStr"/>
      <c r="AH664" t="inlineStr"/>
      <c r="AJ664" t="inlineStr"/>
      <c r="AP664" t="inlineStr">
        <is>
          <t>https://www.quartzy.com/suppliers</t>
        </is>
      </c>
    </row>
    <row r="665">
      <c r="A665" t="n">
        <v>664</v>
      </c>
      <c r="B665" t="inlineStr">
        <is>
          <t>Innovex Biosciences</t>
        </is>
      </c>
      <c r="C665" t="inlineStr">
        <is>
          <t>Q</t>
        </is>
      </c>
      <c r="F665" t="inlineStr">
        <is>
          <t>yes</t>
        </is>
      </c>
      <c r="J665" t="inlineStr"/>
      <c r="Y665" t="inlineStr">
        <is>
          <t>unknown</t>
        </is>
      </c>
      <c r="Z665" t="inlineStr"/>
      <c r="AA665" t="inlineStr"/>
      <c r="AB665" t="inlineStr"/>
      <c r="AC665" t="inlineStr"/>
      <c r="AD665" t="inlineStr">
        <is>
          <t>לא נמצא בסריקת המפיצים</t>
        </is>
      </c>
      <c r="AE665" t="inlineStr">
        <is>
          <t>סריקת אתרי מפיצים</t>
        </is>
      </c>
      <c r="AG665" t="inlineStr"/>
      <c r="AH665" t="inlineStr"/>
      <c r="AJ665" t="inlineStr"/>
      <c r="AP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t>
        </is>
      </c>
      <c r="J666" t="inlineStr"/>
      <c r="Y666" t="inlineStr">
        <is>
          <t>unknown</t>
        </is>
      </c>
      <c r="Z666" t="inlineStr"/>
      <c r="AA666" t="inlineStr"/>
      <c r="AB666" t="inlineStr"/>
      <c r="AC666" t="inlineStr"/>
      <c r="AD666" t="inlineStr">
        <is>
          <t>לא נמצא בסריקת המפיצים</t>
        </is>
      </c>
      <c r="AE666" t="inlineStr">
        <is>
          <t>סריקת אתרי מפיצים</t>
        </is>
      </c>
      <c r="AG666" t="inlineStr"/>
      <c r="AH666" t="inlineStr"/>
      <c r="AJ666" t="inlineStr"/>
      <c r="AP666" t="inlineStr">
        <is>
          <t>https://www.quartzy.com/suppliers | https://www.thomassci.com/browse-by/suppliers/inorganic-ventures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t>
        </is>
      </c>
      <c r="J667" t="inlineStr"/>
      <c r="Y667" t="inlineStr">
        <is>
          <t>unknown</t>
        </is>
      </c>
      <c r="Z667" t="inlineStr"/>
      <c r="AA667" t="inlineStr"/>
      <c r="AB667" t="inlineStr"/>
      <c r="AC667" t="inlineStr"/>
      <c r="AD667" t="inlineStr">
        <is>
          <t>לא נמצא בסריקת המפיצים</t>
        </is>
      </c>
      <c r="AE667" t="inlineStr">
        <is>
          <t>סריקת אתרי מפיצים</t>
        </is>
      </c>
      <c r="AG667" t="inlineStr"/>
      <c r="AH667" t="inlineStr"/>
      <c r="AJ667" t="inlineStr"/>
      <c r="AP667" t="inlineStr">
        <is>
          <t>https://www.thomassci.com/browse-by/suppliers/instech</t>
        </is>
      </c>
    </row>
    <row r="668">
      <c r="A668" t="n">
        <v>667</v>
      </c>
      <c r="B668" t="inlineStr">
        <is>
          <t>INSTOCK Labs</t>
        </is>
      </c>
      <c r="C668" t="inlineStr">
        <is>
          <t>T</t>
        </is>
      </c>
      <c r="E668" t="inlineStr">
        <is>
          <t>https://www.thomassci.com/browse-by/suppliers/instock-labs</t>
        </is>
      </c>
      <c r="F668" t="inlineStr"/>
      <c r="J668" t="inlineStr"/>
      <c r="Y668" t="inlineStr">
        <is>
          <t>unknown</t>
        </is>
      </c>
      <c r="Z668" t="inlineStr"/>
      <c r="AA668" t="inlineStr"/>
      <c r="AB668" t="inlineStr"/>
      <c r="AC668" t="inlineStr"/>
      <c r="AD668" t="inlineStr">
        <is>
          <t>לא נמצא בסריקת המפיצים</t>
        </is>
      </c>
      <c r="AE668" t="inlineStr">
        <is>
          <t>סריקת אתרי מפיצים</t>
        </is>
      </c>
      <c r="AG668" t="inlineStr"/>
      <c r="AH668" t="inlineStr"/>
      <c r="AJ668" t="inlineStr"/>
      <c r="AP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Y669" t="inlineStr">
        <is>
          <t>unknown</t>
        </is>
      </c>
      <c r="Z669" t="inlineStr"/>
      <c r="AA669" t="inlineStr"/>
      <c r="AB669" t="inlineStr"/>
      <c r="AC669" t="inlineStr"/>
      <c r="AD669" t="inlineStr">
        <is>
          <t>לא נמצא בסריקת המפיצים</t>
        </is>
      </c>
      <c r="AE669" t="inlineStr">
        <is>
          <t>סריקת אתרי מפיצים</t>
        </is>
      </c>
      <c r="AG669" t="inlineStr"/>
      <c r="AH669" t="inlineStr"/>
      <c r="AJ669" t="inlineStr"/>
      <c r="AP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P670" t="n">
        <v>614</v>
      </c>
      <c r="Q670" t="n">
        <v>2024</v>
      </c>
      <c r="R670" t="inlineStr">
        <is>
          <t>company</t>
        </is>
      </c>
      <c r="S670" t="inlineStr">
        <is>
          <t>prior</t>
        </is>
      </c>
      <c r="T670" t="n">
        <v>290</v>
      </c>
      <c r="U670" t="inlineStr">
        <is>
          <t>CHF ~250 million (trade estimate; private)</t>
        </is>
      </c>
      <c r="V670" t="inlineStr">
        <is>
          <t>2024 (estimate)</t>
        </is>
      </c>
      <c r="W670" t="inlineStr">
        <is>
          <t>estimate</t>
        </is>
      </c>
      <c r="X670" t="inlineStr">
        <is>
          <t>prior</t>
        </is>
      </c>
      <c r="Y670" t="inlineStr">
        <is>
          <t>reported</t>
        </is>
      </c>
      <c r="Z670" t="inlineStr">
        <is>
          <t>VIAFLO / VOYAGER</t>
        </is>
      </c>
      <c r="AA670" t="inlineStr">
        <is>
          <t>ASSIST PLUS</t>
        </is>
      </c>
      <c r="AB670" t="inlineStr">
        <is>
          <t>VACUSAFE / MEDIACLAVE</t>
        </is>
      </c>
      <c r="AC670" t="inlineStr">
        <is>
          <t>prior</t>
        </is>
      </c>
      <c r="AD670" t="inlineStr">
        <is>
          <t>מפיץ/נציג בישראל</t>
        </is>
      </c>
      <c r="AE670" t="inlineStr">
        <is>
          <t>אומת</t>
        </is>
      </c>
      <c r="AF670" t="n">
        <v>2026</v>
      </c>
      <c r="AG670" t="inlineStr">
        <is>
          <t>Medent - Scientific Equipment Ltd.</t>
        </is>
      </c>
      <c r="AH670" t="inlineStr">
        <is>
          <t>Medent - Scientific Equipment Ltd.: +972 72-395-0508 (sales); +972 8-683-6306 (service) info@medent.co.il</t>
        </is>
      </c>
      <c r="AI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0" t="inlineStr">
        <is>
          <t>+41 81 286 95 30</t>
        </is>
      </c>
      <c r="AL670" t="inlineStr">
        <is>
          <t>Tardisstrasse 201, 7205 Zizers, Switzerland</t>
        </is>
      </c>
      <c r="AM670" t="inlineStr">
        <is>
          <t>https://www.integra-biosciences.com/global/en/contacts</t>
        </is>
      </c>
      <c r="AN670" t="inlineStr">
        <is>
          <t>https://www.integra-biosciences.com/global/en/contacts</t>
        </is>
      </c>
      <c r="AP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P671" t="n">
        <v>614</v>
      </c>
      <c r="Q671" t="n">
        <v>2024</v>
      </c>
      <c r="R671" t="inlineStr">
        <is>
          <t>company</t>
        </is>
      </c>
      <c r="S671" t="inlineStr">
        <is>
          <t>prior</t>
        </is>
      </c>
      <c r="T671" t="n">
        <v>290</v>
      </c>
      <c r="U671" t="inlineStr">
        <is>
          <t>CHF ~250 million (trade estimate; private)</t>
        </is>
      </c>
      <c r="V671" t="inlineStr">
        <is>
          <t>2024 (estimate)</t>
        </is>
      </c>
      <c r="W671" t="inlineStr">
        <is>
          <t>estimate</t>
        </is>
      </c>
      <c r="X671" t="inlineStr">
        <is>
          <t>prior</t>
        </is>
      </c>
      <c r="Y671" t="inlineStr">
        <is>
          <t>reported</t>
        </is>
      </c>
      <c r="Z671" t="inlineStr">
        <is>
          <t>VIAFLO / VOYAGER</t>
        </is>
      </c>
      <c r="AA671" t="inlineStr">
        <is>
          <t>ASSIST PLUS</t>
        </is>
      </c>
      <c r="AB671" t="inlineStr">
        <is>
          <t>VACUSAFE / MEDIACLAVE</t>
        </is>
      </c>
      <c r="AC671" t="inlineStr">
        <is>
          <t>prior</t>
        </is>
      </c>
      <c r="AD671" t="inlineStr">
        <is>
          <t>מפיץ/נציג בישראל</t>
        </is>
      </c>
      <c r="AE671" t="inlineStr">
        <is>
          <t>אומת</t>
        </is>
      </c>
      <c r="AF671" t="n">
        <v>2026</v>
      </c>
      <c r="AG671" t="inlineStr">
        <is>
          <t>Medent - Scientific Equipment Ltd.</t>
        </is>
      </c>
      <c r="AH671" t="inlineStr">
        <is>
          <t>Medent - Scientific Equipment Ltd.: +972 72-395-0508 (sales); +972 8-683-6306 (service) info@medent.co.il</t>
        </is>
      </c>
      <c r="AI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1" t="inlineStr">
        <is>
          <t>+41 81 286 95 30</t>
        </is>
      </c>
      <c r="AL671" t="inlineStr">
        <is>
          <t>Tardisstrasse 201, 7205 Zizers, Switzerland</t>
        </is>
      </c>
      <c r="AM671" t="inlineStr">
        <is>
          <t>https://www.integra-biosciences.com/global/en/contacts</t>
        </is>
      </c>
      <c r="AN671" t="inlineStr">
        <is>
          <t>https://www.integra-biosciences.com/global/en/contacts</t>
        </is>
      </c>
      <c r="AP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https://intelagard.com</t>
        </is>
      </c>
      <c r="I672" t="inlineStr">
        <is>
          <t>clearbit</t>
        </is>
      </c>
      <c r="J672" t="inlineStr"/>
      <c r="Y672" t="inlineStr">
        <is>
          <t>unknown</t>
        </is>
      </c>
      <c r="Z672" t="inlineStr"/>
      <c r="AA672" t="inlineStr"/>
      <c r="AB672" t="inlineStr"/>
      <c r="AC672" t="inlineStr"/>
      <c r="AD672" t="inlineStr">
        <is>
          <t>לא נמצא בסריקת המפיצים</t>
        </is>
      </c>
      <c r="AE672" t="inlineStr">
        <is>
          <t>סריקת אתרי מפיצים</t>
        </is>
      </c>
      <c r="AG672" t="inlineStr"/>
      <c r="AH672" t="inlineStr"/>
      <c r="AJ672" t="inlineStr"/>
      <c r="AP672" t="inlineStr">
        <is>
          <t>https://www.thomassci.com/browse-by/suppliers/intelagard</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t>
        </is>
      </c>
      <c r="J673" t="inlineStr"/>
      <c r="Y673" t="inlineStr">
        <is>
          <t>unknown</t>
        </is>
      </c>
      <c r="Z673" t="inlineStr"/>
      <c r="AA673" t="inlineStr"/>
      <c r="AB673" t="inlineStr"/>
      <c r="AC673" t="inlineStr"/>
      <c r="AD673" t="inlineStr">
        <is>
          <t>לא נמצא בסריקת המפיצים</t>
        </is>
      </c>
      <c r="AE673" t="inlineStr">
        <is>
          <t>סריקת אתרי מפיצים</t>
        </is>
      </c>
      <c r="AG673" t="inlineStr"/>
      <c r="AH673" t="inlineStr"/>
      <c r="AJ673" t="inlineStr"/>
      <c r="AP673" t="inlineStr">
        <is>
          <t>https://www.thomassci.com/browse-by/suppliers/intelixbio</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t>
        </is>
      </c>
      <c r="J674" t="inlineStr"/>
      <c r="Y674" t="inlineStr">
        <is>
          <t>unknown</t>
        </is>
      </c>
      <c r="Z674" t="inlineStr"/>
      <c r="AA674" t="inlineStr"/>
      <c r="AB674" t="inlineStr"/>
      <c r="AC674" t="inlineStr"/>
      <c r="AD674" t="inlineStr">
        <is>
          <t>לא נמצא בסריקת המפיצים</t>
        </is>
      </c>
      <c r="AE674" t="inlineStr">
        <is>
          <t>סריקת אתרי מפיצים</t>
        </is>
      </c>
      <c r="AG674" t="inlineStr"/>
      <c r="AH674" t="inlineStr"/>
      <c r="AJ674" t="inlineStr"/>
      <c r="AP674" t="inlineStr">
        <is>
          <t>https://www.thomassci.com/browse-by/suppliers/inter-dyne-systems</t>
        </is>
      </c>
    </row>
    <row r="675">
      <c r="A675" t="n">
        <v>674</v>
      </c>
      <c r="B675" t="inlineStr">
        <is>
          <t>Interlab</t>
        </is>
      </c>
      <c r="C675" t="inlineStr">
        <is>
          <t>T</t>
        </is>
      </c>
      <c r="E675" t="inlineStr">
        <is>
          <t>https://www.thomassci.com/browse-by/suppliers/interlab</t>
        </is>
      </c>
      <c r="F675" t="inlineStr"/>
      <c r="H675" t="inlineStr">
        <is>
          <t>https://interlab.com.ec</t>
        </is>
      </c>
      <c r="I675" t="inlineStr">
        <is>
          <t>clearbit</t>
        </is>
      </c>
      <c r="J675" t="inlineStr"/>
      <c r="Y675" t="inlineStr">
        <is>
          <t>unknown</t>
        </is>
      </c>
      <c r="Z675" t="inlineStr"/>
      <c r="AA675" t="inlineStr"/>
      <c r="AB675" t="inlineStr"/>
      <c r="AC675" t="inlineStr"/>
      <c r="AD675" t="inlineStr">
        <is>
          <t>לא נמצא בסריקת המפיצים</t>
        </is>
      </c>
      <c r="AE675" t="inlineStr">
        <is>
          <t>סריקת אתרי מפיצים</t>
        </is>
      </c>
      <c r="AG675" t="inlineStr"/>
      <c r="AH675" t="inlineStr"/>
      <c r="AJ675" t="inlineStr"/>
      <c r="AP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t>
        </is>
      </c>
      <c r="J676" t="inlineStr"/>
      <c r="Y676" t="inlineStr">
        <is>
          <t>unknown</t>
        </is>
      </c>
      <c r="Z676" t="inlineStr"/>
      <c r="AA676" t="inlineStr"/>
      <c r="AB676" t="inlineStr"/>
      <c r="AC676" t="inlineStr"/>
      <c r="AD676" t="inlineStr">
        <is>
          <t>לא נמצא בסריקת המפיצים</t>
        </is>
      </c>
      <c r="AE676" t="inlineStr">
        <is>
          <t>סריקת אתרי מפיצים</t>
        </is>
      </c>
      <c r="AG676" t="inlineStr"/>
      <c r="AH676" t="inlineStr"/>
      <c r="AJ676" t="inlineStr"/>
      <c r="AP676" t="inlineStr">
        <is>
          <t>https://www.thomassci.com/browse-by/suppliers/intermetro</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Y677" t="inlineStr">
        <is>
          <t>unknown</t>
        </is>
      </c>
      <c r="Z677" t="inlineStr"/>
      <c r="AA677" t="inlineStr"/>
      <c r="AB677" t="inlineStr"/>
      <c r="AC677" t="inlineStr"/>
      <c r="AD677" t="inlineStr">
        <is>
          <t>לא נמצא בסריקת המפיצים</t>
        </is>
      </c>
      <c r="AE677" t="inlineStr">
        <is>
          <t>סריקת אתרי מפיצים</t>
        </is>
      </c>
      <c r="AG677" t="inlineStr"/>
      <c r="AH677" t="inlineStr"/>
      <c r="AJ677" t="inlineStr"/>
      <c r="AP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Y678" t="inlineStr">
        <is>
          <t>unknown</t>
        </is>
      </c>
      <c r="Z678" t="inlineStr"/>
      <c r="AA678" t="inlineStr"/>
      <c r="AB678" t="inlineStr"/>
      <c r="AC678" t="inlineStr"/>
      <c r="AD678" t="inlineStr">
        <is>
          <t>לא נמצא בסריקת המפיצים</t>
        </is>
      </c>
      <c r="AE678" t="inlineStr">
        <is>
          <t>סריקת אתרי מפיצים</t>
        </is>
      </c>
      <c r="AG678" t="inlineStr"/>
      <c r="AH678" t="inlineStr"/>
      <c r="AJ678" t="inlineStr"/>
      <c r="AP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t>
        </is>
      </c>
      <c r="J679" t="inlineStr"/>
      <c r="Y679" t="inlineStr">
        <is>
          <t>unknown</t>
        </is>
      </c>
      <c r="Z679" t="inlineStr"/>
      <c r="AA679" t="inlineStr"/>
      <c r="AB679" t="inlineStr"/>
      <c r="AC679" t="inlineStr"/>
      <c r="AD679" t="inlineStr">
        <is>
          <t>לא נמצא בסריקת המפיצים</t>
        </is>
      </c>
      <c r="AE679" t="inlineStr">
        <is>
          <t>סריקת אתרי מפיצים</t>
        </is>
      </c>
      <c r="AG679" t="inlineStr"/>
      <c r="AH679" t="inlineStr"/>
      <c r="AJ679" t="inlineStr"/>
      <c r="AP679" t="inlineStr">
        <is>
          <t>https://www.thomassci.com/browse-by/suppliers/international-plastics</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http://www.intersci.com/#</t>
        </is>
      </c>
      <c r="I680" t="inlineStr">
        <is>
          <t>wikidata</t>
        </is>
      </c>
      <c r="J680" t="inlineStr">
        <is>
          <t>ארה"ב</t>
        </is>
      </c>
      <c r="K680" t="inlineStr">
        <is>
          <t>Troy</t>
        </is>
      </c>
      <c r="M680" t="inlineStr">
        <is>
          <t>1980</t>
        </is>
      </c>
      <c r="O680" t="inlineStr">
        <is>
          <t>company in Troy, United States</t>
        </is>
      </c>
      <c r="Y680" t="inlineStr">
        <is>
          <t>unknown</t>
        </is>
      </c>
      <c r="Z680" t="inlineStr"/>
      <c r="AA680" t="inlineStr"/>
      <c r="AB680" t="inlineStr"/>
      <c r="AC680" t="inlineStr"/>
      <c r="AD680" t="inlineStr">
        <is>
          <t>לא נמצא בסריקת המפיצים</t>
        </is>
      </c>
      <c r="AE680" t="inlineStr">
        <is>
          <t>סריקת אתרי מפיצים</t>
        </is>
      </c>
      <c r="AG680" t="inlineStr"/>
      <c r="AH680" t="inlineStr"/>
      <c r="AJ680" t="inlineStr"/>
      <c r="AL680" t="inlineStr">
        <is>
          <t>Troy</t>
        </is>
      </c>
      <c r="AO680" t="inlineStr">
        <is>
          <t>Q30282491</t>
        </is>
      </c>
      <c r="AP680" t="inlineStr">
        <is>
          <t>https://www.dutscher.com/search?initialFilters=brand:Interscience | https://www.thomassci.com/browse-by/suppliers/interscience | https://www.wikidata.org/wiki/Q30282491</t>
        </is>
      </c>
    </row>
    <row r="681">
      <c r="A681" t="n">
        <v>680</v>
      </c>
      <c r="B681" t="inlineStr">
        <is>
          <t>ION Bioscience</t>
        </is>
      </c>
      <c r="C681" t="inlineStr">
        <is>
          <t>Q</t>
        </is>
      </c>
      <c r="F681" t="inlineStr">
        <is>
          <t>yes</t>
        </is>
      </c>
      <c r="H681" t="inlineStr">
        <is>
          <t>https://ionbiosciences.com</t>
        </is>
      </c>
      <c r="I681" t="inlineStr">
        <is>
          <t>clearbit</t>
        </is>
      </c>
      <c r="J681" t="inlineStr"/>
      <c r="Y681" t="inlineStr">
        <is>
          <t>unknown</t>
        </is>
      </c>
      <c r="Z681" t="inlineStr"/>
      <c r="AA681" t="inlineStr"/>
      <c r="AB681" t="inlineStr"/>
      <c r="AC681" t="inlineStr"/>
      <c r="AD681" t="inlineStr">
        <is>
          <t>לא נמצא בסריקת המפיצים</t>
        </is>
      </c>
      <c r="AE681" t="inlineStr">
        <is>
          <t>סריקת אתרי מפיצים</t>
        </is>
      </c>
      <c r="AG681" t="inlineStr"/>
      <c r="AH681" t="inlineStr"/>
      <c r="AJ681" t="inlineStr"/>
      <c r="AP681" t="inlineStr">
        <is>
          <t>https://www.quartzy.com/suppliers</t>
        </is>
      </c>
    </row>
    <row r="682">
      <c r="A682" t="n">
        <v>681</v>
      </c>
      <c r="B682" t="inlineStr">
        <is>
          <t>iQ Biosciences</t>
        </is>
      </c>
      <c r="C682" t="inlineStr">
        <is>
          <t>Q</t>
        </is>
      </c>
      <c r="F682" t="inlineStr">
        <is>
          <t>yes</t>
        </is>
      </c>
      <c r="H682" t="inlineStr">
        <is>
          <t>https://iqbiosciences.com</t>
        </is>
      </c>
      <c r="I682" t="inlineStr">
        <is>
          <t>clearbit</t>
        </is>
      </c>
      <c r="J682" t="inlineStr"/>
      <c r="Y682" t="inlineStr">
        <is>
          <t>unknown</t>
        </is>
      </c>
      <c r="Z682" t="inlineStr"/>
      <c r="AA682" t="inlineStr"/>
      <c r="AB682" t="inlineStr"/>
      <c r="AC682" t="inlineStr"/>
      <c r="AD682" t="inlineStr">
        <is>
          <t>לא נמצא בסריקת המפיצים</t>
        </is>
      </c>
      <c r="AE682" t="inlineStr">
        <is>
          <t>סריקת אתרי מפיצים</t>
        </is>
      </c>
      <c r="AG682" t="inlineStr"/>
      <c r="AH682" t="inlineStr"/>
      <c r="AJ682" t="inlineStr"/>
      <c r="AP682" t="inlineStr">
        <is>
          <t>https://www.quartzy.com/suppliers</t>
        </is>
      </c>
    </row>
    <row r="683">
      <c r="A683" t="n">
        <v>682</v>
      </c>
      <c r="B683" t="inlineStr">
        <is>
          <t>Ironclad</t>
        </is>
      </c>
      <c r="C683" t="inlineStr">
        <is>
          <t>T</t>
        </is>
      </c>
      <c r="E683" t="inlineStr">
        <is>
          <t>https://www.thomassci.com/browse-by/suppliers/ironclad</t>
        </is>
      </c>
      <c r="F683" t="inlineStr"/>
      <c r="H683" t="inlineStr">
        <is>
          <t>https://ironcladapp.com</t>
        </is>
      </c>
      <c r="I683" t="inlineStr">
        <is>
          <t>clearbit</t>
        </is>
      </c>
      <c r="J683" t="inlineStr"/>
      <c r="Y683" t="inlineStr">
        <is>
          <t>unknown</t>
        </is>
      </c>
      <c r="Z683" t="inlineStr"/>
      <c r="AA683" t="inlineStr"/>
      <c r="AB683" t="inlineStr"/>
      <c r="AC683" t="inlineStr"/>
      <c r="AD683" t="inlineStr">
        <is>
          <t>לא נמצא בסריקת המפיצים</t>
        </is>
      </c>
      <c r="AE683" t="inlineStr">
        <is>
          <t>סריקת אתרי מפיצים</t>
        </is>
      </c>
      <c r="AG683" t="inlineStr"/>
      <c r="AH683" t="inlineStr"/>
      <c r="AJ683" t="inlineStr"/>
      <c r="AP683" t="inlineStr">
        <is>
          <t>https://www.thomassci.com/browse-by/suppliers/ironclad</t>
        </is>
      </c>
    </row>
    <row r="684">
      <c r="A684" t="n">
        <v>683</v>
      </c>
      <c r="B684" t="inlineStr">
        <is>
          <t>Isocapt</t>
        </is>
      </c>
      <c r="C684" t="inlineStr">
        <is>
          <t>Q</t>
        </is>
      </c>
      <c r="F684" t="inlineStr">
        <is>
          <t>yes</t>
        </is>
      </c>
      <c r="H684" t="inlineStr">
        <is>
          <t>https://isocaptllc.com</t>
        </is>
      </c>
      <c r="I684" t="inlineStr">
        <is>
          <t>clearbit</t>
        </is>
      </c>
      <c r="J684" t="inlineStr"/>
      <c r="Y684" t="inlineStr">
        <is>
          <t>unknown</t>
        </is>
      </c>
      <c r="Z684" t="inlineStr"/>
      <c r="AA684" t="inlineStr"/>
      <c r="AB684" t="inlineStr"/>
      <c r="AC684" t="inlineStr"/>
      <c r="AD684" t="inlineStr">
        <is>
          <t>לא נמצא בסריקת המפיצים</t>
        </is>
      </c>
      <c r="AE684" t="inlineStr">
        <is>
          <t>סריקת אתרי מפיצים</t>
        </is>
      </c>
      <c r="AG684" t="inlineStr"/>
      <c r="AH684" t="inlineStr"/>
      <c r="AJ684" t="inlineStr"/>
      <c r="AP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t>
        </is>
      </c>
      <c r="J685" t="inlineStr"/>
      <c r="Y685" t="inlineStr">
        <is>
          <t>unknown</t>
        </is>
      </c>
      <c r="Z685" t="inlineStr"/>
      <c r="AA685" t="inlineStr"/>
      <c r="AB685" t="inlineStr"/>
      <c r="AC685" t="inlineStr"/>
      <c r="AD685" t="inlineStr">
        <is>
          <t>לא נמצא בסריקת המפיצים</t>
        </is>
      </c>
      <c r="AE685" t="inlineStr">
        <is>
          <t>סריקת אתרי מפיצים</t>
        </is>
      </c>
      <c r="AG685" t="inlineStr"/>
      <c r="AH685" t="inlineStr"/>
      <c r="AJ685" t="inlineStr"/>
      <c r="AP685" t="inlineStr">
        <is>
          <t>https://www.thomassci.com/browse-by/suppliers/ist-scientific</t>
        </is>
      </c>
    </row>
    <row r="686">
      <c r="A686" t="n">
        <v>685</v>
      </c>
      <c r="B686" t="inlineStr">
        <is>
          <t>ITW Devcon</t>
        </is>
      </c>
      <c r="C686" t="inlineStr">
        <is>
          <t>T</t>
        </is>
      </c>
      <c r="E686" t="inlineStr">
        <is>
          <t>https://www.thomassci.com/browse-by/suppliers/itw-devcon</t>
        </is>
      </c>
      <c r="F686" t="inlineStr"/>
      <c r="J686" t="inlineStr"/>
      <c r="Y686" t="inlineStr">
        <is>
          <t>unknown</t>
        </is>
      </c>
      <c r="Z686" t="inlineStr"/>
      <c r="AA686" t="inlineStr"/>
      <c r="AB686" t="inlineStr"/>
      <c r="AC686" t="inlineStr"/>
      <c r="AD686" t="inlineStr">
        <is>
          <t>לא נמצא בסריקת המפיצים</t>
        </is>
      </c>
      <c r="AE686" t="inlineStr">
        <is>
          <t>סריקת אתרי מפיצים</t>
        </is>
      </c>
      <c r="AG686" t="inlineStr"/>
      <c r="AH686" t="inlineStr"/>
      <c r="AJ686" t="inlineStr"/>
      <c r="AP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Y687" t="inlineStr">
        <is>
          <t>unknown</t>
        </is>
      </c>
      <c r="Z687" t="inlineStr"/>
      <c r="AA687" t="inlineStr"/>
      <c r="AB687" t="inlineStr"/>
      <c r="AC687" t="inlineStr"/>
      <c r="AD687" t="inlineStr">
        <is>
          <t>לא נמצא בסריקת המפיצים</t>
        </is>
      </c>
      <c r="AE687" t="inlineStr">
        <is>
          <t>סריקת אתרי מפיצים</t>
        </is>
      </c>
      <c r="AG687" t="inlineStr"/>
      <c r="AH687" t="inlineStr"/>
      <c r="AJ687" t="inlineStr"/>
      <c r="AP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Y688" t="inlineStr">
        <is>
          <t>unknown</t>
        </is>
      </c>
      <c r="Z688" t="inlineStr"/>
      <c r="AA688" t="inlineStr"/>
      <c r="AB688" t="inlineStr"/>
      <c r="AC688" t="inlineStr"/>
      <c r="AD688" t="inlineStr">
        <is>
          <t>לא נמצא בסריקת המפיצים</t>
        </is>
      </c>
      <c r="AE688" t="inlineStr">
        <is>
          <t>סריקת אתרי מפיצים</t>
        </is>
      </c>
      <c r="AG688" t="inlineStr"/>
      <c r="AH688" t="inlineStr"/>
      <c r="AJ688" t="inlineStr"/>
      <c r="AP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Y689" t="inlineStr">
        <is>
          <t>unknown</t>
        </is>
      </c>
      <c r="Z689" t="inlineStr"/>
      <c r="AA689" t="inlineStr"/>
      <c r="AB689" t="inlineStr"/>
      <c r="AC689" t="inlineStr"/>
      <c r="AD689" t="inlineStr">
        <is>
          <t>לא נמצא בסריקת המפיצים</t>
        </is>
      </c>
      <c r="AE689" t="inlineStr">
        <is>
          <t>סריקת אתרי מפיצים</t>
        </is>
      </c>
      <c r="AG689" t="inlineStr"/>
      <c r="AH689" t="inlineStr"/>
      <c r="AJ689" t="inlineStr"/>
      <c r="AP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t>
        </is>
      </c>
      <c r="J690" t="inlineStr"/>
      <c r="Y690" t="inlineStr">
        <is>
          <t>unknown</t>
        </is>
      </c>
      <c r="Z690" t="inlineStr"/>
      <c r="AA690" t="inlineStr"/>
      <c r="AB690" t="inlineStr"/>
      <c r="AC690" t="inlineStr"/>
      <c r="AD690" t="inlineStr">
        <is>
          <t>מפיץ/נציג בישראל</t>
        </is>
      </c>
      <c r="AE690" t="inlineStr">
        <is>
          <t>סריקת אתרי מפיצים</t>
        </is>
      </c>
      <c r="AF690" t="n">
        <v>2026</v>
      </c>
      <c r="AG690" t="inlineStr">
        <is>
          <t>Enco Scientific Services Ltd. (Enco Diagnostics)</t>
        </is>
      </c>
      <c r="AH690" t="inlineStr">
        <is>
          <t>Enco Scientific Services Ltd. (Enco Diagnostics):</t>
        </is>
      </c>
      <c r="AJ690" t="inlineStr"/>
      <c r="AP690" t="inlineStr">
        <is>
          <t>https://www.quartzy.com/suppliers | https://www.thomassci.com/browse-by/suppliers/jackson-immunoresearch | https://www.enco.co.il/about.php</t>
        </is>
      </c>
    </row>
    <row r="691">
      <c r="A691" t="n">
        <v>690</v>
      </c>
      <c r="B691" t="inlineStr">
        <is>
          <t>Jaece</t>
        </is>
      </c>
      <c r="C691" t="inlineStr">
        <is>
          <t>T</t>
        </is>
      </c>
      <c r="E691" t="inlineStr">
        <is>
          <t>https://www.thomassci.com/browse-by/suppliers/jaece</t>
        </is>
      </c>
      <c r="F691" t="inlineStr"/>
      <c r="J691" t="inlineStr"/>
      <c r="Y691" t="inlineStr">
        <is>
          <t>unknown</t>
        </is>
      </c>
      <c r="Z691" t="inlineStr"/>
      <c r="AA691" t="inlineStr"/>
      <c r="AB691" t="inlineStr"/>
      <c r="AC691" t="inlineStr"/>
      <c r="AD691" t="inlineStr">
        <is>
          <t>לא נמצא בסריקת המפיצים</t>
        </is>
      </c>
      <c r="AE691" t="inlineStr">
        <is>
          <t>סריקת אתרי מפיצים</t>
        </is>
      </c>
      <c r="AG691" t="inlineStr"/>
      <c r="AH691" t="inlineStr"/>
      <c r="AJ691" t="inlineStr"/>
      <c r="AP691" t="inlineStr">
        <is>
          <t>https://www.thomassci.com/browse-by/suppliers/jaece</t>
        </is>
      </c>
    </row>
    <row r="692">
      <c r="A692" t="n">
        <v>691</v>
      </c>
      <c r="B692" t="inlineStr">
        <is>
          <t>Jaece Industries</t>
        </is>
      </c>
      <c r="C692" t="inlineStr">
        <is>
          <t>Q</t>
        </is>
      </c>
      <c r="F692" t="inlineStr">
        <is>
          <t>yes</t>
        </is>
      </c>
      <c r="J692" t="inlineStr"/>
      <c r="Y692" t="inlineStr">
        <is>
          <t>unknown</t>
        </is>
      </c>
      <c r="Z692" t="inlineStr"/>
      <c r="AA692" t="inlineStr"/>
      <c r="AB692" t="inlineStr"/>
      <c r="AC692" t="inlineStr"/>
      <c r="AD692" t="inlineStr">
        <is>
          <t>לא נמצא בסריקת המפיצים</t>
        </is>
      </c>
      <c r="AE692" t="inlineStr">
        <is>
          <t>סריקת אתרי מפיצים</t>
        </is>
      </c>
      <c r="AG692" t="inlineStr"/>
      <c r="AH692" t="inlineStr"/>
      <c r="AJ692" t="inlineStr"/>
      <c r="AP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P693" t="n">
        <v>400</v>
      </c>
      <c r="Q693" t="n">
        <v>2024</v>
      </c>
      <c r="R693" t="inlineStr">
        <is>
          <t>estimate</t>
        </is>
      </c>
      <c r="S693" t="inlineStr">
        <is>
          <t>prior</t>
        </is>
      </c>
      <c r="T693" t="n">
        <v>80</v>
      </c>
      <c r="U693" t="inlineStr">
        <is>
          <t>JPY ~12 billion (trade estimate; private)</t>
        </is>
      </c>
      <c r="V693" t="inlineStr">
        <is>
          <t>FY2024 (estimate)</t>
        </is>
      </c>
      <c r="W693" t="inlineStr">
        <is>
          <t>estimate</t>
        </is>
      </c>
      <c r="X693" t="inlineStr">
        <is>
          <t>prior</t>
        </is>
      </c>
      <c r="Y693" t="inlineStr">
        <is>
          <t>estimate</t>
        </is>
      </c>
      <c r="Z693" t="inlineStr">
        <is>
          <t>J-1500</t>
        </is>
      </c>
      <c r="AA693" t="inlineStr">
        <is>
          <t>FT/IR-4X / FT/IR-6X</t>
        </is>
      </c>
      <c r="AB693" t="inlineStr">
        <is>
          <t>V-700 series (V-780)</t>
        </is>
      </c>
      <c r="AC693" t="inlineStr">
        <is>
          <t>prior</t>
        </is>
      </c>
      <c r="AD693" t="inlineStr">
        <is>
          <t>מפיץ/נציג בישראל</t>
        </is>
      </c>
      <c r="AE693" t="inlineStr">
        <is>
          <t>אומת</t>
        </is>
      </c>
      <c r="AF693" t="n">
        <v>2026</v>
      </c>
      <c r="AG693" t="inlineStr">
        <is>
          <t>Ophir Analytical Ltd.</t>
        </is>
      </c>
      <c r="AH693" t="inlineStr">
        <is>
          <t>Ophir Analytical Ltd.: +972 3-902-2277</t>
        </is>
      </c>
      <c r="AI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J693" t="inlineStr"/>
      <c r="AL693" t="inlineStr">
        <is>
          <t>2967-5 Ishikawa-machi, Hachioji-shi, Tokyo, Japan</t>
        </is>
      </c>
      <c r="AN693" t="inlineStr">
        <is>
          <t>https://us.metoree.com/companies/177732/</t>
        </is>
      </c>
      <c r="AP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t>
        </is>
      </c>
    </row>
    <row r="694">
      <c r="A694" t="n">
        <v>693</v>
      </c>
      <c r="B694" t="inlineStr">
        <is>
          <t>Jeio Tech</t>
        </is>
      </c>
      <c r="C694" t="inlineStr">
        <is>
          <t>T+Q</t>
        </is>
      </c>
      <c r="E694" t="inlineStr">
        <is>
          <t>https://www.thomassci.com/browse-by/suppliers/jeio-tech</t>
        </is>
      </c>
      <c r="F694" t="inlineStr">
        <is>
          <t>yes</t>
        </is>
      </c>
      <c r="H694" t="inlineStr">
        <is>
          <t>https://jeiotech.com</t>
        </is>
      </c>
      <c r="I694" t="inlineStr">
        <is>
          <t>clearbit</t>
        </is>
      </c>
      <c r="J694" t="inlineStr"/>
      <c r="Y694" t="inlineStr">
        <is>
          <t>unknown</t>
        </is>
      </c>
      <c r="Z694" t="inlineStr"/>
      <c r="AA694" t="inlineStr"/>
      <c r="AB694" t="inlineStr"/>
      <c r="AC694" t="inlineStr"/>
      <c r="AD694" t="inlineStr">
        <is>
          <t>לא נמצא בסריקת המפיצים</t>
        </is>
      </c>
      <c r="AE694" t="inlineStr">
        <is>
          <t>סריקת אתרי מפיצים</t>
        </is>
      </c>
      <c r="AG694" t="inlineStr"/>
      <c r="AH694" t="inlineStr"/>
      <c r="AJ694" t="inlineStr"/>
      <c r="AP694" t="inlineStr">
        <is>
          <t>https://www.quartzy.com/suppliers | https://www.thomassci.com/browse-by/suppliers/jeio-tech</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t>
        </is>
      </c>
      <c r="J695" t="inlineStr"/>
      <c r="Y695" t="inlineStr">
        <is>
          <t>unknown</t>
        </is>
      </c>
      <c r="Z695" t="inlineStr"/>
      <c r="AA695" t="inlineStr"/>
      <c r="AB695" t="inlineStr"/>
      <c r="AC695" t="inlineStr"/>
      <c r="AD695" t="inlineStr">
        <is>
          <t>לא נמצא בסריקת המפיצים</t>
        </is>
      </c>
      <c r="AE695" t="inlineStr">
        <is>
          <t>סריקת אתרי מפיצים</t>
        </is>
      </c>
      <c r="AG695" t="inlineStr"/>
      <c r="AH695" t="inlineStr"/>
      <c r="AJ695" t="inlineStr"/>
      <c r="AP695" t="inlineStr">
        <is>
          <t>https://www.thomassci.com/browse-by/suppliers/jensen-global</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P696" t="n">
        <v>2000</v>
      </c>
      <c r="Q696" t="n">
        <v>2024</v>
      </c>
      <c r="R696" t="inlineStr">
        <is>
          <t>estimate</t>
        </is>
      </c>
      <c r="S696" t="inlineStr">
        <is>
          <t>prior</t>
        </is>
      </c>
      <c r="T696" t="n">
        <v>400</v>
      </c>
      <c r="U696" t="inlineStr">
        <is>
          <t>approx. USD 400 million (third-party directory estimate)</t>
        </is>
      </c>
      <c r="V696" t="inlineStr">
        <is>
          <t>n/a (directory estimate seen Oct 2026)</t>
        </is>
      </c>
      <c r="W696" t="inlineStr">
        <is>
          <t>estimate</t>
        </is>
      </c>
      <c r="X696" t="inlineStr">
        <is>
          <t>prior</t>
        </is>
      </c>
      <c r="Y696" t="inlineStr">
        <is>
          <t>estimate</t>
        </is>
      </c>
      <c r="Z696" t="inlineStr">
        <is>
          <t>Jenway spectrophotometers</t>
        </is>
      </c>
      <c r="AA696" t="inlineStr">
        <is>
          <t>Environmental Express HotBlock</t>
        </is>
      </c>
      <c r="AB696" t="inlineStr">
        <is>
          <t>Stuart / Techne benchtop equipment</t>
        </is>
      </c>
      <c r="AC696" t="inlineStr">
        <is>
          <t>prior</t>
        </is>
      </c>
      <c r="AD696" t="inlineStr">
        <is>
          <t>מפיץ/נציג בישראל</t>
        </is>
      </c>
      <c r="AE696" t="inlineStr">
        <is>
          <t>אומת</t>
        </is>
      </c>
      <c r="AF696" t="n">
        <v>2026</v>
      </c>
      <c r="AG696" t="inlineStr">
        <is>
          <t>Medent Scientific Instruments</t>
        </is>
      </c>
      <c r="AH696" t="inlineStr">
        <is>
          <t>Medent Scientific Instruments: +972 72-395-0508 (sales); +972 8-683-6306 (service) info@medent.co.il</t>
        </is>
      </c>
      <c r="AI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696" t="inlineStr">
        <is>
          <t>+1 800-323-4340</t>
        </is>
      </c>
      <c r="AK696" t="inlineStr">
        <is>
          <t>sales@antylia.com</t>
        </is>
      </c>
      <c r="AL696" t="inlineStr">
        <is>
          <t>625 East Bunker Court, Vernon Hills, IL 60061, USA</t>
        </is>
      </c>
      <c r="AN696" t="inlineStr">
        <is>
          <t>https://www.thomasnet.com/company/cole-parmer-1148924/profile</t>
        </is>
      </c>
      <c r="AP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P697" t="n">
        <v>3604</v>
      </c>
      <c r="Q697" t="n">
        <v>2025</v>
      </c>
      <c r="R697" t="inlineStr">
        <is>
          <t>company</t>
        </is>
      </c>
      <c r="S697" t="inlineStr">
        <is>
          <t>prior</t>
        </is>
      </c>
      <c r="T697" t="n">
        <v>1202</v>
      </c>
      <c r="U697" t="inlineStr">
        <is>
          <t>JPY 179,353 million</t>
        </is>
      </c>
      <c r="V697" t="inlineStr">
        <is>
          <t>FY ended Mar-2026</t>
        </is>
      </c>
      <c r="W697" t="inlineStr">
        <is>
          <t>company</t>
        </is>
      </c>
      <c r="X697" t="inlineStr">
        <is>
          <t>prior</t>
        </is>
      </c>
      <c r="Y697" t="inlineStr">
        <is>
          <t>reported</t>
        </is>
      </c>
      <c r="Z697" t="inlineStr">
        <is>
          <t>JEM-ARM300F2 GRAND ARM2</t>
        </is>
      </c>
      <c r="AA697" t="inlineStr">
        <is>
          <t>JSM-IT800 / JSM-7900F</t>
        </is>
      </c>
      <c r="AB697" t="inlineStr">
        <is>
          <t>JNM-ECZ Luminous (ECZL)</t>
        </is>
      </c>
      <c r="AC697" t="inlineStr">
        <is>
          <t>prior</t>
        </is>
      </c>
      <c r="AD697" t="inlineStr">
        <is>
          <t>מפיץ/נציג בישראל</t>
        </is>
      </c>
      <c r="AE697" t="inlineStr">
        <is>
          <t>אומת</t>
        </is>
      </c>
      <c r="AF697" t="n">
        <v>2026</v>
      </c>
      <c r="AG697" t="inlineStr">
        <is>
          <t>Bargal Analytical Instruments Ltd.</t>
        </is>
      </c>
      <c r="AH697" t="inlineStr">
        <is>
          <t>Bargal Analytical Instruments Ltd.: +972-3-979-6533 sales@bargal.co.il</t>
        </is>
      </c>
      <c r="AI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J697" t="inlineStr">
        <is>
          <t>+81 42 543 1111</t>
        </is>
      </c>
      <c r="AL697" t="inlineStr">
        <is>
          <t>3-1-2 Musashino, Akishima, Tokyo 196-8558, Japan</t>
        </is>
      </c>
      <c r="AN697" t="inlineStr">
        <is>
          <t>https://www.globaldata.com/company-profile/jeol-ltd/locations/</t>
        </is>
      </c>
      <c r="AP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t>
        </is>
      </c>
    </row>
    <row r="698">
      <c r="A698" t="n">
        <v>697</v>
      </c>
      <c r="B698" t="inlineStr">
        <is>
          <t>John M. Maris Company</t>
        </is>
      </c>
      <c r="C698" t="inlineStr">
        <is>
          <t>T</t>
        </is>
      </c>
      <c r="E698" t="inlineStr">
        <is>
          <t>https://www.thomassci.com/browse-by/suppliers/john-m-maris-company</t>
        </is>
      </c>
      <c r="F698" t="inlineStr"/>
      <c r="J698" t="inlineStr"/>
      <c r="Y698" t="inlineStr">
        <is>
          <t>unknown</t>
        </is>
      </c>
      <c r="Z698" t="inlineStr"/>
      <c r="AA698" t="inlineStr"/>
      <c r="AB698" t="inlineStr"/>
      <c r="AC698" t="inlineStr"/>
      <c r="AD698" t="inlineStr">
        <is>
          <t>לא נמצא בסריקת המפיצים</t>
        </is>
      </c>
      <c r="AE698" t="inlineStr">
        <is>
          <t>סריקת אתרי מפיצים</t>
        </is>
      </c>
      <c r="AG698" t="inlineStr"/>
      <c r="AH698" t="inlineStr"/>
      <c r="AJ698" t="inlineStr"/>
      <c r="AP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t>
        </is>
      </c>
      <c r="J699" t="inlineStr"/>
      <c r="Y699" t="inlineStr">
        <is>
          <t>unknown</t>
        </is>
      </c>
      <c r="Z699" t="inlineStr"/>
      <c r="AA699" t="inlineStr"/>
      <c r="AB699" t="inlineStr"/>
      <c r="AC699" t="inlineStr"/>
      <c r="AD699" t="inlineStr">
        <is>
          <t>לא נמצא בסריקת המפיצים</t>
        </is>
      </c>
      <c r="AE699" t="inlineStr">
        <is>
          <t>סריקת אתרי מפיצים</t>
        </is>
      </c>
      <c r="AG699" t="inlineStr"/>
      <c r="AH699" t="inlineStr"/>
      <c r="AJ699" t="inlineStr"/>
      <c r="AP699" t="inlineStr">
        <is>
          <t>https://www.dutscher.com/search?initialFilters=brand:JP+Selecta</t>
        </is>
      </c>
    </row>
    <row r="700">
      <c r="A700" t="n">
        <v>699</v>
      </c>
      <c r="B700" t="inlineStr">
        <is>
          <t>JSP® by PIP Global Safety</t>
        </is>
      </c>
      <c r="C700" t="inlineStr">
        <is>
          <t>T</t>
        </is>
      </c>
      <c r="E700" t="inlineStr">
        <is>
          <t>https://www.thomassci.com/browse-by/suppliers/jsp-by-pip-global-safety</t>
        </is>
      </c>
      <c r="F700" t="inlineStr"/>
      <c r="J700" t="inlineStr"/>
      <c r="Y700" t="inlineStr">
        <is>
          <t>unknown</t>
        </is>
      </c>
      <c r="Z700" t="inlineStr"/>
      <c r="AA700" t="inlineStr"/>
      <c r="AB700" t="inlineStr"/>
      <c r="AC700" t="inlineStr"/>
      <c r="AD700" t="inlineStr">
        <is>
          <t>לא נמצא בסריקת המפיצים</t>
        </is>
      </c>
      <c r="AE700" t="inlineStr">
        <is>
          <t>סריקת אתרי מפיצים</t>
        </is>
      </c>
      <c r="AG700" t="inlineStr"/>
      <c r="AH700" t="inlineStr"/>
      <c r="AJ700" t="inlineStr"/>
      <c r="AP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P701" t="n">
        <v>423</v>
      </c>
      <c r="Q701" t="n">
        <v>2023</v>
      </c>
      <c r="R701" t="inlineStr">
        <is>
          <t>company</t>
        </is>
      </c>
      <c r="S701" t="inlineStr">
        <is>
          <t>prior</t>
        </is>
      </c>
      <c r="T701" t="n">
        <v>71.8</v>
      </c>
      <c r="U701" t="inlineStr">
        <is>
          <t>EUR 65.3 million</t>
        </is>
      </c>
      <c r="V701" t="inlineStr">
        <is>
          <t>FY2023</t>
        </is>
      </c>
      <c r="W701" t="inlineStr">
        <is>
          <t>company</t>
        </is>
      </c>
      <c r="X701" t="inlineStr">
        <is>
          <t>prior</t>
        </is>
      </c>
      <c r="Y701" t="inlineStr">
        <is>
          <t>mixed</t>
        </is>
      </c>
      <c r="Z701" t="inlineStr">
        <is>
          <t>PRESTO</t>
        </is>
      </c>
      <c r="AA701" t="inlineStr">
        <is>
          <t>CORIO / DYNEO / MAGIO</t>
        </is>
      </c>
      <c r="AB701" t="inlineStr">
        <is>
          <t>FL / FC series</t>
        </is>
      </c>
      <c r="AC701" t="inlineStr">
        <is>
          <t>prior</t>
        </is>
      </c>
      <c r="AD701" t="inlineStr">
        <is>
          <t>מפיץ/נציג בישראל</t>
        </is>
      </c>
      <c r="AE701" t="inlineStr">
        <is>
          <t>אומת</t>
        </is>
      </c>
      <c r="AF701" t="n">
        <v>2026</v>
      </c>
      <c r="AG701" t="inlineStr">
        <is>
          <t>Labotal Scientific Equipment Ltd.</t>
        </is>
      </c>
      <c r="AH701" t="inlineStr">
        <is>
          <t>Labotal Scientific Equipment Ltd.: +972 2-579-9222 Sales@labotal.co.il</t>
        </is>
      </c>
      <c r="AI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J701" t="inlineStr">
        <is>
          <t>+49 7823 51-0</t>
        </is>
      </c>
      <c r="AK701" t="inlineStr">
        <is>
          <t>info@julabo.com</t>
        </is>
      </c>
      <c r="AL701" t="inlineStr">
        <is>
          <t>Gerhard-Juchheim-Strasse 1, 77960 Seelbach, Germany</t>
        </is>
      </c>
      <c r="AM701" t="inlineStr">
        <is>
          <t>https://julabo.com/en/contact</t>
        </is>
      </c>
      <c r="AN701" t="inlineStr">
        <is>
          <t>https://www.julabo.com/en/company/locations</t>
        </is>
      </c>
      <c r="AP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t>
        </is>
      </c>
    </row>
    <row r="702">
      <c r="A702" t="n">
        <v>701</v>
      </c>
      <c r="B702" t="inlineStr">
        <is>
          <t>Justman Brush</t>
        </is>
      </c>
      <c r="C702" t="inlineStr">
        <is>
          <t>T</t>
        </is>
      </c>
      <c r="E702" t="inlineStr">
        <is>
          <t>https://www.thomassci.com/browse-by/suppliers/justman-brush</t>
        </is>
      </c>
      <c r="F702" t="inlineStr"/>
      <c r="J702" t="inlineStr"/>
      <c r="Y702" t="inlineStr">
        <is>
          <t>unknown</t>
        </is>
      </c>
      <c r="Z702" t="inlineStr"/>
      <c r="AA702" t="inlineStr"/>
      <c r="AB702" t="inlineStr"/>
      <c r="AC702" t="inlineStr"/>
      <c r="AD702" t="inlineStr">
        <is>
          <t>לא נמצא בסריקת המפיצים</t>
        </is>
      </c>
      <c r="AE702" t="inlineStr">
        <is>
          <t>סריקת אתרי מפיצים</t>
        </is>
      </c>
      <c r="AG702" t="inlineStr"/>
      <c r="AH702" t="inlineStr"/>
      <c r="AJ702" t="inlineStr"/>
      <c r="AP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Y703" t="inlineStr">
        <is>
          <t>unknown</t>
        </is>
      </c>
      <c r="Z703" t="inlineStr">
        <is>
          <t>JUSTRITE Sure-Grip Yellow EX Flammable Safety Cabinet</t>
        </is>
      </c>
      <c r="AA703" t="inlineStr">
        <is>
          <t>Sure-Grip® EX Countertop and Compac Cabinets for Corrosives</t>
        </is>
      </c>
      <c r="AB703" t="inlineStr">
        <is>
          <t>Sure-Grip® EX Corrosives/Acid Steel Safety Cabinets</t>
        </is>
      </c>
      <c r="AC703" t="inlineStr">
        <is>
          <t>thomassci</t>
        </is>
      </c>
      <c r="AD703" t="inlineStr">
        <is>
          <t>לא נמצא בסריקת המפיצים</t>
        </is>
      </c>
      <c r="AE703" t="inlineStr">
        <is>
          <t>סריקת אתרי מפיצים</t>
        </is>
      </c>
      <c r="AG703" t="inlineStr"/>
      <c r="AH703" t="inlineStr"/>
      <c r="AJ703" t="inlineStr"/>
      <c r="AP703" t="inlineStr">
        <is>
          <t>https://www.thomassci.com/browse-by/suppliers/justrite</t>
        </is>
      </c>
    </row>
    <row r="704">
      <c r="A704" t="n">
        <v>703</v>
      </c>
      <c r="B704" t="inlineStr">
        <is>
          <t>KACTUS</t>
        </is>
      </c>
      <c r="C704" t="inlineStr">
        <is>
          <t>Q</t>
        </is>
      </c>
      <c r="F704" t="inlineStr">
        <is>
          <t>yes</t>
        </is>
      </c>
      <c r="H704" t="inlineStr">
        <is>
          <t>https://kactus.com</t>
        </is>
      </c>
      <c r="I704" t="inlineStr">
        <is>
          <t>clearbit</t>
        </is>
      </c>
      <c r="J704" t="inlineStr"/>
      <c r="Y704" t="inlineStr">
        <is>
          <t>unknown</t>
        </is>
      </c>
      <c r="Z704" t="inlineStr"/>
      <c r="AA704" t="inlineStr"/>
      <c r="AB704" t="inlineStr"/>
      <c r="AC704" t="inlineStr"/>
      <c r="AD704" t="inlineStr">
        <is>
          <t>לא נמצא בסריקת המפיצים</t>
        </is>
      </c>
      <c r="AE704" t="inlineStr">
        <is>
          <t>סריקת אתרי מפיצים</t>
        </is>
      </c>
      <c r="AG704" t="inlineStr"/>
      <c r="AH704" t="inlineStr"/>
      <c r="AJ704" t="inlineStr"/>
      <c r="AP704" t="inlineStr">
        <is>
          <t>https://www.quartzy.com/suppliers</t>
        </is>
      </c>
    </row>
    <row r="705">
      <c r="A705" t="n">
        <v>704</v>
      </c>
      <c r="B705" t="inlineStr">
        <is>
          <t>KactusBio Inc</t>
        </is>
      </c>
      <c r="C705" t="inlineStr">
        <is>
          <t>T</t>
        </is>
      </c>
      <c r="E705" t="inlineStr">
        <is>
          <t>https://www.thomassci.com/browse-by/suppliers/kactusbio-inc</t>
        </is>
      </c>
      <c r="F705" t="inlineStr"/>
      <c r="J705" t="inlineStr"/>
      <c r="Y705" t="inlineStr">
        <is>
          <t>unknown</t>
        </is>
      </c>
      <c r="Z705" t="inlineStr"/>
      <c r="AA705" t="inlineStr"/>
      <c r="AB705" t="inlineStr"/>
      <c r="AC705" t="inlineStr"/>
      <c r="AD705" t="inlineStr">
        <is>
          <t>לא נמצא בסריקת המפיצים</t>
        </is>
      </c>
      <c r="AE705" t="inlineStr">
        <is>
          <t>סריקת אתרי מפיצים</t>
        </is>
      </c>
      <c r="AG705" t="inlineStr"/>
      <c r="AH705" t="inlineStr"/>
      <c r="AJ705" t="inlineStr"/>
      <c r="AP705" t="inlineStr">
        <is>
          <t>https://www.thomassci.com/browse-by/suppliers/kactusbio-inc</t>
        </is>
      </c>
    </row>
    <row r="706">
      <c r="A706" t="n">
        <v>705</v>
      </c>
      <c r="B706" t="inlineStr">
        <is>
          <t>Kango</t>
        </is>
      </c>
      <c r="C706" t="inlineStr">
        <is>
          <t>D</t>
        </is>
      </c>
      <c r="D706" t="inlineStr">
        <is>
          <t>https://www.dutscher.com/search?initialFilters=brand:Kango</t>
        </is>
      </c>
      <c r="F706" t="inlineStr"/>
      <c r="H706" t="inlineStr">
        <is>
          <t>https://kangol.com</t>
        </is>
      </c>
      <c r="I706" t="inlineStr">
        <is>
          <t>clearbit</t>
        </is>
      </c>
      <c r="J706" t="inlineStr"/>
      <c r="Y706" t="inlineStr">
        <is>
          <t>unknown</t>
        </is>
      </c>
      <c r="Z706" t="inlineStr"/>
      <c r="AA706" t="inlineStr"/>
      <c r="AB706" t="inlineStr"/>
      <c r="AC706" t="inlineStr"/>
      <c r="AD706" t="inlineStr">
        <is>
          <t>לא נמצא בסריקת המפיצים</t>
        </is>
      </c>
      <c r="AE706" t="inlineStr">
        <is>
          <t>סריקת אתרי מפיצים</t>
        </is>
      </c>
      <c r="AG706" t="inlineStr"/>
      <c r="AH706" t="inlineStr"/>
      <c r="AJ706" t="inlineStr"/>
      <c r="AP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t>
        </is>
      </c>
      <c r="J707" t="inlineStr"/>
      <c r="Y707" t="inlineStr">
        <is>
          <t>unknown</t>
        </is>
      </c>
      <c r="Z707" t="inlineStr"/>
      <c r="AA707" t="inlineStr"/>
      <c r="AB707" t="inlineStr"/>
      <c r="AC707" t="inlineStr"/>
      <c r="AD707" t="inlineStr">
        <is>
          <t>לא נמצא בסריקת המפיצים</t>
        </is>
      </c>
      <c r="AE707" t="inlineStr">
        <is>
          <t>סריקת אתרי מפיצים</t>
        </is>
      </c>
      <c r="AG707" t="inlineStr"/>
      <c r="AH707" t="inlineStr"/>
      <c r="AJ707" t="inlineStr"/>
      <c r="AP707" t="inlineStr">
        <is>
          <t>https://www.thomassci.com/browse-by/suppliers/kappler</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t>
        </is>
      </c>
      <c r="J708" t="inlineStr"/>
      <c r="Y708" t="inlineStr">
        <is>
          <t>unknown</t>
        </is>
      </c>
      <c r="Z708" t="inlineStr"/>
      <c r="AA708" t="inlineStr"/>
      <c r="AB708" t="inlineStr"/>
      <c r="AC708" t="inlineStr"/>
      <c r="AD708" t="inlineStr">
        <is>
          <t>לא נמצא בסריקת המפיצים</t>
        </is>
      </c>
      <c r="AE708" t="inlineStr">
        <is>
          <t>סריקת אתרי מפיצים</t>
        </is>
      </c>
      <c r="AG708" t="inlineStr"/>
      <c r="AH708" t="inlineStr"/>
      <c r="AJ708" t="inlineStr"/>
      <c r="AP708" t="inlineStr">
        <is>
          <t>https://www.quartzy.com/suppliers | https://www.thomassci.com/browse-by/suppliers/kd-scientific</t>
        </is>
      </c>
    </row>
    <row r="709">
      <c r="A709" t="n">
        <v>708</v>
      </c>
      <c r="B709" t="inlineStr">
        <is>
          <t>KDEB Manufacturing</t>
        </is>
      </c>
      <c r="C709" t="inlineStr">
        <is>
          <t>T</t>
        </is>
      </c>
      <c r="E709" t="inlineStr">
        <is>
          <t>https://www.thomassci.com/browse-by/suppliers/kdeb-manufacturing</t>
        </is>
      </c>
      <c r="F709" t="inlineStr"/>
      <c r="J709" t="inlineStr"/>
      <c r="Y709" t="inlineStr">
        <is>
          <t>unknown</t>
        </is>
      </c>
      <c r="Z709" t="inlineStr"/>
      <c r="AA709" t="inlineStr"/>
      <c r="AB709" t="inlineStr"/>
      <c r="AC709" t="inlineStr"/>
      <c r="AD709" t="inlineStr">
        <is>
          <t>לא נמצא בסריקת המפיצים</t>
        </is>
      </c>
      <c r="AE709" t="inlineStr">
        <is>
          <t>סריקת אתרי מפיצים</t>
        </is>
      </c>
      <c r="AG709" t="inlineStr"/>
      <c r="AH709" t="inlineStr"/>
      <c r="AJ709" t="inlineStr"/>
      <c r="AP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t>
        </is>
      </c>
      <c r="J710" t="inlineStr"/>
      <c r="Y710" t="inlineStr">
        <is>
          <t>unknown</t>
        </is>
      </c>
      <c r="Z710" t="inlineStr"/>
      <c r="AA710" t="inlineStr"/>
      <c r="AB710" t="inlineStr"/>
      <c r="AC710" t="inlineStr"/>
      <c r="AD710" t="inlineStr">
        <is>
          <t>לא נמצא בסריקת המפיצים</t>
        </is>
      </c>
      <c r="AE710" t="inlineStr">
        <is>
          <t>סריקת אתרי מפיצים</t>
        </is>
      </c>
      <c r="AG710" t="inlineStr"/>
      <c r="AH710" t="inlineStr"/>
      <c r="AJ710" t="inlineStr"/>
      <c r="AP710" t="inlineStr">
        <is>
          <t>https://www.quartzy.com/suppliers | https://www.thomassci.com/browse-by/suppliers/kemtech-america</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t>
        </is>
      </c>
      <c r="J711" t="inlineStr"/>
      <c r="Y711" t="inlineStr">
        <is>
          <t>unknown</t>
        </is>
      </c>
      <c r="Z711" t="inlineStr"/>
      <c r="AA711" t="inlineStr"/>
      <c r="AB711" t="inlineStr"/>
      <c r="AC711" t="inlineStr"/>
      <c r="AD711" t="inlineStr">
        <is>
          <t>לא נמצא בסריקת המפיצים</t>
        </is>
      </c>
      <c r="AE711" t="inlineStr">
        <is>
          <t>סריקת אתרי מפיצים</t>
        </is>
      </c>
      <c r="AG711" t="inlineStr"/>
      <c r="AH711" t="inlineStr"/>
      <c r="AJ711" t="inlineStr"/>
      <c r="AP711" t="inlineStr">
        <is>
          <t>https://www.thomassci.com/browse-by/suppliers/kent-elastomer-products</t>
        </is>
      </c>
    </row>
    <row r="712">
      <c r="A712" t="n">
        <v>711</v>
      </c>
      <c r="B712" t="inlineStr">
        <is>
          <t>Keystone Cleanroom Products</t>
        </is>
      </c>
      <c r="C712" t="inlineStr">
        <is>
          <t>T</t>
        </is>
      </c>
      <c r="E712" t="inlineStr">
        <is>
          <t>https://www.thomassci.com/browse-by/suppliers/keystone-cleanroom-products</t>
        </is>
      </c>
      <c r="F712" t="inlineStr"/>
      <c r="J712" t="inlineStr"/>
      <c r="Y712" t="inlineStr">
        <is>
          <t>unknown</t>
        </is>
      </c>
      <c r="Z712" t="inlineStr"/>
      <c r="AA712" t="inlineStr"/>
      <c r="AB712" t="inlineStr"/>
      <c r="AC712" t="inlineStr"/>
      <c r="AD712" t="inlineStr">
        <is>
          <t>לא נמצא בסריקת המפיצים</t>
        </is>
      </c>
      <c r="AE712" t="inlineStr">
        <is>
          <t>סריקת אתרי מפיצים</t>
        </is>
      </c>
      <c r="AG712" t="inlineStr"/>
      <c r="AH712" t="inlineStr"/>
      <c r="AJ712" t="inlineStr"/>
      <c r="AP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H713" t="inlineStr">
        <is>
          <t>https://keystonesafety.com.au</t>
        </is>
      </c>
      <c r="I713" t="inlineStr">
        <is>
          <t>clearbit</t>
        </is>
      </c>
      <c r="J713" t="inlineStr"/>
      <c r="Y713" t="inlineStr">
        <is>
          <t>unknown</t>
        </is>
      </c>
      <c r="Z713" t="inlineStr"/>
      <c r="AA713" t="inlineStr"/>
      <c r="AB713" t="inlineStr"/>
      <c r="AC713" t="inlineStr"/>
      <c r="AD713" t="inlineStr">
        <is>
          <t>לא נמצא בסריקת המפיצים</t>
        </is>
      </c>
      <c r="AE713" t="inlineStr">
        <is>
          <t>סריקת אתרי מפיצים</t>
        </is>
      </c>
      <c r="AG713" t="inlineStr"/>
      <c r="AH713" t="inlineStr"/>
      <c r="AJ713" t="inlineStr"/>
      <c r="AP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H714" t="inlineStr">
        <is>
          <t>https://keystonetape.com</t>
        </is>
      </c>
      <c r="I714" t="inlineStr">
        <is>
          <t>clearbit</t>
        </is>
      </c>
      <c r="J714" t="inlineStr"/>
      <c r="Y714" t="inlineStr">
        <is>
          <t>unknown</t>
        </is>
      </c>
      <c r="Z714" t="inlineStr"/>
      <c r="AA714" t="inlineStr"/>
      <c r="AB714" t="inlineStr"/>
      <c r="AC714" t="inlineStr"/>
      <c r="AD714" t="inlineStr">
        <is>
          <t>לא נמצא בסריקת המפיצים</t>
        </is>
      </c>
      <c r="AE714" t="inlineStr">
        <is>
          <t>סריקת אתרי מפיצים</t>
        </is>
      </c>
      <c r="AG714" t="inlineStr"/>
      <c r="AH714" t="inlineStr"/>
      <c r="AJ714" t="inlineStr"/>
      <c r="AP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https://kgw.com</t>
        </is>
      </c>
      <c r="I715" t="inlineStr">
        <is>
          <t>clearbit</t>
        </is>
      </c>
      <c r="J715" t="inlineStr"/>
      <c r="Y715" t="inlineStr">
        <is>
          <t>unknown</t>
        </is>
      </c>
      <c r="Z715" t="inlineStr"/>
      <c r="AA715" t="inlineStr"/>
      <c r="AB715" t="inlineStr"/>
      <c r="AC715" t="inlineStr"/>
      <c r="AD715" t="inlineStr">
        <is>
          <t>לא נמצא בסריקת המפיצים</t>
        </is>
      </c>
      <c r="AE715" t="inlineStr">
        <is>
          <t>סריקת אתרי מפיצים</t>
        </is>
      </c>
      <c r="AG715" t="inlineStr"/>
      <c r="AH715" t="inlineStr"/>
      <c r="AJ715" t="inlineStr"/>
      <c r="AP715" t="inlineStr">
        <is>
          <t>https://www.dutscher.com/search?initialFilters=brand:KGW</t>
        </is>
      </c>
    </row>
    <row r="716">
      <c r="A716" t="n">
        <v>715</v>
      </c>
      <c r="B716" t="inlineStr">
        <is>
          <t>Kidde</t>
        </is>
      </c>
      <c r="C716" t="inlineStr">
        <is>
          <t>T</t>
        </is>
      </c>
      <c r="E716" t="inlineStr">
        <is>
          <t>https://www.thomassci.com/browse-by/suppliers/kidde</t>
        </is>
      </c>
      <c r="F716" t="inlineStr"/>
      <c r="H716" t="inlineStr">
        <is>
          <t>https://kidde.com</t>
        </is>
      </c>
      <c r="I716" t="inlineStr">
        <is>
          <t>clearbit</t>
        </is>
      </c>
      <c r="J716" t="inlineStr"/>
      <c r="Y716" t="inlineStr">
        <is>
          <t>unknown</t>
        </is>
      </c>
      <c r="Z716" t="inlineStr"/>
      <c r="AA716" t="inlineStr"/>
      <c r="AB716" t="inlineStr"/>
      <c r="AC716" t="inlineStr"/>
      <c r="AD716" t="inlineStr">
        <is>
          <t>לא נמצא בסריקת המפיצים</t>
        </is>
      </c>
      <c r="AE716" t="inlineStr">
        <is>
          <t>סריקת אתרי מפיצים</t>
        </is>
      </c>
      <c r="AG716" t="inlineStr"/>
      <c r="AH716" t="inlineStr"/>
      <c r="AJ716" t="inlineStr"/>
      <c r="AP716" t="inlineStr">
        <is>
          <t>https://www.thomassci.com/browse-by/suppliers/kidde</t>
        </is>
      </c>
    </row>
    <row r="717">
      <c r="A717" t="n">
        <v>716</v>
      </c>
      <c r="B717" t="inlineStr">
        <is>
          <t>Kilmer, Wagner &amp; Wise</t>
        </is>
      </c>
      <c r="C717" t="inlineStr">
        <is>
          <t>T</t>
        </is>
      </c>
      <c r="E717" t="inlineStr">
        <is>
          <t>https://www.thomassci.com/browse-by/suppliers/kilmer-wagner-and-wise</t>
        </is>
      </c>
      <c r="F717" t="inlineStr"/>
      <c r="J717" t="inlineStr"/>
      <c r="Y717" t="inlineStr">
        <is>
          <t>unknown</t>
        </is>
      </c>
      <c r="Z717" t="inlineStr"/>
      <c r="AA717" t="inlineStr"/>
      <c r="AB717" t="inlineStr"/>
      <c r="AC717" t="inlineStr"/>
      <c r="AD717" t="inlineStr">
        <is>
          <t>לא נמצא בסריקת המפיצים</t>
        </is>
      </c>
      <c r="AE717" t="inlineStr">
        <is>
          <t>סריקת אתרי מפיצים</t>
        </is>
      </c>
      <c r="AG717" t="inlineStr"/>
      <c r="AH717" t="inlineStr"/>
      <c r="AJ717" t="inlineStr"/>
      <c r="AP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t>
        </is>
      </c>
      <c r="J718" t="inlineStr"/>
      <c r="Y718" t="inlineStr">
        <is>
          <t>unknown</t>
        </is>
      </c>
      <c r="Z718" t="inlineStr"/>
      <c r="AA718" t="inlineStr"/>
      <c r="AB718" t="inlineStr"/>
      <c r="AC718" t="inlineStr"/>
      <c r="AD718" t="inlineStr">
        <is>
          <t>לא נמצא בסריקת המפיצים</t>
        </is>
      </c>
      <c r="AE718" t="inlineStr">
        <is>
          <t>סריקת אתרי מפיצים</t>
        </is>
      </c>
      <c r="AG718" t="inlineStr"/>
      <c r="AH718" t="inlineStr"/>
      <c r="AJ718" t="inlineStr"/>
      <c r="AP718" t="inlineStr">
        <is>
          <t>https://www.quartzy.com/suppliers</t>
        </is>
      </c>
    </row>
    <row r="719">
      <c r="A719" t="n">
        <v>718</v>
      </c>
      <c r="B719" t="inlineStr">
        <is>
          <t>Kimberly clark - Arbex</t>
        </is>
      </c>
      <c r="C719" t="inlineStr">
        <is>
          <t>D</t>
        </is>
      </c>
      <c r="D719" t="inlineStr">
        <is>
          <t>https://www.dutscher.com/search?initialFilters=brand:Kimberly+clark+-+Arbex</t>
        </is>
      </c>
      <c r="F719" t="inlineStr"/>
      <c r="J719" t="inlineStr"/>
      <c r="Y719" t="inlineStr">
        <is>
          <t>unknown</t>
        </is>
      </c>
      <c r="Z719" t="inlineStr"/>
      <c r="AA719" t="inlineStr"/>
      <c r="AB719" t="inlineStr"/>
      <c r="AC719" t="inlineStr"/>
      <c r="AD719" t="inlineStr">
        <is>
          <t>לא נמצא בסריקת המפיצים</t>
        </is>
      </c>
      <c r="AE719" t="inlineStr">
        <is>
          <t>סריקת אתרי מפיצים</t>
        </is>
      </c>
      <c r="AG719" t="inlineStr"/>
      <c r="AH719" t="inlineStr"/>
      <c r="AJ719" t="inlineStr"/>
      <c r="AP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Y720" t="inlineStr">
        <is>
          <t>unknown</t>
        </is>
      </c>
      <c r="Z720" t="inlineStr"/>
      <c r="AA720" t="inlineStr"/>
      <c r="AB720" t="inlineStr"/>
      <c r="AC720" t="inlineStr"/>
      <c r="AD720" t="inlineStr">
        <is>
          <t>לא נמצא בסריקת המפיצים</t>
        </is>
      </c>
      <c r="AE720" t="inlineStr">
        <is>
          <t>סריקת אתרי מפיצים</t>
        </is>
      </c>
      <c r="AG720" t="inlineStr"/>
      <c r="AH720" t="inlineStr"/>
      <c r="AJ720" t="inlineStr"/>
      <c r="AP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P721" t="n">
        <v>1800</v>
      </c>
      <c r="Q721" t="n">
        <v>2025</v>
      </c>
      <c r="R721" t="inlineStr">
        <is>
          <t>company</t>
        </is>
      </c>
      <c r="S721" t="inlineStr">
        <is>
          <t>prior</t>
        </is>
      </c>
      <c r="T721" t="n">
        <v>106</v>
      </c>
      <c r="U721" t="inlineStr">
        <is>
          <t>USD 105.7 million</t>
        </is>
      </c>
      <c r="V721" t="inlineStr">
        <is>
          <t>FY2023</t>
        </is>
      </c>
      <c r="W721" t="inlineStr">
        <is>
          <t>estimate</t>
        </is>
      </c>
      <c r="X721" t="inlineStr">
        <is>
          <t>prior</t>
        </is>
      </c>
      <c r="Y721" t="inlineStr">
        <is>
          <t>mixed</t>
        </is>
      </c>
      <c r="Z721" t="inlineStr">
        <is>
          <t>DURAN laboratory glass bottles</t>
        </is>
      </c>
      <c r="AA721" t="inlineStr">
        <is>
          <t>WHEATON vials &amp; serum bottles</t>
        </is>
      </c>
      <c r="AB721" t="inlineStr">
        <is>
          <t>KIMBLE KIMAX glassware</t>
        </is>
      </c>
      <c r="AC721" t="inlineStr">
        <is>
          <t>prior</t>
        </is>
      </c>
      <c r="AD721" t="inlineStr">
        <is>
          <t>מפיץ/נציג בישראל</t>
        </is>
      </c>
      <c r="AE721" t="inlineStr">
        <is>
          <t>חיפוש חלקי</t>
        </is>
      </c>
      <c r="AF721" t="n">
        <v>2026</v>
      </c>
      <c r="AG721" t="inlineStr">
        <is>
          <t>Danyel Biotech Ltd. (Gamida for Life group)</t>
        </is>
      </c>
      <c r="AH721" t="inlineStr">
        <is>
          <t>Danyel Biotech Ltd. (Gamida for Life group): 1-800-711-911 (also +972 8-936-6066)</t>
        </is>
      </c>
      <c r="AI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721" t="inlineStr">
        <is>
          <t>+49 9342 802-0</t>
        </is>
      </c>
      <c r="AL721" t="inlineStr">
        <is>
          <t>Otto-Schott-Str. 21, 97877 Wertheim, Germany</t>
        </is>
      </c>
      <c r="AM721" t="inlineStr">
        <is>
          <t>https://www.dwk.com/request-a-quote</t>
        </is>
      </c>
      <c r="AN721" t="inlineStr">
        <is>
          <t>https://dwk.com/na/locations/wertheim-germany</t>
        </is>
      </c>
      <c r="AP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722">
      <c r="A722" t="n">
        <v>721</v>
      </c>
      <c r="B722" t="inlineStr">
        <is>
          <t>Kimtech</t>
        </is>
      </c>
      <c r="C722" t="inlineStr">
        <is>
          <t>D</t>
        </is>
      </c>
      <c r="D722" t="inlineStr">
        <is>
          <t>https://www.dutscher.com/search?initialFilters=brand:Kimtech</t>
        </is>
      </c>
      <c r="F722" t="inlineStr"/>
      <c r="H722" t="inlineStr">
        <is>
          <t>https://kimtech.com.pe</t>
        </is>
      </c>
      <c r="I722" t="inlineStr">
        <is>
          <t>clearbit</t>
        </is>
      </c>
      <c r="J722" t="inlineStr"/>
      <c r="Y722" t="inlineStr">
        <is>
          <t>unknown</t>
        </is>
      </c>
      <c r="Z722" t="inlineStr"/>
      <c r="AA722" t="inlineStr"/>
      <c r="AB722" t="inlineStr"/>
      <c r="AC722" t="inlineStr"/>
      <c r="AD722" t="inlineStr">
        <is>
          <t>לא נמצא בסריקת המפיצים</t>
        </is>
      </c>
      <c r="AE722" t="inlineStr">
        <is>
          <t>סריקת אתרי מפיצים</t>
        </is>
      </c>
      <c r="AG722" t="inlineStr"/>
      <c r="AH722" t="inlineStr"/>
      <c r="AJ722" t="inlineStr"/>
      <c r="AP722" t="inlineStr">
        <is>
          <t>https://www.dutscher.com/search?initialFilters=brand:Kimtech</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t>
        </is>
      </c>
      <c r="J723" t="inlineStr"/>
      <c r="Y723" t="inlineStr">
        <is>
          <t>unknown</t>
        </is>
      </c>
      <c r="Z723" t="inlineStr"/>
      <c r="AA723" t="inlineStr"/>
      <c r="AB723" t="inlineStr"/>
      <c r="AC723" t="inlineStr"/>
      <c r="AD723" t="inlineStr">
        <is>
          <t>לא נמצא בסריקת המפיצים</t>
        </is>
      </c>
      <c r="AE723" t="inlineStr">
        <is>
          <t>סריקת אתרי מפיצים</t>
        </is>
      </c>
      <c r="AG723" t="inlineStr"/>
      <c r="AH723" t="inlineStr"/>
      <c r="AJ723" t="inlineStr"/>
      <c r="AP723" t="inlineStr">
        <is>
          <t>https://www.thomassci.com/browse-by/suppliers/kinematica</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t>
        </is>
      </c>
      <c r="J724" t="inlineStr"/>
      <c r="Y724" t="inlineStr">
        <is>
          <t>unknown</t>
        </is>
      </c>
      <c r="Z724" t="inlineStr"/>
      <c r="AA724" t="inlineStr"/>
      <c r="AB724" t="inlineStr"/>
      <c r="AC724" t="inlineStr"/>
      <c r="AD724" t="inlineStr">
        <is>
          <t>לא נמצא בסריקת המפיצים</t>
        </is>
      </c>
      <c r="AE724" t="inlineStr">
        <is>
          <t>סריקת אתרי מפיצים</t>
        </is>
      </c>
      <c r="AG724" t="inlineStr"/>
      <c r="AH724" t="inlineStr"/>
      <c r="AJ724" t="inlineStr"/>
      <c r="AP724" t="inlineStr">
        <is>
          <t>https://www.thomassci.com/browse-by/suppliers/kinesis</t>
        </is>
      </c>
    </row>
    <row r="725">
      <c r="A725" t="n">
        <v>724</v>
      </c>
      <c r="B725" t="inlineStr">
        <is>
          <t>Kingfisher Biotech</t>
        </is>
      </c>
      <c r="C725" t="inlineStr">
        <is>
          <t>Q+Q+</t>
        </is>
      </c>
      <c r="F725" t="inlineStr">
        <is>
          <t>yes +new</t>
        </is>
      </c>
      <c r="H725" t="inlineStr">
        <is>
          <t>https://kingfisherbiotech.com</t>
        </is>
      </c>
      <c r="I725" t="inlineStr">
        <is>
          <t>clearbit</t>
        </is>
      </c>
      <c r="J725" t="inlineStr"/>
      <c r="O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Y725" t="inlineStr">
        <is>
          <t>unknown</t>
        </is>
      </c>
      <c r="Z725" t="inlineStr"/>
      <c r="AA725" t="inlineStr"/>
      <c r="AB725" t="inlineStr"/>
      <c r="AC725" t="inlineStr"/>
      <c r="AD725" t="inlineStr">
        <is>
          <t>לא נמצא בסריקת המפיצים</t>
        </is>
      </c>
      <c r="AE725" t="inlineStr">
        <is>
          <t>סריקת אתרי מפיצים</t>
        </is>
      </c>
      <c r="AG725" t="inlineStr"/>
      <c r="AH725" t="inlineStr"/>
      <c r="AJ725" t="inlineStr"/>
      <c r="AP725" t="inlineStr">
        <is>
          <t>https://www.quartzy.com/suppliers | https://info.quartzy.com/new-suppliers</t>
        </is>
      </c>
    </row>
    <row r="726">
      <c r="A726" t="n">
        <v>725</v>
      </c>
      <c r="B726" t="inlineStr">
        <is>
          <t>Kisker</t>
        </is>
      </c>
      <c r="C726" t="inlineStr">
        <is>
          <t>D</t>
        </is>
      </c>
      <c r="D726" t="inlineStr">
        <is>
          <t>https://www.dutscher.com/search?initialFilters=brand:Kisker</t>
        </is>
      </c>
      <c r="F726" t="inlineStr"/>
      <c r="J726" t="inlineStr"/>
      <c r="Y726" t="inlineStr">
        <is>
          <t>unknown</t>
        </is>
      </c>
      <c r="Z726" t="inlineStr"/>
      <c r="AA726" t="inlineStr"/>
      <c r="AB726" t="inlineStr"/>
      <c r="AC726" t="inlineStr"/>
      <c r="AD726" t="inlineStr">
        <is>
          <t>לא נמצא בסריקת המפיצים</t>
        </is>
      </c>
      <c r="AE726" t="inlineStr">
        <is>
          <t>סריקת אתרי מפיצים</t>
        </is>
      </c>
      <c r="AG726" t="inlineStr"/>
      <c r="AH726" t="inlineStr"/>
      <c r="AJ726" t="inlineStr"/>
      <c r="AP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t>
        </is>
      </c>
      <c r="J727" t="inlineStr"/>
      <c r="Y727" t="inlineStr">
        <is>
          <t>unknown</t>
        </is>
      </c>
      <c r="Z727" t="inlineStr"/>
      <c r="AA727" t="inlineStr"/>
      <c r="AB727" t="inlineStr"/>
      <c r="AC727" t="inlineStr"/>
      <c r="AD727" t="inlineStr">
        <is>
          <t>לא נמצא בסריקת המפיצים</t>
        </is>
      </c>
      <c r="AE727" t="inlineStr">
        <is>
          <t>סריקת אתרי מפיצים</t>
        </is>
      </c>
      <c r="AG727" t="inlineStr"/>
      <c r="AH727" t="inlineStr"/>
      <c r="AJ727" t="inlineStr"/>
      <c r="AP727" t="inlineStr">
        <is>
          <t>https://www.thomassci.com/browse-by/suppliers/km-healthcare</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Y728" t="inlineStr">
        <is>
          <t>unknown</t>
        </is>
      </c>
      <c r="Z728" t="inlineStr"/>
      <c r="AA728" t="inlineStr"/>
      <c r="AB728" t="inlineStr"/>
      <c r="AC728" t="inlineStr"/>
      <c r="AD728" t="inlineStr">
        <is>
          <t>לא נמצא בסריקת המפיצים</t>
        </is>
      </c>
      <c r="AE728" t="inlineStr">
        <is>
          <t>סריקת אתרי מפיצים</t>
        </is>
      </c>
      <c r="AG728" t="inlineStr"/>
      <c r="AH728" t="inlineStr"/>
      <c r="AJ728" t="inlineStr"/>
      <c r="AP728" t="inlineStr">
        <is>
          <t>https://www.dutscher.com/search?initialFilters=brand:KNF | https://www.thomassci.com/browse-by/suppliers/knf</t>
        </is>
      </c>
    </row>
    <row r="729">
      <c r="A729" t="n">
        <v>728</v>
      </c>
      <c r="B729" t="inlineStr">
        <is>
          <t>KNF Neuberger</t>
        </is>
      </c>
      <c r="C729" t="inlineStr">
        <is>
          <t>Q</t>
        </is>
      </c>
      <c r="F729" t="inlineStr">
        <is>
          <t>yes</t>
        </is>
      </c>
      <c r="J729" t="inlineStr"/>
      <c r="Y729" t="inlineStr">
        <is>
          <t>unknown</t>
        </is>
      </c>
      <c r="Z729" t="inlineStr"/>
      <c r="AA729" t="inlineStr"/>
      <c r="AB729" t="inlineStr"/>
      <c r="AC729" t="inlineStr"/>
      <c r="AD729" t="inlineStr">
        <is>
          <t>לא נמצא בסריקת המפיצים</t>
        </is>
      </c>
      <c r="AE729" t="inlineStr">
        <is>
          <t>סריקת אתרי מפיצים</t>
        </is>
      </c>
      <c r="AG729" t="inlineStr"/>
      <c r="AH729" t="inlineStr"/>
      <c r="AJ729" t="inlineStr"/>
      <c r="AP729" t="inlineStr">
        <is>
          <t>https://www.quartzy.com/suppliers</t>
        </is>
      </c>
    </row>
    <row r="730">
      <c r="A730" t="n">
        <v>729</v>
      </c>
      <c r="B730" t="inlineStr">
        <is>
          <t>Koehler</t>
        </is>
      </c>
      <c r="C730" t="inlineStr">
        <is>
          <t>T</t>
        </is>
      </c>
      <c r="E730" t="inlineStr">
        <is>
          <t>https://www.thomassci.com/browse-by/suppliers/koehler</t>
        </is>
      </c>
      <c r="F730" t="inlineStr"/>
      <c r="H730" t="inlineStr">
        <is>
          <t>https://koehler-books.de</t>
        </is>
      </c>
      <c r="I730" t="inlineStr">
        <is>
          <t>clearbit</t>
        </is>
      </c>
      <c r="J730" t="inlineStr"/>
      <c r="Y730" t="inlineStr">
        <is>
          <t>unknown</t>
        </is>
      </c>
      <c r="Z730" t="inlineStr"/>
      <c r="AA730" t="inlineStr"/>
      <c r="AB730" t="inlineStr"/>
      <c r="AC730" t="inlineStr"/>
      <c r="AD730" t="inlineStr">
        <is>
          <t>לא נמצא בסריקת המפיצים</t>
        </is>
      </c>
      <c r="AE730" t="inlineStr">
        <is>
          <t>סריקת אתרי מפיצים</t>
        </is>
      </c>
      <c r="AG730" t="inlineStr"/>
      <c r="AH730" t="inlineStr"/>
      <c r="AJ730" t="inlineStr"/>
      <c r="AP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Y731" t="inlineStr">
        <is>
          <t>unknown</t>
        </is>
      </c>
      <c r="Z731" t="inlineStr"/>
      <c r="AA731" t="inlineStr"/>
      <c r="AB731" t="inlineStr"/>
      <c r="AC731" t="inlineStr"/>
      <c r="AD731" t="inlineStr">
        <is>
          <t>לא נמצא בסריקת המפיצים</t>
        </is>
      </c>
      <c r="AE731" t="inlineStr">
        <is>
          <t>סריקת אתרי מפיצים</t>
        </is>
      </c>
      <c r="AG731" t="inlineStr"/>
      <c r="AH731" t="inlineStr"/>
      <c r="AJ731" t="inlineStr"/>
      <c r="AP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Y732" t="inlineStr">
        <is>
          <t>unknown</t>
        </is>
      </c>
      <c r="Z732" t="inlineStr"/>
      <c r="AA732" t="inlineStr"/>
      <c r="AB732" t="inlineStr"/>
      <c r="AC732" t="inlineStr"/>
      <c r="AD732" t="inlineStr">
        <is>
          <t>לא נמצא בסריקת המפיצים</t>
        </is>
      </c>
      <c r="AE732" t="inlineStr">
        <is>
          <t>סריקת אתרי מפיצים</t>
        </is>
      </c>
      <c r="AG732" t="inlineStr"/>
      <c r="AH732" t="inlineStr"/>
      <c r="AJ732" t="inlineStr"/>
      <c r="AP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t>
        </is>
      </c>
      <c r="J733" t="inlineStr"/>
      <c r="Y733" t="inlineStr">
        <is>
          <t>unknown</t>
        </is>
      </c>
      <c r="Z733" t="inlineStr"/>
      <c r="AA733" t="inlineStr"/>
      <c r="AB733" t="inlineStr"/>
      <c r="AC733" t="inlineStr"/>
      <c r="AD733" t="inlineStr">
        <is>
          <t>לא נמצא בסריקת המפיצים</t>
        </is>
      </c>
      <c r="AE733" t="inlineStr">
        <is>
          <t>סריקת אתרי מפיצים</t>
        </is>
      </c>
      <c r="AG733" t="inlineStr"/>
      <c r="AH733" t="inlineStr"/>
      <c r="AJ733" t="inlineStr"/>
      <c r="AP733" t="inlineStr">
        <is>
          <t>https://www.thomassci.com/browse-by/suppliers/kruse-adhesive-tape</t>
        </is>
      </c>
    </row>
    <row r="734">
      <c r="A734" t="n">
        <v>733</v>
      </c>
      <c r="B734" t="inlineStr">
        <is>
          <t>Kut Gard® by PIP Global Safety</t>
        </is>
      </c>
      <c r="C734" t="inlineStr">
        <is>
          <t>T</t>
        </is>
      </c>
      <c r="E734" t="inlineStr">
        <is>
          <t>https://www.thomassci.com/browse-by/suppliers/kut-gard-by-pip-global-safety</t>
        </is>
      </c>
      <c r="F734" t="inlineStr"/>
      <c r="J734" t="inlineStr"/>
      <c r="Y734" t="inlineStr">
        <is>
          <t>unknown</t>
        </is>
      </c>
      <c r="Z734" t="inlineStr"/>
      <c r="AA734" t="inlineStr"/>
      <c r="AB734" t="inlineStr"/>
      <c r="AC734" t="inlineStr"/>
      <c r="AD734" t="inlineStr">
        <is>
          <t>לא נמצא בסריקת המפיצים</t>
        </is>
      </c>
      <c r="AE734" t="inlineStr">
        <is>
          <t>סריקת אתרי מפיצים</t>
        </is>
      </c>
      <c r="AG734" t="inlineStr"/>
      <c r="AH734" t="inlineStr"/>
      <c r="AJ734" t="inlineStr"/>
      <c r="AP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t>
        </is>
      </c>
      <c r="J735" t="inlineStr"/>
      <c r="Y735" t="inlineStr">
        <is>
          <t>unknown</t>
        </is>
      </c>
      <c r="Z735" t="inlineStr"/>
      <c r="AA735" t="inlineStr"/>
      <c r="AB735" t="inlineStr"/>
      <c r="AC735" t="inlineStr"/>
      <c r="AD735" t="inlineStr">
        <is>
          <t>לא נמצא בסריקת המפיצים</t>
        </is>
      </c>
      <c r="AE735" t="inlineStr">
        <is>
          <t>סריקת אתרי מפיצים</t>
        </is>
      </c>
      <c r="AG735" t="inlineStr"/>
      <c r="AH735" t="inlineStr"/>
      <c r="AJ735" t="inlineStr"/>
      <c r="AP735" t="inlineStr">
        <is>
          <t>https://www.thomassci.com/browse-by/suppliers/lab-armor</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t>
        </is>
      </c>
      <c r="J736" t="inlineStr"/>
      <c r="Y736" t="inlineStr">
        <is>
          <t>unknown</t>
        </is>
      </c>
      <c r="Z736" t="inlineStr"/>
      <c r="AA736" t="inlineStr"/>
      <c r="AB736" t="inlineStr"/>
      <c r="AC736" t="inlineStr"/>
      <c r="AD736" t="inlineStr">
        <is>
          <t>לא נמצא בסריקת המפיצים</t>
        </is>
      </c>
      <c r="AE736" t="inlineStr">
        <is>
          <t>סריקת אתרי מפיצים</t>
        </is>
      </c>
      <c r="AG736" t="inlineStr"/>
      <c r="AH736" t="inlineStr"/>
      <c r="AJ736" t="inlineStr"/>
      <c r="AP736" t="inlineStr">
        <is>
          <t>https://www.thomassci.com/browse-by/suppliers/lab-bioreagents</t>
        </is>
      </c>
    </row>
    <row r="737">
      <c r="A737" t="n">
        <v>736</v>
      </c>
      <c r="B737" t="inlineStr">
        <is>
          <t>Lab Dog</t>
        </is>
      </c>
      <c r="C737" t="inlineStr">
        <is>
          <t>Q</t>
        </is>
      </c>
      <c r="F737" t="inlineStr">
        <is>
          <t>yes</t>
        </is>
      </c>
      <c r="J737" t="inlineStr"/>
      <c r="Y737" t="inlineStr">
        <is>
          <t>unknown</t>
        </is>
      </c>
      <c r="Z737" t="inlineStr"/>
      <c r="AA737" t="inlineStr"/>
      <c r="AB737" t="inlineStr"/>
      <c r="AC737" t="inlineStr"/>
      <c r="AD737" t="inlineStr">
        <is>
          <t>לא נמצא בסריקת המפיצים</t>
        </is>
      </c>
      <c r="AE737" t="inlineStr">
        <is>
          <t>סריקת אתרי מפיצים</t>
        </is>
      </c>
      <c r="AG737" t="inlineStr"/>
      <c r="AH737" t="inlineStr"/>
      <c r="AJ737" t="inlineStr"/>
      <c r="AP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Y738" t="inlineStr">
        <is>
          <t>unknown</t>
        </is>
      </c>
      <c r="Z738" t="inlineStr"/>
      <c r="AA738" t="inlineStr"/>
      <c r="AB738" t="inlineStr"/>
      <c r="AC738" t="inlineStr"/>
      <c r="AD738" t="inlineStr">
        <is>
          <t>לא נמצא בסריקת המפיצים</t>
        </is>
      </c>
      <c r="AE738" t="inlineStr">
        <is>
          <t>סריקת אתרי מפיצים</t>
        </is>
      </c>
      <c r="AG738" t="inlineStr"/>
      <c r="AH738" t="inlineStr"/>
      <c r="AJ738" t="inlineStr"/>
      <c r="AP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J739" t="inlineStr"/>
      <c r="Y739" t="inlineStr">
        <is>
          <t>unknown</t>
        </is>
      </c>
      <c r="Z739" t="inlineStr">
        <is>
          <t>Eclipse™ Macro 10mL Pipet Tips for Popular Pipettors</t>
        </is>
      </c>
      <c r="AA739" t="inlineStr">
        <is>
          <t>Microtube Storage Racks</t>
        </is>
      </c>
      <c r="AB739" t="inlineStr">
        <is>
          <t>Eclipse™ 200µL Graduated Pipet Tips</t>
        </is>
      </c>
      <c r="AC739" t="inlineStr">
        <is>
          <t>thomassci</t>
        </is>
      </c>
      <c r="AD739" t="inlineStr">
        <is>
          <t>לא נמצא בסריקת המפיצים</t>
        </is>
      </c>
      <c r="AE739" t="inlineStr">
        <is>
          <t>סריקת אתרי מפיצים</t>
        </is>
      </c>
      <c r="AG739" t="inlineStr"/>
      <c r="AH739" t="inlineStr"/>
      <c r="AJ739" t="inlineStr"/>
      <c r="AP739" t="inlineStr">
        <is>
          <t>https://www.dutscher.com/search?initialFilters=brand:Labcon | https://www.quartzy.com/suppliers | https://www.thomassci.com/browse-by/suppliers/labcon</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P740" t="n">
        <v>375</v>
      </c>
      <c r="R740" t="inlineStr">
        <is>
          <t>company</t>
        </is>
      </c>
      <c r="S740" t="inlineStr">
        <is>
          <t>prior</t>
        </is>
      </c>
      <c r="T740" t="n">
        <v>42.6</v>
      </c>
      <c r="U740" t="inlineStr">
        <is>
          <t>approx. USD 42.6 million (third-party estimate)</t>
        </is>
      </c>
      <c r="V740" t="inlineStr">
        <is>
          <t>n/a (aggregator estimate seen Oct 2026)</t>
        </is>
      </c>
      <c r="W740" t="inlineStr">
        <is>
          <t>estimate</t>
        </is>
      </c>
      <c r="X740" t="inlineStr">
        <is>
          <t>prior</t>
        </is>
      </c>
      <c r="Y740" t="inlineStr">
        <is>
          <t>estimate</t>
        </is>
      </c>
      <c r="Z740" t="inlineStr">
        <is>
          <t>Protector fume hoods (XStream / Premier)</t>
        </is>
      </c>
      <c r="AA740" t="inlineStr">
        <is>
          <t>FreeZone freeze dryers</t>
        </is>
      </c>
      <c r="AB740" t="inlineStr">
        <is>
          <t>Purifier Logic+ biosafety cabinets</t>
        </is>
      </c>
      <c r="AC740" t="inlineStr">
        <is>
          <t>prior</t>
        </is>
      </c>
      <c r="AD740" t="inlineStr">
        <is>
          <t>מפיץ/נציג בישראל</t>
        </is>
      </c>
      <c r="AE740" t="inlineStr">
        <is>
          <t>אומת</t>
        </is>
      </c>
      <c r="AF740" t="n">
        <v>2026</v>
      </c>
      <c r="AG740" t="inlineStr">
        <is>
          <t>Labotal Scientific Equipment Ltd.</t>
        </is>
      </c>
      <c r="AH740" t="inlineStr">
        <is>
          <t>Labotal Scientific Equipment Ltd.: +972 2-579-9222 Sales@labotal.co.il</t>
        </is>
      </c>
      <c r="AI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J740" t="inlineStr">
        <is>
          <t>+1 816-333-8811</t>
        </is>
      </c>
      <c r="AL740" t="inlineStr">
        <is>
          <t>8811 Prospect Ave, Kansas City, MO 64132, USA</t>
        </is>
      </c>
      <c r="AN740" t="inlineStr">
        <is>
          <t>https://www.labconco.com/faq</t>
        </is>
      </c>
      <c r="AP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t>
        </is>
      </c>
    </row>
    <row r="741">
      <c r="A741" t="n">
        <v>740</v>
      </c>
      <c r="B741" t="inlineStr">
        <is>
          <t>LabExact</t>
        </is>
      </c>
      <c r="C741" t="inlineStr">
        <is>
          <t>T</t>
        </is>
      </c>
      <c r="E741" t="inlineStr">
        <is>
          <t>https://www.thomassci.com/browse-by/suppliers/labexact</t>
        </is>
      </c>
      <c r="F741" t="inlineStr"/>
      <c r="J741" t="inlineStr"/>
      <c r="Y741" t="inlineStr">
        <is>
          <t>unknown</t>
        </is>
      </c>
      <c r="Z741" t="inlineStr"/>
      <c r="AA741" t="inlineStr"/>
      <c r="AB741" t="inlineStr"/>
      <c r="AC741" t="inlineStr"/>
      <c r="AD741" t="inlineStr">
        <is>
          <t>לא נמצא בסריקת המפיצים</t>
        </is>
      </c>
      <c r="AE741" t="inlineStr">
        <is>
          <t>סריקת אתרי מפיצים</t>
        </is>
      </c>
      <c r="AG741" t="inlineStr"/>
      <c r="AH741" t="inlineStr"/>
      <c r="AJ741" t="inlineStr"/>
      <c r="AP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J742" t="inlineStr"/>
      <c r="Y742" t="inlineStr">
        <is>
          <t>unknown</t>
        </is>
      </c>
      <c r="Z742" t="inlineStr"/>
      <c r="AA742" t="inlineStr"/>
      <c r="AB742" t="inlineStr"/>
      <c r="AC742" t="inlineStr"/>
      <c r="AD742" t="inlineStr">
        <is>
          <t>לא נמצא בסריקת המפיצים</t>
        </is>
      </c>
      <c r="AE742" t="inlineStr">
        <is>
          <t>סריקת אתרי מפיצים</t>
        </is>
      </c>
      <c r="AG742" t="inlineStr"/>
      <c r="AH742" t="inlineStr"/>
      <c r="AJ742" t="inlineStr"/>
      <c r="AP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Y743" t="inlineStr">
        <is>
          <t>unknown</t>
        </is>
      </c>
      <c r="Z743" t="inlineStr"/>
      <c r="AA743" t="inlineStr"/>
      <c r="AB743" t="inlineStr"/>
      <c r="AC743" t="inlineStr"/>
      <c r="AD743" t="inlineStr">
        <is>
          <t>לא נמצא בסריקת המפיצים</t>
        </is>
      </c>
      <c r="AE743" t="inlineStr">
        <is>
          <t>סריקת אתרי מפיצים</t>
        </is>
      </c>
      <c r="AG743" t="inlineStr"/>
      <c r="AH743" t="inlineStr"/>
      <c r="AJ743" t="inlineStr"/>
      <c r="AP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t>
        </is>
      </c>
      <c r="J744" t="inlineStr"/>
      <c r="Y744" t="inlineStr">
        <is>
          <t>unknown</t>
        </is>
      </c>
      <c r="Z744" t="inlineStr"/>
      <c r="AA744" t="inlineStr"/>
      <c r="AB744" t="inlineStr"/>
      <c r="AC744" t="inlineStr"/>
      <c r="AD744" t="inlineStr">
        <is>
          <t>לא נמצא בסריקת המפיצים</t>
        </is>
      </c>
      <c r="AE744" t="inlineStr">
        <is>
          <t>סריקת אתרי מפיצים</t>
        </is>
      </c>
      <c r="AG744" t="inlineStr"/>
      <c r="AH744" t="inlineStr"/>
      <c r="AJ744" t="inlineStr"/>
      <c r="AP744" t="inlineStr">
        <is>
          <t>https://www.dutscher.com/search?initialFilters=brand:Labplas | https://www.thomassci.com/browse-by/suppliers/labplas</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t>
        </is>
      </c>
      <c r="J745" t="inlineStr"/>
      <c r="Y745" t="inlineStr">
        <is>
          <t>unknown</t>
        </is>
      </c>
      <c r="Z745" t="inlineStr"/>
      <c r="AA745" t="inlineStr"/>
      <c r="AB745" t="inlineStr"/>
      <c r="AC745" t="inlineStr"/>
      <c r="AD745" t="inlineStr">
        <is>
          <t>לא נמצא בסריקת המפיצים</t>
        </is>
      </c>
      <c r="AE745" t="inlineStr">
        <is>
          <t>סריקת אתרי מפיצים</t>
        </is>
      </c>
      <c r="AG745" t="inlineStr"/>
      <c r="AH745" t="inlineStr"/>
      <c r="AJ745" t="inlineStr"/>
      <c r="AP745" t="inlineStr">
        <is>
          <t>https://www.quartzy.com/suppliers | https://www.thomassci.com/browse-by/suppliers/labrepco</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Y746" t="inlineStr">
        <is>
          <t>unknown</t>
        </is>
      </c>
      <c r="Z746" t="inlineStr"/>
      <c r="AA746" t="inlineStr"/>
      <c r="AB746" t="inlineStr"/>
      <c r="AC746" t="inlineStr"/>
      <c r="AD746" t="inlineStr">
        <is>
          <t>לא נמצא בסריקת המפיצים</t>
        </is>
      </c>
      <c r="AE746" t="inlineStr">
        <is>
          <t>סריקת אתרי מפיצים</t>
        </is>
      </c>
      <c r="AG746" t="inlineStr"/>
      <c r="AH746" t="inlineStr"/>
      <c r="AJ746" t="inlineStr"/>
      <c r="AP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Y747" t="inlineStr">
        <is>
          <t>unknown</t>
        </is>
      </c>
      <c r="Z747" t="inlineStr"/>
      <c r="AA747" t="inlineStr"/>
      <c r="AB747" t="inlineStr"/>
      <c r="AC747" t="inlineStr"/>
      <c r="AD747" t="inlineStr">
        <is>
          <t>לא נמצא בסריקת המפיצים</t>
        </is>
      </c>
      <c r="AE747" t="inlineStr">
        <is>
          <t>סריקת אתרי מפיצים</t>
        </is>
      </c>
      <c r="AG747" t="inlineStr"/>
      <c r="AH747" t="inlineStr"/>
      <c r="AJ747" t="inlineStr"/>
      <c r="AP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Y748" t="inlineStr">
        <is>
          <t>unknown</t>
        </is>
      </c>
      <c r="Z748" t="inlineStr"/>
      <c r="AA748" t="inlineStr"/>
      <c r="AB748" t="inlineStr"/>
      <c r="AC748" t="inlineStr"/>
      <c r="AD748" t="inlineStr">
        <is>
          <t>לא נמצא בסריקת המפיצים</t>
        </is>
      </c>
      <c r="AE748" t="inlineStr">
        <is>
          <t>סריקת אתרי מפיצים</t>
        </is>
      </c>
      <c r="AG748" t="inlineStr"/>
      <c r="AH748" t="inlineStr"/>
      <c r="AJ748" t="inlineStr"/>
      <c r="AP748" t="inlineStr">
        <is>
          <t>https://www.thomassci.com/browse-by/suppliers/lakeland-industries</t>
        </is>
      </c>
    </row>
    <row r="749">
      <c r="A749" t="n">
        <v>748</v>
      </c>
      <c r="B749" t="inlineStr">
        <is>
          <t>Lamda Biotech</t>
        </is>
      </c>
      <c r="C749" t="inlineStr">
        <is>
          <t>Q</t>
        </is>
      </c>
      <c r="F749" t="inlineStr">
        <is>
          <t>yes</t>
        </is>
      </c>
      <c r="H749" t="inlineStr">
        <is>
          <t>https://lamdabio.com</t>
        </is>
      </c>
      <c r="I749" t="inlineStr">
        <is>
          <t>clearbit</t>
        </is>
      </c>
      <c r="J749" t="inlineStr"/>
      <c r="Y749" t="inlineStr">
        <is>
          <t>unknown</t>
        </is>
      </c>
      <c r="Z749" t="inlineStr"/>
      <c r="AA749" t="inlineStr"/>
      <c r="AB749" t="inlineStr"/>
      <c r="AC749" t="inlineStr"/>
      <c r="AD749" t="inlineStr">
        <is>
          <t>לא נמצא בסריקת המפיצים</t>
        </is>
      </c>
      <c r="AE749" t="inlineStr">
        <is>
          <t>סריקת אתרי מפיצים</t>
        </is>
      </c>
      <c r="AG749" t="inlineStr"/>
      <c r="AH749" t="inlineStr"/>
      <c r="AJ749" t="inlineStr"/>
      <c r="AP749" t="inlineStr">
        <is>
          <t>https://www.quartzy.com/suppliers</t>
        </is>
      </c>
    </row>
    <row r="750">
      <c r="A750" t="n">
        <v>749</v>
      </c>
      <c r="B750" t="inlineStr">
        <is>
          <t>LaMotte</t>
        </is>
      </c>
      <c r="C750" t="inlineStr">
        <is>
          <t>T</t>
        </is>
      </c>
      <c r="E750" t="inlineStr">
        <is>
          <t>https://www.thomassci.com/browse-by/suppliers/lamotte</t>
        </is>
      </c>
      <c r="F750" t="inlineStr"/>
      <c r="H750" t="inlineStr">
        <is>
          <t>https://lamotte.com</t>
        </is>
      </c>
      <c r="I750" t="inlineStr">
        <is>
          <t>clearbit</t>
        </is>
      </c>
      <c r="J750" t="inlineStr"/>
      <c r="Y750" t="inlineStr">
        <is>
          <t>unknown</t>
        </is>
      </c>
      <c r="Z750" t="inlineStr"/>
      <c r="AA750" t="inlineStr"/>
      <c r="AB750" t="inlineStr"/>
      <c r="AC750" t="inlineStr"/>
      <c r="AD750" t="inlineStr">
        <is>
          <t>לא נמצא בסריקת המפיצים</t>
        </is>
      </c>
      <c r="AE750" t="inlineStr">
        <is>
          <t>סריקת אתרי מפיצים</t>
        </is>
      </c>
      <c r="AG750" t="inlineStr"/>
      <c r="AH750" t="inlineStr"/>
      <c r="AJ750" t="inlineStr"/>
      <c r="AP750" t="inlineStr">
        <is>
          <t>https://www.thomassci.com/browse-by/suppliers/lamotte</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Y751" t="inlineStr">
        <is>
          <t>unknown</t>
        </is>
      </c>
      <c r="Z751" t="inlineStr"/>
      <c r="AA751" t="inlineStr"/>
      <c r="AB751" t="inlineStr"/>
      <c r="AC751" t="inlineStr"/>
      <c r="AD751" t="inlineStr">
        <is>
          <t>לא נמצא בסריקת המפיצים</t>
        </is>
      </c>
      <c r="AE751" t="inlineStr">
        <is>
          <t>סריקת אתרי מפיצים</t>
        </is>
      </c>
      <c r="AG751" t="inlineStr"/>
      <c r="AH751" t="inlineStr"/>
      <c r="AJ751" t="inlineStr"/>
      <c r="AP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P752" t="n">
        <v>600</v>
      </c>
      <c r="Q752" t="n">
        <v>2025</v>
      </c>
      <c r="R752" t="inlineStr">
        <is>
          <t>company</t>
        </is>
      </c>
      <c r="S752" t="inlineStr">
        <is>
          <t>prior</t>
        </is>
      </c>
      <c r="T752" t="n">
        <v>110</v>
      </c>
      <c r="U752" t="inlineStr">
        <is>
          <t>EUR ~100 million (group)</t>
        </is>
      </c>
      <c r="V752" t="inlineStr">
        <is>
          <t>FY2024</t>
        </is>
      </c>
      <c r="W752" t="inlineStr">
        <is>
          <t>company</t>
        </is>
      </c>
      <c r="X752" t="inlineStr">
        <is>
          <t>prior</t>
        </is>
      </c>
      <c r="Y752" t="inlineStr">
        <is>
          <t>reported</t>
        </is>
      </c>
      <c r="Z752" t="inlineStr">
        <is>
          <t>Integral</t>
        </is>
      </c>
      <c r="AA752" t="inlineStr">
        <is>
          <t>PRO / ECO / Alpha</t>
        </is>
      </c>
      <c r="AB752" t="inlineStr">
        <is>
          <t>Ultracool / Variocool</t>
        </is>
      </c>
      <c r="AC752" t="inlineStr">
        <is>
          <t>prior</t>
        </is>
      </c>
      <c r="AD752" t="inlineStr">
        <is>
          <t>מפיץ/נציג בישראל</t>
        </is>
      </c>
      <c r="AE752" t="inlineStr">
        <is>
          <t>אומת</t>
        </is>
      </c>
      <c r="AF752" t="n">
        <v>2026</v>
      </c>
      <c r="AG752" t="inlineStr">
        <is>
          <t>Medent Scientific Instruments; Citrine Solutions; Avni &amp; Son</t>
        </is>
      </c>
      <c r="AH752" t="inlineStr">
        <is>
          <t>Medent Scientific Instruments: +972 72-395-0508 (sales); +972 8-683-6306 (service) info@medent.co.il; Citrine Solutions:; Avni &amp; Son: +972-4-821-9989 info@avni-son.co.il</t>
        </is>
      </c>
      <c r="AI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J752" t="inlineStr">
        <is>
          <t>+49 9343 503-0</t>
        </is>
      </c>
      <c r="AK752" t="inlineStr">
        <is>
          <t>info@lauda.de</t>
        </is>
      </c>
      <c r="AL752" t="inlineStr">
        <is>
          <t>Laudaplatz 1, 97922 Lauda-Königshofen, Germany</t>
        </is>
      </c>
      <c r="AN752" t="inlineStr">
        <is>
          <t>https://lauda.de/en/imprint</t>
        </is>
      </c>
      <c r="AP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t>
        </is>
      </c>
    </row>
    <row r="753">
      <c r="A753" t="n">
        <v>752</v>
      </c>
      <c r="B753" t="inlineStr">
        <is>
          <t>Laxco Inc.</t>
        </is>
      </c>
      <c r="C753" t="inlineStr">
        <is>
          <t>T</t>
        </is>
      </c>
      <c r="E753" t="inlineStr">
        <is>
          <t>https://www.thomassci.com/browse-by/suppliers/laxco-inc-</t>
        </is>
      </c>
      <c r="F753" t="inlineStr"/>
      <c r="J753" t="inlineStr"/>
      <c r="Y753" t="inlineStr">
        <is>
          <t>unknown</t>
        </is>
      </c>
      <c r="Z753" t="inlineStr"/>
      <c r="AA753" t="inlineStr"/>
      <c r="AB753" t="inlineStr"/>
      <c r="AC753" t="inlineStr"/>
      <c r="AD753" t="inlineStr">
        <is>
          <t>לא נמצא בסריקת המפיצים</t>
        </is>
      </c>
      <c r="AE753" t="inlineStr">
        <is>
          <t>סריקת אתרי מפיצים</t>
        </is>
      </c>
      <c r="AG753" t="inlineStr"/>
      <c r="AH753" t="inlineStr"/>
      <c r="AJ753" t="inlineStr"/>
      <c r="AP753" t="inlineStr">
        <is>
          <t>https://www.thomassci.com/browse-by/suppliers/laxco-inc-</t>
        </is>
      </c>
    </row>
    <row r="754">
      <c r="A754" t="n">
        <v>753</v>
      </c>
      <c r="B754" t="inlineStr">
        <is>
          <t>LC Laboratories</t>
        </is>
      </c>
      <c r="C754" t="inlineStr">
        <is>
          <t>Q</t>
        </is>
      </c>
      <c r="F754" t="inlineStr">
        <is>
          <t>yes</t>
        </is>
      </c>
      <c r="H754" t="inlineStr">
        <is>
          <t>https://lclabs.com</t>
        </is>
      </c>
      <c r="I754" t="inlineStr">
        <is>
          <t>clearbit</t>
        </is>
      </c>
      <c r="J754" t="inlineStr"/>
      <c r="Y754" t="inlineStr">
        <is>
          <t>unknown</t>
        </is>
      </c>
      <c r="Z754" t="inlineStr"/>
      <c r="AA754" t="inlineStr"/>
      <c r="AB754" t="inlineStr"/>
      <c r="AC754" t="inlineStr"/>
      <c r="AD754" t="inlineStr">
        <is>
          <t>לא נמצא בסריקת המפיצים</t>
        </is>
      </c>
      <c r="AE754" t="inlineStr">
        <is>
          <t>סריקת אתרי מפיצים</t>
        </is>
      </c>
      <c r="AG754" t="inlineStr"/>
      <c r="AH754" t="inlineStr"/>
      <c r="AJ754" t="inlineStr"/>
      <c r="AP754" t="inlineStr">
        <is>
          <t>https://www.quartzy.com/suppliers</t>
        </is>
      </c>
    </row>
    <row r="755">
      <c r="A755" t="n">
        <v>754</v>
      </c>
      <c r="B755" t="inlineStr">
        <is>
          <t>Lee Engineering</t>
        </is>
      </c>
      <c r="C755" t="inlineStr">
        <is>
          <t>T</t>
        </is>
      </c>
      <c r="E755" t="inlineStr">
        <is>
          <t>https://www.thomassci.com/browse-by/suppliers/lee-engineering</t>
        </is>
      </c>
      <c r="F755" t="inlineStr"/>
      <c r="H755" t="inlineStr">
        <is>
          <t>https://leeengineering.com</t>
        </is>
      </c>
      <c r="I755" t="inlineStr">
        <is>
          <t>clearbit</t>
        </is>
      </c>
      <c r="J755" t="inlineStr"/>
      <c r="Y755" t="inlineStr">
        <is>
          <t>unknown</t>
        </is>
      </c>
      <c r="Z755" t="inlineStr"/>
      <c r="AA755" t="inlineStr"/>
      <c r="AB755" t="inlineStr"/>
      <c r="AC755" t="inlineStr"/>
      <c r="AD755" t="inlineStr">
        <is>
          <t>לא נמצא בסריקת המפיצים</t>
        </is>
      </c>
      <c r="AE755" t="inlineStr">
        <is>
          <t>סריקת אתרי מפיצים</t>
        </is>
      </c>
      <c r="AG755" t="inlineStr"/>
      <c r="AH755" t="inlineStr"/>
      <c r="AJ755" t="inlineStr"/>
      <c r="AP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Y756" t="inlineStr">
        <is>
          <t>unknown</t>
        </is>
      </c>
      <c r="Z756" t="inlineStr"/>
      <c r="AA756" t="inlineStr"/>
      <c r="AB756" t="inlineStr"/>
      <c r="AC756" t="inlineStr"/>
      <c r="AD756" t="inlineStr">
        <is>
          <t>לא נמצא בסריקת המפיצים</t>
        </is>
      </c>
      <c r="AE756" t="inlineStr">
        <is>
          <t>סריקת אתרי מפיצים</t>
        </is>
      </c>
      <c r="AG756" t="inlineStr"/>
      <c r="AH756" t="inlineStr"/>
      <c r="AJ756" t="inlineStr"/>
      <c r="AP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t>
        </is>
      </c>
      <c r="J757" t="inlineStr"/>
      <c r="Y757" t="inlineStr">
        <is>
          <t>unknown</t>
        </is>
      </c>
      <c r="Z757" t="inlineStr"/>
      <c r="AA757" t="inlineStr"/>
      <c r="AB757" t="inlineStr"/>
      <c r="AC757" t="inlineStr"/>
      <c r="AD757" t="inlineStr">
        <is>
          <t>לא נמצא בסריקת המפיצים</t>
        </is>
      </c>
      <c r="AE757" t="inlineStr">
        <is>
          <t>סריקת אתרי מפיצים</t>
        </is>
      </c>
      <c r="AG757" t="inlineStr"/>
      <c r="AH757" t="inlineStr"/>
      <c r="AJ757" t="inlineStr"/>
      <c r="AP757" t="inlineStr">
        <is>
          <t>https://www.thomassci.com/browse-by/suppliers/legacy-paper-and-packaging</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P758" t="n">
        <v>3500</v>
      </c>
      <c r="Q758" t="n">
        <v>2025</v>
      </c>
      <c r="R758" t="inlineStr">
        <is>
          <t>estimate</t>
        </is>
      </c>
      <c r="S758" t="inlineStr">
        <is>
          <t>prior</t>
        </is>
      </c>
      <c r="T758" t="n">
        <v>7300</v>
      </c>
      <c r="U758" t="inlineStr">
        <is>
          <t>USD 7.3 billion (Danaher Life Sciences segment)</t>
        </is>
      </c>
      <c r="V758" t="inlineStr">
        <is>
          <t>FY2025</t>
        </is>
      </c>
      <c r="W758" t="inlineStr">
        <is>
          <t>segment</t>
        </is>
      </c>
      <c r="X758" t="inlineStr">
        <is>
          <t>prior</t>
        </is>
      </c>
      <c r="Y758" t="inlineStr">
        <is>
          <t>mixed</t>
        </is>
      </c>
      <c r="Z758" t="inlineStr">
        <is>
          <t>STELLARIS</t>
        </is>
      </c>
      <c r="AA758" t="inlineStr">
        <is>
          <t>Mica</t>
        </is>
      </c>
      <c r="AB758" t="inlineStr">
        <is>
          <t>THUNDER Imagers</t>
        </is>
      </c>
      <c r="AC758" t="inlineStr">
        <is>
          <t>prior</t>
        </is>
      </c>
      <c r="AD758" t="inlineStr">
        <is>
          <t>מפיץ/נציג בישראל</t>
        </is>
      </c>
      <c r="AE758" t="inlineStr">
        <is>
          <t>חיפוש חלקי</t>
        </is>
      </c>
      <c r="AF758" t="n">
        <v>2026</v>
      </c>
      <c r="AG758" t="inlineStr">
        <is>
          <t>Lapidot Group (Ophthalmic Surgery Unit); Rhenium Ltd.</t>
        </is>
      </c>
      <c r="AH758" t="inlineStr">
        <is>
          <t>Lapidot Group (Ophthalmic Surgery Unit): +972-4-6309630 / +972-74-7797836 customerservice@lapidot.com; Rhenium Ltd.: +972 8-955-8888</t>
        </is>
      </c>
      <c r="AI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J758" t="inlineStr">
        <is>
          <t>+49 6441 29-0</t>
        </is>
      </c>
      <c r="AL758" t="inlineStr">
        <is>
          <t>Ernst-Leitz-Strasse 17-37, 35578 Wetzlar, Germany</t>
        </is>
      </c>
      <c r="AN758" t="inlineStr">
        <is>
          <t>https://www.leica-microsystems.com/company/imprint/</t>
        </is>
      </c>
      <c r="AP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t>
        </is>
      </c>
    </row>
    <row r="759">
      <c r="A759" t="n">
        <v>758</v>
      </c>
      <c r="B759" t="inlineStr">
        <is>
          <t>Lena Biosciences</t>
        </is>
      </c>
      <c r="C759" t="inlineStr">
        <is>
          <t>Q</t>
        </is>
      </c>
      <c r="F759" t="inlineStr">
        <is>
          <t>yes</t>
        </is>
      </c>
      <c r="H759" t="inlineStr">
        <is>
          <t>https://lenabio.com</t>
        </is>
      </c>
      <c r="I759" t="inlineStr">
        <is>
          <t>clearbit</t>
        </is>
      </c>
      <c r="J759" t="inlineStr"/>
      <c r="Y759" t="inlineStr">
        <is>
          <t>unknown</t>
        </is>
      </c>
      <c r="Z759" t="inlineStr"/>
      <c r="AA759" t="inlineStr"/>
      <c r="AB759" t="inlineStr"/>
      <c r="AC759" t="inlineStr"/>
      <c r="AD759" t="inlineStr">
        <is>
          <t>לא נמצא בסריקת המפיצים</t>
        </is>
      </c>
      <c r="AE759" t="inlineStr">
        <is>
          <t>סריקת אתרי מפיצים</t>
        </is>
      </c>
      <c r="AG759" t="inlineStr"/>
      <c r="AH759" t="inlineStr"/>
      <c r="AJ759" t="inlineStr"/>
      <c r="AP759" t="inlineStr">
        <is>
          <t>https://www.quartzy.com/suppliers</t>
        </is>
      </c>
    </row>
    <row r="760">
      <c r="A760" t="n">
        <v>759</v>
      </c>
      <c r="B760" t="inlineStr">
        <is>
          <t>Leneta</t>
        </is>
      </c>
      <c r="C760" t="inlineStr">
        <is>
          <t>T</t>
        </is>
      </c>
      <c r="E760" t="inlineStr">
        <is>
          <t>https://www.thomassci.com/browse-by/suppliers/leneta</t>
        </is>
      </c>
      <c r="F760" t="inlineStr"/>
      <c r="H760" t="inlineStr">
        <is>
          <t>https://leneta.com</t>
        </is>
      </c>
      <c r="I760" t="inlineStr">
        <is>
          <t>clearbit</t>
        </is>
      </c>
      <c r="J760" t="inlineStr"/>
      <c r="Y760" t="inlineStr">
        <is>
          <t>unknown</t>
        </is>
      </c>
      <c r="Z760" t="inlineStr"/>
      <c r="AA760" t="inlineStr"/>
      <c r="AB760" t="inlineStr"/>
      <c r="AC760" t="inlineStr"/>
      <c r="AD760" t="inlineStr">
        <is>
          <t>לא נמצא בסריקת המפיצים</t>
        </is>
      </c>
      <c r="AE760" t="inlineStr">
        <is>
          <t>סריקת אתרי מפיצים</t>
        </is>
      </c>
      <c r="AG760" t="inlineStr"/>
      <c r="AH760" t="inlineStr"/>
      <c r="AJ760" t="inlineStr"/>
      <c r="AP760" t="inlineStr">
        <is>
          <t>https://www.thomassci.com/browse-by/suppliers/leneta</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t>
        </is>
      </c>
      <c r="J761" t="inlineStr"/>
      <c r="Y761" t="inlineStr">
        <is>
          <t>unknown</t>
        </is>
      </c>
      <c r="Z761" t="inlineStr"/>
      <c r="AA761" t="inlineStr"/>
      <c r="AB761" t="inlineStr"/>
      <c r="AC761" t="inlineStr"/>
      <c r="AD761" t="inlineStr">
        <is>
          <t>לא נמצא בסריקת המפיצים</t>
        </is>
      </c>
      <c r="AE761" t="inlineStr">
        <is>
          <t>סריקת אתרי מפיצים</t>
        </is>
      </c>
      <c r="AG761" t="inlineStr"/>
      <c r="AH761" t="inlineStr"/>
      <c r="AJ761" t="inlineStr"/>
      <c r="AP761" t="inlineStr">
        <is>
          <t>https://www.thomassci.com/browse-by/suppliers/lepure-biotech</t>
        </is>
      </c>
    </row>
    <row r="762">
      <c r="A762" t="n">
        <v>761</v>
      </c>
      <c r="B762" t="inlineStr">
        <is>
          <t>Levgo</t>
        </is>
      </c>
      <c r="C762" t="inlineStr">
        <is>
          <t>T+Q</t>
        </is>
      </c>
      <c r="E762" t="inlineStr">
        <is>
          <t>https://www.thomassci.com/browse-by/suppliers/levgo</t>
        </is>
      </c>
      <c r="F762" t="inlineStr">
        <is>
          <t>yes</t>
        </is>
      </c>
      <c r="J762" t="inlineStr"/>
      <c r="Y762" t="inlineStr">
        <is>
          <t>unknown</t>
        </is>
      </c>
      <c r="Z762" t="inlineStr"/>
      <c r="AA762" t="inlineStr"/>
      <c r="AB762" t="inlineStr"/>
      <c r="AC762" t="inlineStr"/>
      <c r="AD762" t="inlineStr">
        <is>
          <t>לא נמצא בסריקת המפיצים</t>
        </is>
      </c>
      <c r="AE762" t="inlineStr">
        <is>
          <t>סריקת אתרי מפיצים</t>
        </is>
      </c>
      <c r="AG762" t="inlineStr"/>
      <c r="AH762" t="inlineStr"/>
      <c r="AJ762" t="inlineStr"/>
      <c r="AP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Y763" t="inlineStr">
        <is>
          <t>unknown</t>
        </is>
      </c>
      <c r="Z763" t="inlineStr"/>
      <c r="AA763" t="inlineStr"/>
      <c r="AB763" t="inlineStr"/>
      <c r="AC763" t="inlineStr"/>
      <c r="AD763" t="inlineStr">
        <is>
          <t>לא נמצא בסריקת המפיצים</t>
        </is>
      </c>
      <c r="AE763" t="inlineStr">
        <is>
          <t>סריקת אתרי מפיצים</t>
        </is>
      </c>
      <c r="AG763" t="inlineStr"/>
      <c r="AH763" t="inlineStr"/>
      <c r="AJ763" t="inlineStr"/>
      <c r="AP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t>
        </is>
      </c>
      <c r="J764" t="inlineStr"/>
      <c r="Y764" t="inlineStr">
        <is>
          <t>unknown</t>
        </is>
      </c>
      <c r="Z764" t="inlineStr"/>
      <c r="AA764" t="inlineStr"/>
      <c r="AB764" t="inlineStr"/>
      <c r="AC764" t="inlineStr"/>
      <c r="AD764" t="inlineStr">
        <is>
          <t>לא נמצא בסריקת המפיצים</t>
        </is>
      </c>
      <c r="AE764" t="inlineStr">
        <is>
          <t>סריקת אתרי מפיצים</t>
        </is>
      </c>
      <c r="AG764" t="inlineStr"/>
      <c r="AH764" t="inlineStr"/>
      <c r="AJ764" t="inlineStr"/>
      <c r="AP764" t="inlineStr">
        <is>
          <t>https://www.thomassci.com/browse-by/suppliers/lgc-biosearch-technologies</t>
        </is>
      </c>
    </row>
    <row r="765">
      <c r="A765" t="n">
        <v>764</v>
      </c>
      <c r="B765" t="inlineStr">
        <is>
          <t>LGP</t>
        </is>
      </c>
      <c r="C765" t="inlineStr">
        <is>
          <t>T</t>
        </is>
      </c>
      <c r="E765" t="inlineStr">
        <is>
          <t>https://www.thomassci.com/browse-by/suppliers/lgp</t>
        </is>
      </c>
      <c r="F765" t="inlineStr"/>
      <c r="J765" t="inlineStr"/>
      <c r="Y765" t="inlineStr">
        <is>
          <t>unknown</t>
        </is>
      </c>
      <c r="Z765" t="inlineStr"/>
      <c r="AA765" t="inlineStr"/>
      <c r="AB765" t="inlineStr"/>
      <c r="AC765" t="inlineStr"/>
      <c r="AD765" t="inlineStr">
        <is>
          <t>לא נמצא בסריקת המפיצים</t>
        </is>
      </c>
      <c r="AE765" t="inlineStr">
        <is>
          <t>סריקת אתרי מפיצים</t>
        </is>
      </c>
      <c r="AG765" t="inlineStr"/>
      <c r="AH765" t="inlineStr"/>
      <c r="AJ765" t="inlineStr"/>
      <c r="AP765" t="inlineStr">
        <is>
          <t>https://www.thomassci.com/browse-by/suppliers/lgp</t>
        </is>
      </c>
    </row>
    <row r="766">
      <c r="A766" t="n">
        <v>765</v>
      </c>
      <c r="B766" t="inlineStr">
        <is>
          <t>LH Technologies</t>
        </is>
      </c>
      <c r="C766" t="inlineStr">
        <is>
          <t>T</t>
        </is>
      </c>
      <c r="E766" t="inlineStr">
        <is>
          <t>https://www.thomassci.com/browse-by/suppliers/lh-technologies</t>
        </is>
      </c>
      <c r="F766" t="inlineStr"/>
      <c r="H766" t="inlineStr">
        <is>
          <t>https://lhtechno.com</t>
        </is>
      </c>
      <c r="I766" t="inlineStr">
        <is>
          <t>clearbit</t>
        </is>
      </c>
      <c r="J766" t="inlineStr"/>
      <c r="Y766" t="inlineStr">
        <is>
          <t>unknown</t>
        </is>
      </c>
      <c r="Z766" t="inlineStr"/>
      <c r="AA766" t="inlineStr"/>
      <c r="AB766" t="inlineStr"/>
      <c r="AC766" t="inlineStr"/>
      <c r="AD766" t="inlineStr">
        <is>
          <t>לא נמצא בסריקת המפיצים</t>
        </is>
      </c>
      <c r="AE766" t="inlineStr">
        <is>
          <t>סריקת אתרי מפיצים</t>
        </is>
      </c>
      <c r="AG766" t="inlineStr"/>
      <c r="AH766" t="inlineStr"/>
      <c r="AJ766" t="inlineStr"/>
      <c r="AP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Y767" t="inlineStr">
        <is>
          <t>unknown</t>
        </is>
      </c>
      <c r="Z767" t="inlineStr"/>
      <c r="AA767" t="inlineStr"/>
      <c r="AB767" t="inlineStr"/>
      <c r="AC767" t="inlineStr"/>
      <c r="AD767" t="inlineStr">
        <is>
          <t>לא נמצא בסריקת המפיצים</t>
        </is>
      </c>
      <c r="AE767" t="inlineStr">
        <is>
          <t>סריקת אתרי מפיצים</t>
        </is>
      </c>
      <c r="AG767" t="inlineStr"/>
      <c r="AH767" t="inlineStr"/>
      <c r="AJ767" t="inlineStr"/>
      <c r="AP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Y768" t="inlineStr">
        <is>
          <t>unknown</t>
        </is>
      </c>
      <c r="Z768" t="inlineStr"/>
      <c r="AA768" t="inlineStr"/>
      <c r="AB768" t="inlineStr"/>
      <c r="AC768" t="inlineStr"/>
      <c r="AD768" t="inlineStr">
        <is>
          <t>לא נמצא בסריקת המפיצים</t>
        </is>
      </c>
      <c r="AE768" t="inlineStr">
        <is>
          <t>סריקת אתרי מפיצים</t>
        </is>
      </c>
      <c r="AG768" t="inlineStr"/>
      <c r="AH768" t="inlineStr"/>
      <c r="AJ768" t="inlineStr"/>
      <c r="AP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t>
        </is>
      </c>
      <c r="J769" t="inlineStr"/>
      <c r="Y769" t="inlineStr">
        <is>
          <t>unknown</t>
        </is>
      </c>
      <c r="Z769" t="inlineStr"/>
      <c r="AA769" t="inlineStr"/>
      <c r="AB769" t="inlineStr"/>
      <c r="AC769" t="inlineStr"/>
      <c r="AD769" t="inlineStr">
        <is>
          <t>לא נמצא בסריקת המפיצים</t>
        </is>
      </c>
      <c r="AE769" t="inlineStr">
        <is>
          <t>סריקת אתרי מפיצים</t>
        </is>
      </c>
      <c r="AG769" t="inlineStr"/>
      <c r="AH769" t="inlineStr"/>
      <c r="AJ769" t="inlineStr"/>
      <c r="AP769" t="inlineStr">
        <is>
          <t>https://www.thomassci.com/browse-by/suppliers/liberty-industries</t>
        </is>
      </c>
    </row>
    <row r="770">
      <c r="A770" t="n">
        <v>769</v>
      </c>
      <c r="B770" t="inlineStr">
        <is>
          <t>Liebherr</t>
        </is>
      </c>
      <c r="C770" t="inlineStr">
        <is>
          <t>D</t>
        </is>
      </c>
      <c r="D770" t="inlineStr">
        <is>
          <t>https://www.dutscher.com/search?initialFilters=brand:Liebherr</t>
        </is>
      </c>
      <c r="F770" t="inlineStr"/>
      <c r="J770" t="inlineStr"/>
      <c r="Y770" t="inlineStr">
        <is>
          <t>unknown</t>
        </is>
      </c>
      <c r="Z770" t="inlineStr"/>
      <c r="AA770" t="inlineStr"/>
      <c r="AB770" t="inlineStr"/>
      <c r="AC770" t="inlineStr"/>
      <c r="AD770" t="inlineStr">
        <is>
          <t>לא נמצא בסריקת המפיצים</t>
        </is>
      </c>
      <c r="AE770" t="inlineStr">
        <is>
          <t>סריקת אתרי מפיצים</t>
        </is>
      </c>
      <c r="AG770" t="inlineStr"/>
      <c r="AH770" t="inlineStr"/>
      <c r="AJ770" t="inlineStr"/>
      <c r="AP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t>
        </is>
      </c>
      <c r="J771" t="inlineStr"/>
      <c r="Y771" t="inlineStr">
        <is>
          <t>unknown</t>
        </is>
      </c>
      <c r="Z771" t="inlineStr"/>
      <c r="AA771" t="inlineStr"/>
      <c r="AB771" t="inlineStr"/>
      <c r="AC771" t="inlineStr"/>
      <c r="AD771" t="inlineStr">
        <is>
          <t>לא נמצא בסריקת המפיצים</t>
        </is>
      </c>
      <c r="AE771" t="inlineStr">
        <is>
          <t>סריקת אתרי מפיצים</t>
        </is>
      </c>
      <c r="AG771" t="inlineStr"/>
      <c r="AH771" t="inlineStr"/>
      <c r="AJ771" t="inlineStr"/>
      <c r="AP771" t="inlineStr">
        <is>
          <t>https://www.thomassci.com/browse-by/suppliers/lifecycle-biotechnologies</t>
        </is>
      </c>
    </row>
    <row r="772">
      <c r="A772" t="n">
        <v>771</v>
      </c>
      <c r="B772" t="inlineStr">
        <is>
          <t>Lifeguard Medical</t>
        </is>
      </c>
      <c r="C772" t="inlineStr">
        <is>
          <t>T</t>
        </is>
      </c>
      <c r="E772" t="inlineStr">
        <is>
          <t>https://www.thomassci.com/browse-by/suppliers/lifeguard-medical</t>
        </is>
      </c>
      <c r="F772" t="inlineStr"/>
      <c r="J772" t="inlineStr"/>
      <c r="Y772" t="inlineStr">
        <is>
          <t>unknown</t>
        </is>
      </c>
      <c r="Z772" t="inlineStr"/>
      <c r="AA772" t="inlineStr"/>
      <c r="AB772" t="inlineStr"/>
      <c r="AC772" t="inlineStr"/>
      <c r="AD772" t="inlineStr">
        <is>
          <t>לא נמצא בסריקת המפיצים</t>
        </is>
      </c>
      <c r="AE772" t="inlineStr">
        <is>
          <t>סריקת אתרי מפיצים</t>
        </is>
      </c>
      <c r="AG772" t="inlineStr"/>
      <c r="AH772" t="inlineStr"/>
      <c r="AJ772" t="inlineStr"/>
      <c r="AP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Y773" t="inlineStr">
        <is>
          <t>unknown</t>
        </is>
      </c>
      <c r="Z773" t="inlineStr"/>
      <c r="AA773" t="inlineStr"/>
      <c r="AB773" t="inlineStr"/>
      <c r="AC773" t="inlineStr"/>
      <c r="AD773" t="inlineStr">
        <is>
          <t>לא נמצא בסריקת המפיצים</t>
        </is>
      </c>
      <c r="AE773" t="inlineStr">
        <is>
          <t>סריקת אתרי מפיצים</t>
        </is>
      </c>
      <c r="AG773" t="inlineStr"/>
      <c r="AH773" t="inlineStr"/>
      <c r="AJ773" t="inlineStr"/>
      <c r="AP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t>
        </is>
      </c>
      <c r="J774" t="inlineStr"/>
      <c r="Y774" t="inlineStr">
        <is>
          <t>unknown</t>
        </is>
      </c>
      <c r="Z774" t="inlineStr"/>
      <c r="AA774" t="inlineStr"/>
      <c r="AB774" t="inlineStr"/>
      <c r="AC774" t="inlineStr"/>
      <c r="AD774" t="inlineStr">
        <is>
          <t>לא נמצא בסריקת המפיצים</t>
        </is>
      </c>
      <c r="AE774" t="inlineStr">
        <is>
          <t>סריקת אתרי מפיצים</t>
        </is>
      </c>
      <c r="AG774" t="inlineStr"/>
      <c r="AH774" t="inlineStr"/>
      <c r="AJ774" t="inlineStr"/>
      <c r="AP774" t="inlineStr">
        <is>
          <t>https://www.thomassci.com/browse-by/suppliers/lifesign</t>
        </is>
      </c>
    </row>
    <row r="775">
      <c r="A775" t="n">
        <v>774</v>
      </c>
      <c r="B775" t="inlineStr">
        <is>
          <t>Lindberg/Blue M</t>
        </is>
      </c>
      <c r="C775" t="inlineStr">
        <is>
          <t>T</t>
        </is>
      </c>
      <c r="E775" t="inlineStr">
        <is>
          <t>https://www.thomassci.com/browse-by/suppliers/lindberg/blue-m</t>
        </is>
      </c>
      <c r="F775" t="inlineStr"/>
      <c r="J775" t="inlineStr"/>
      <c r="Y775" t="inlineStr">
        <is>
          <t>unknown</t>
        </is>
      </c>
      <c r="Z775" t="inlineStr"/>
      <c r="AA775" t="inlineStr"/>
      <c r="AB775" t="inlineStr"/>
      <c r="AC775" t="inlineStr"/>
      <c r="AD775" t="inlineStr">
        <is>
          <t>לא נמצא בסריקת המפיצים</t>
        </is>
      </c>
      <c r="AE775" t="inlineStr">
        <is>
          <t>סריקת אתרי מפיצים</t>
        </is>
      </c>
      <c r="AG775" t="inlineStr"/>
      <c r="AH775" t="inlineStr"/>
      <c r="AJ775" t="inlineStr"/>
      <c r="AP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t>
        </is>
      </c>
      <c r="J776" t="inlineStr"/>
      <c r="Y776" t="inlineStr">
        <is>
          <t>unknown</t>
        </is>
      </c>
      <c r="Z776" t="inlineStr"/>
      <c r="AA776" t="inlineStr"/>
      <c r="AB776" t="inlineStr"/>
      <c r="AC776" t="inlineStr"/>
      <c r="AD776" t="inlineStr">
        <is>
          <t>לא נמצא בסריקת המפיצים</t>
        </is>
      </c>
      <c r="AE776" t="inlineStr">
        <is>
          <t>סריקת אתרי מפיצים</t>
        </is>
      </c>
      <c r="AG776" t="inlineStr"/>
      <c r="AH776" t="inlineStr"/>
      <c r="AJ776" t="inlineStr"/>
      <c r="AP776" t="inlineStr">
        <is>
          <t>https://www.dutscher.com/search?initialFilters=brand:Liofilchem</t>
        </is>
      </c>
    </row>
    <row r="777">
      <c r="A777" t="n">
        <v>776</v>
      </c>
      <c r="B777" t="inlineStr">
        <is>
          <t>List Biological Laboratories</t>
        </is>
      </c>
      <c r="C777" t="inlineStr">
        <is>
          <t>Q</t>
        </is>
      </c>
      <c r="F777" t="inlineStr">
        <is>
          <t>yes</t>
        </is>
      </c>
      <c r="J777" t="inlineStr"/>
      <c r="Y777" t="inlineStr">
        <is>
          <t>unknown</t>
        </is>
      </c>
      <c r="Z777" t="inlineStr"/>
      <c r="AA777" t="inlineStr"/>
      <c r="AB777" t="inlineStr"/>
      <c r="AC777" t="inlineStr"/>
      <c r="AD777" t="inlineStr">
        <is>
          <t>לא נמצא בסריקת המפיצים</t>
        </is>
      </c>
      <c r="AE777" t="inlineStr">
        <is>
          <t>סריקת אתרי מפיצים</t>
        </is>
      </c>
      <c r="AG777" t="inlineStr"/>
      <c r="AH777" t="inlineStr"/>
      <c r="AJ777" t="inlineStr"/>
      <c r="AP777" t="inlineStr">
        <is>
          <t>https://www.quartzy.com/suppliers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Y778" t="inlineStr">
        <is>
          <t>unknown</t>
        </is>
      </c>
      <c r="Z778" t="inlineStr"/>
      <c r="AA778" t="inlineStr"/>
      <c r="AB778" t="inlineStr"/>
      <c r="AC778" t="inlineStr"/>
      <c r="AD778" t="inlineStr">
        <is>
          <t>לא נמצא בסריקת המפיצים</t>
        </is>
      </c>
      <c r="AE778" t="inlineStr">
        <is>
          <t>סריקת אתרי מפיצים</t>
        </is>
      </c>
      <c r="AG778" t="inlineStr"/>
      <c r="AH778" t="inlineStr"/>
      <c r="AJ778" t="inlineStr"/>
      <c r="AP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https://lkpkg.com</t>
        </is>
      </c>
      <c r="I779" t="inlineStr">
        <is>
          <t>clearbit</t>
        </is>
      </c>
      <c r="J779" t="inlineStr"/>
      <c r="Y779" t="inlineStr">
        <is>
          <t>unknown</t>
        </is>
      </c>
      <c r="Z779" t="inlineStr"/>
      <c r="AA779" t="inlineStr"/>
      <c r="AB779" t="inlineStr"/>
      <c r="AC779" t="inlineStr"/>
      <c r="AD779" t="inlineStr">
        <is>
          <t>לא נמצא בסריקת המפיצים</t>
        </is>
      </c>
      <c r="AE779" t="inlineStr">
        <is>
          <t>סריקת אתרי מפיצים</t>
        </is>
      </c>
      <c r="AG779" t="inlineStr"/>
      <c r="AH779" t="inlineStr"/>
      <c r="AJ779" t="inlineStr"/>
      <c r="AP779" t="inlineStr">
        <is>
          <t>https://www.thomassci.com/browse-by/suppliers/elkay-plastics</t>
        </is>
      </c>
    </row>
    <row r="780">
      <c r="A780" t="n">
        <v>779</v>
      </c>
      <c r="B780" t="inlineStr">
        <is>
          <t>LMI</t>
        </is>
      </c>
      <c r="C780" t="inlineStr">
        <is>
          <t>T</t>
        </is>
      </c>
      <c r="E780" t="inlineStr">
        <is>
          <t>https://www.thomassci.com/browse-by/suppliers/lmi</t>
        </is>
      </c>
      <c r="F780" t="inlineStr"/>
      <c r="J780" t="inlineStr"/>
      <c r="Y780" t="inlineStr">
        <is>
          <t>unknown</t>
        </is>
      </c>
      <c r="Z780" t="inlineStr"/>
      <c r="AA780" t="inlineStr"/>
      <c r="AB780" t="inlineStr"/>
      <c r="AC780" t="inlineStr"/>
      <c r="AD780" t="inlineStr">
        <is>
          <t>לא נמצא בסריקת המפיצים</t>
        </is>
      </c>
      <c r="AE780" t="inlineStr">
        <is>
          <t>סריקת אתרי מפיצים</t>
        </is>
      </c>
      <c r="AG780" t="inlineStr"/>
      <c r="AH780" t="inlineStr"/>
      <c r="AJ780" t="inlineStr"/>
      <c r="AP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t>
        </is>
      </c>
      <c r="J781" t="inlineStr"/>
      <c r="Y781" t="inlineStr">
        <is>
          <t>unknown</t>
        </is>
      </c>
      <c r="Z781" t="inlineStr"/>
      <c r="AA781" t="inlineStr"/>
      <c r="AB781" t="inlineStr"/>
      <c r="AC781" t="inlineStr"/>
      <c r="AD781" t="inlineStr">
        <is>
          <t>לא נמצא בסריקת המפיצים</t>
        </is>
      </c>
      <c r="AE781" t="inlineStr">
        <is>
          <t>סריקת אתרי מפיצים</t>
        </is>
      </c>
      <c r="AG781" t="inlineStr"/>
      <c r="AH781" t="inlineStr"/>
      <c r="AJ781" t="inlineStr"/>
      <c r="AP781" t="inlineStr">
        <is>
          <t>https://www.thomassci.com/browse-by/suppliers/loctite</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t>
        </is>
      </c>
      <c r="J782" t="inlineStr"/>
      <c r="Y782" t="inlineStr">
        <is>
          <t>unknown</t>
        </is>
      </c>
      <c r="Z782" t="inlineStr"/>
      <c r="AA782" t="inlineStr"/>
      <c r="AB782" t="inlineStr"/>
      <c r="AC782" t="inlineStr"/>
      <c r="AD782" t="inlineStr">
        <is>
          <t>לא נמצא בסריקת המפיצים</t>
        </is>
      </c>
      <c r="AE782" t="inlineStr">
        <is>
          <t>סריקת אתרי מפיצים</t>
        </is>
      </c>
      <c r="AG782" t="inlineStr"/>
      <c r="AH782" t="inlineStr"/>
      <c r="AJ782" t="inlineStr"/>
      <c r="AP782" t="inlineStr">
        <is>
          <t>https://www.thomassci.com/browse-by/suppliers/logistics-supply</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t>
        </is>
      </c>
      <c r="J783" t="inlineStr"/>
      <c r="Y783" t="inlineStr">
        <is>
          <t>unknown</t>
        </is>
      </c>
      <c r="Z783" t="inlineStr"/>
      <c r="AA783" t="inlineStr"/>
      <c r="AB783" t="inlineStr"/>
      <c r="AC783" t="inlineStr"/>
      <c r="AD783" t="inlineStr">
        <is>
          <t>לא נמצא בסריקת המפיצים</t>
        </is>
      </c>
      <c r="AE783" t="inlineStr">
        <is>
          <t>סריקת אתרי מפיצים</t>
        </is>
      </c>
      <c r="AG783" t="inlineStr"/>
      <c r="AH783" t="inlineStr"/>
      <c r="AJ783" t="inlineStr"/>
      <c r="AP783" t="inlineStr">
        <is>
          <t>https://www.dutscher.com/search?initialFilters=brand:Logos+biosystems</t>
        </is>
      </c>
    </row>
    <row r="784">
      <c r="A784" t="n">
        <v>783</v>
      </c>
      <c r="B784" t="inlineStr">
        <is>
          <t>LogTag Recorders</t>
        </is>
      </c>
      <c r="C784" t="inlineStr">
        <is>
          <t>T</t>
        </is>
      </c>
      <c r="E784" t="inlineStr">
        <is>
          <t>https://www.thomassci.com/browse-by/suppliers/logtag-recorders</t>
        </is>
      </c>
      <c r="F784" t="inlineStr"/>
      <c r="J784" t="inlineStr"/>
      <c r="Y784" t="inlineStr">
        <is>
          <t>unknown</t>
        </is>
      </c>
      <c r="Z784" t="inlineStr"/>
      <c r="AA784" t="inlineStr"/>
      <c r="AB784" t="inlineStr"/>
      <c r="AC784" t="inlineStr"/>
      <c r="AD784" t="inlineStr">
        <is>
          <t>לא נמצא בסריקת המפיצים</t>
        </is>
      </c>
      <c r="AE784" t="inlineStr">
        <is>
          <t>סריקת אתרי מפיצים</t>
        </is>
      </c>
      <c r="AG784" t="inlineStr"/>
      <c r="AH784" t="inlineStr"/>
      <c r="AJ784" t="inlineStr"/>
      <c r="AP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Y785" t="inlineStr">
        <is>
          <t>unknown</t>
        </is>
      </c>
      <c r="Z785" t="inlineStr"/>
      <c r="AA785" t="inlineStr"/>
      <c r="AB785" t="inlineStr"/>
      <c r="AC785" t="inlineStr"/>
      <c r="AD785" t="inlineStr">
        <is>
          <t>לא נמצא בסריקת המפיצים</t>
        </is>
      </c>
      <c r="AE785" t="inlineStr">
        <is>
          <t>סריקת אתרי מפיצים</t>
        </is>
      </c>
      <c r="AG785" t="inlineStr"/>
      <c r="AH785" t="inlineStr"/>
      <c r="AJ785" t="inlineStr"/>
      <c r="AP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Y786" t="inlineStr">
        <is>
          <t>unknown</t>
        </is>
      </c>
      <c r="Z786" t="inlineStr"/>
      <c r="AA786" t="inlineStr"/>
      <c r="AB786" t="inlineStr"/>
      <c r="AC786" t="inlineStr"/>
      <c r="AD786" t="inlineStr">
        <is>
          <t>לא נמצא בסריקת המפיצים</t>
        </is>
      </c>
      <c r="AE786" t="inlineStr">
        <is>
          <t>סריקת אתרי מפיצים</t>
        </is>
      </c>
      <c r="AG786" t="inlineStr"/>
      <c r="AH786" t="inlineStr"/>
      <c r="AJ786" t="inlineStr"/>
      <c r="AP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Y787" t="inlineStr">
        <is>
          <t>unknown</t>
        </is>
      </c>
      <c r="Z787" t="inlineStr"/>
      <c r="AA787" t="inlineStr"/>
      <c r="AB787" t="inlineStr"/>
      <c r="AC787" t="inlineStr"/>
      <c r="AD787" t="inlineStr">
        <is>
          <t>מפיץ/נציג בישראל</t>
        </is>
      </c>
      <c r="AE787" t="inlineStr">
        <is>
          <t>סריקת אתרי מפיצים</t>
        </is>
      </c>
      <c r="AG787" t="inlineStr">
        <is>
          <t>Ornat BioChemicals &amp; Lab Equipment Ltd.</t>
        </is>
      </c>
      <c r="AH787" t="inlineStr">
        <is>
          <t>Ornat BioChemicals &amp; Lab Equipment Ltd.:</t>
        </is>
      </c>
      <c r="AJ787" t="inlineStr"/>
      <c r="AP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t>
        </is>
      </c>
      <c r="J788" t="inlineStr"/>
      <c r="Y788" t="inlineStr">
        <is>
          <t>unknown</t>
        </is>
      </c>
      <c r="Z788" t="inlineStr"/>
      <c r="AA788" t="inlineStr"/>
      <c r="AB788" t="inlineStr"/>
      <c r="AC788" t="inlineStr"/>
      <c r="AD788" t="inlineStr">
        <is>
          <t>לא נמצא בסריקת המפיצים</t>
        </is>
      </c>
      <c r="AE788" t="inlineStr">
        <is>
          <t>סריקת אתרי מפיצים</t>
        </is>
      </c>
      <c r="AG788" t="inlineStr"/>
      <c r="AH788" t="inlineStr"/>
      <c r="AJ788" t="inlineStr"/>
      <c r="AP788" t="inlineStr">
        <is>
          <t>https://www.thomassci.com/browse-by/suppliers/lovibond</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t>
        </is>
      </c>
      <c r="J789" t="inlineStr"/>
      <c r="Y789" t="inlineStr">
        <is>
          <t>unknown</t>
        </is>
      </c>
      <c r="Z789" t="inlineStr"/>
      <c r="AA789" t="inlineStr"/>
      <c r="AB789" t="inlineStr"/>
      <c r="AC789" t="inlineStr"/>
      <c r="AD789" t="inlineStr">
        <is>
          <t>לא נמצא בסריקת המפיצים</t>
        </is>
      </c>
      <c r="AE789" t="inlineStr">
        <is>
          <t>סריקת אתרי מפיצים</t>
        </is>
      </c>
      <c r="AG789" t="inlineStr"/>
      <c r="AH789" t="inlineStr"/>
      <c r="AJ789" t="inlineStr"/>
      <c r="AP789" t="inlineStr">
        <is>
          <t>https://www.thomassci.com/browse-by/suppliers/lpd-trade</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t>
        </is>
      </c>
      <c r="J790" t="inlineStr"/>
      <c r="Y790" t="inlineStr">
        <is>
          <t>unknown</t>
        </is>
      </c>
      <c r="Z790" t="inlineStr"/>
      <c r="AA790" t="inlineStr"/>
      <c r="AB790" t="inlineStr"/>
      <c r="AC790" t="inlineStr"/>
      <c r="AD790" t="inlineStr">
        <is>
          <t>לא נמצא בסריקת המפיצים</t>
        </is>
      </c>
      <c r="AE790" t="inlineStr">
        <is>
          <t>סריקת אתרי מפיצים</t>
        </is>
      </c>
      <c r="AG790" t="inlineStr"/>
      <c r="AH790" t="inlineStr"/>
      <c r="AJ790" t="inlineStr"/>
      <c r="AP790" t="inlineStr">
        <is>
          <t>https://www.thomassci.com/browse-by/suppliers/lucid-scientific</t>
        </is>
      </c>
    </row>
    <row r="791">
      <c r="A791" t="n">
        <v>790</v>
      </c>
      <c r="B791" t="inlineStr">
        <is>
          <t>Lucigen (including Epicentre)</t>
        </is>
      </c>
      <c r="C791" t="inlineStr">
        <is>
          <t>Q</t>
        </is>
      </c>
      <c r="F791" t="inlineStr">
        <is>
          <t>yes</t>
        </is>
      </c>
      <c r="J791" t="inlineStr"/>
      <c r="Y791" t="inlineStr">
        <is>
          <t>unknown</t>
        </is>
      </c>
      <c r="Z791" t="inlineStr"/>
      <c r="AA791" t="inlineStr"/>
      <c r="AB791" t="inlineStr"/>
      <c r="AC791" t="inlineStr"/>
      <c r="AD791" t="inlineStr">
        <is>
          <t>לא נמצא בסריקת המפיצים</t>
        </is>
      </c>
      <c r="AE791" t="inlineStr">
        <is>
          <t>סריקת אתרי מפיצים</t>
        </is>
      </c>
      <c r="AG791" t="inlineStr"/>
      <c r="AH791" t="inlineStr"/>
      <c r="AJ791" t="inlineStr"/>
      <c r="AP791" t="inlineStr">
        <is>
          <t>https://www.quartzy.com/suppliers</t>
        </is>
      </c>
    </row>
    <row r="792">
      <c r="A792" t="n">
        <v>791</v>
      </c>
      <c r="B792" t="inlineStr">
        <is>
          <t>Lumiprobe</t>
        </is>
      </c>
      <c r="C792" t="inlineStr">
        <is>
          <t>Q</t>
        </is>
      </c>
      <c r="F792" t="inlineStr">
        <is>
          <t>yes</t>
        </is>
      </c>
      <c r="H792" t="inlineStr">
        <is>
          <t>https://lumiprobe.com</t>
        </is>
      </c>
      <c r="I792" t="inlineStr">
        <is>
          <t>clearbit</t>
        </is>
      </c>
      <c r="J792" t="inlineStr"/>
      <c r="Y792" t="inlineStr">
        <is>
          <t>unknown</t>
        </is>
      </c>
      <c r="Z792" t="inlineStr"/>
      <c r="AA792" t="inlineStr"/>
      <c r="AB792" t="inlineStr"/>
      <c r="AC792" t="inlineStr"/>
      <c r="AD792" t="inlineStr">
        <is>
          <t>לא נמצא בסריקת המפיצים</t>
        </is>
      </c>
      <c r="AE792" t="inlineStr">
        <is>
          <t>סריקת אתרי מפיצים</t>
        </is>
      </c>
      <c r="AG792" t="inlineStr"/>
      <c r="AH792" t="inlineStr"/>
      <c r="AJ792" t="inlineStr"/>
      <c r="AP792" t="inlineStr">
        <is>
          <t>https://www.quartzy.com/suppliers</t>
        </is>
      </c>
    </row>
    <row r="793">
      <c r="A793" t="n">
        <v>792</v>
      </c>
      <c r="B793" t="inlineStr">
        <is>
          <t>Luna Nanotech Inc.</t>
        </is>
      </c>
      <c r="C793" t="inlineStr">
        <is>
          <t>T</t>
        </is>
      </c>
      <c r="E793" t="inlineStr">
        <is>
          <t>https://www.thomassci.com/browse-by/suppliers/luna-nanotech-inc-</t>
        </is>
      </c>
      <c r="F793" t="inlineStr"/>
      <c r="J793" t="inlineStr"/>
      <c r="Y793" t="inlineStr">
        <is>
          <t>unknown</t>
        </is>
      </c>
      <c r="Z793" t="inlineStr"/>
      <c r="AA793" t="inlineStr"/>
      <c r="AB793" t="inlineStr"/>
      <c r="AC793" t="inlineStr"/>
      <c r="AD793" t="inlineStr">
        <is>
          <t>לא נמצא בסריקת המפיצים</t>
        </is>
      </c>
      <c r="AE793" t="inlineStr">
        <is>
          <t>סריקת אתרי מפיצים</t>
        </is>
      </c>
      <c r="AG793" t="inlineStr"/>
      <c r="AH793" t="inlineStr"/>
      <c r="AJ793" t="inlineStr"/>
      <c r="AP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t>
        </is>
      </c>
      <c r="J794" t="inlineStr"/>
      <c r="Y794" t="inlineStr">
        <is>
          <t>unknown</t>
        </is>
      </c>
      <c r="Z794" t="inlineStr">
        <is>
          <t>Utility Cart / Utility Bins</t>
        </is>
      </c>
      <c r="AA794" t="inlineStr">
        <is>
          <t>Pneumatic Adjustable Height Flip-Top Student Desk/Nesting Desk</t>
        </is>
      </c>
      <c r="AB794" t="inlineStr">
        <is>
          <t>Reversable Double Sided Whiteboard</t>
        </is>
      </c>
      <c r="AC794" t="inlineStr">
        <is>
          <t>thomassci</t>
        </is>
      </c>
      <c r="AD794" t="inlineStr">
        <is>
          <t>לא נמצא בסריקת המפיצים</t>
        </is>
      </c>
      <c r="AE794" t="inlineStr">
        <is>
          <t>סריקת אתרי מפיצים</t>
        </is>
      </c>
      <c r="AG794" t="inlineStr"/>
      <c r="AH794" t="inlineStr"/>
      <c r="AJ794" t="inlineStr"/>
      <c r="AP794" t="inlineStr">
        <is>
          <t>https://www.thomassci.com/browse-by/suppliers/luxor</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t>
        </is>
      </c>
      <c r="J795" t="inlineStr"/>
      <c r="Y795" t="inlineStr">
        <is>
          <t>unknown</t>
        </is>
      </c>
      <c r="Z795" t="inlineStr"/>
      <c r="AA795" t="inlineStr"/>
      <c r="AB795" t="inlineStr"/>
      <c r="AC795" t="inlineStr"/>
      <c r="AD795" t="inlineStr">
        <is>
          <t>לא נמצא בסריקת המפיצים</t>
        </is>
      </c>
      <c r="AE795" t="inlineStr">
        <is>
          <t>סריקת אתרי מפיצים</t>
        </is>
      </c>
      <c r="AG795" t="inlineStr"/>
      <c r="AH795" t="inlineStr"/>
      <c r="AJ795" t="inlineStr"/>
      <c r="AP795" t="inlineStr">
        <is>
          <t>https://www.thomassci.com/browse-by/suppliers/lvl-technologies</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t>
        </is>
      </c>
      <c r="J796" t="inlineStr"/>
      <c r="Y796" t="inlineStr">
        <is>
          <t>unknown</t>
        </is>
      </c>
      <c r="Z796" t="inlineStr"/>
      <c r="AA796" t="inlineStr"/>
      <c r="AB796" t="inlineStr"/>
      <c r="AC796" t="inlineStr"/>
      <c r="AD796" t="inlineStr">
        <is>
          <t>לא נמצא בסריקת המפיצים</t>
        </is>
      </c>
      <c r="AE796" t="inlineStr">
        <is>
          <t>סריקת אתרי מפיצים</t>
        </is>
      </c>
      <c r="AG796" t="inlineStr"/>
      <c r="AH796" t="inlineStr"/>
      <c r="AJ796" t="inlineStr"/>
      <c r="AP796" t="inlineStr">
        <is>
          <t>https://www.thomassci.com/browse-by/suppliers/lw-scientific</t>
        </is>
      </c>
    </row>
    <row r="797">
      <c r="A797" t="n">
        <v>796</v>
      </c>
      <c r="B797" t="inlineStr">
        <is>
          <t>M1 (a Thomas Scientific Brand)</t>
        </is>
      </c>
      <c r="C797" t="inlineStr">
        <is>
          <t>T</t>
        </is>
      </c>
      <c r="E797" t="inlineStr">
        <is>
          <t>https://www.thomassci.com/browse-by/suppliers/m1-a-thomas-scientific-brand</t>
        </is>
      </c>
      <c r="F797" t="inlineStr"/>
      <c r="J797" t="inlineStr"/>
      <c r="Y797" t="inlineStr">
        <is>
          <t>unknown</t>
        </is>
      </c>
      <c r="Z797" t="inlineStr"/>
      <c r="AA797" t="inlineStr"/>
      <c r="AB797" t="inlineStr"/>
      <c r="AC797" t="inlineStr"/>
      <c r="AD797" t="inlineStr">
        <is>
          <t>לא נמצא בסריקת המפיצים</t>
        </is>
      </c>
      <c r="AE797" t="inlineStr">
        <is>
          <t>סריקת אתרי מפיצים</t>
        </is>
      </c>
      <c r="AG797" t="inlineStr"/>
      <c r="AH797" t="inlineStr"/>
      <c r="AJ797" t="inlineStr"/>
      <c r="AP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t>
        </is>
      </c>
      <c r="J798" t="inlineStr"/>
      <c r="Y798" t="inlineStr">
        <is>
          <t>unknown</t>
        </is>
      </c>
      <c r="Z798" t="inlineStr"/>
      <c r="AA798" t="inlineStr"/>
      <c r="AB798" t="inlineStr"/>
      <c r="AC798" t="inlineStr"/>
      <c r="AD798" t="inlineStr">
        <is>
          <t>לא נמצא בסריקת המפיצים</t>
        </is>
      </c>
      <c r="AE798" t="inlineStr">
        <is>
          <t>סריקת אתרי מפיצים</t>
        </is>
      </c>
      <c r="AG798" t="inlineStr"/>
      <c r="AH798" t="inlineStr"/>
      <c r="AJ798" t="inlineStr"/>
      <c r="AP798" t="inlineStr">
        <is>
          <t>https://www.thomassci.com/browse-by/suppliers/macbick</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t>
        </is>
      </c>
      <c r="J799" t="inlineStr"/>
      <c r="Y799" t="inlineStr">
        <is>
          <t>unknown</t>
        </is>
      </c>
      <c r="Z799" t="inlineStr"/>
      <c r="AA799" t="inlineStr"/>
      <c r="AB799" t="inlineStr"/>
      <c r="AC799" t="inlineStr"/>
      <c r="AD799" t="inlineStr">
        <is>
          <t>מפיץ/נציג בישראל</t>
        </is>
      </c>
      <c r="AE799" t="inlineStr">
        <is>
          <t>סריקת אתרי מפיצים</t>
        </is>
      </c>
      <c r="AG799" t="inlineStr">
        <is>
          <t>Ornat BioChemicals &amp; Lab Equipment Ltd.</t>
        </is>
      </c>
      <c r="AH799" t="inlineStr">
        <is>
          <t>Ornat BioChemicals &amp; Lab Equipment Ltd.:</t>
        </is>
      </c>
      <c r="AJ799" t="inlineStr"/>
      <c r="AP799" t="inlineStr">
        <is>
          <t>https://www.dutscher.com/search?initialFilters=brand:Macherey+Nagel | https://www.thomassci.com/browse-by/suppliers/macherey-nagel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t>
        </is>
      </c>
      <c r="J800" t="inlineStr"/>
      <c r="Y800" t="inlineStr">
        <is>
          <t>unknown</t>
        </is>
      </c>
      <c r="Z800" t="inlineStr"/>
      <c r="AA800" t="inlineStr"/>
      <c r="AB800" t="inlineStr"/>
      <c r="AC800" t="inlineStr"/>
      <c r="AD800" t="inlineStr">
        <is>
          <t>לא נמצא בסריקת המפיצים</t>
        </is>
      </c>
      <c r="AE800" t="inlineStr">
        <is>
          <t>סריקת אתרי מפיצים</t>
        </is>
      </c>
      <c r="AG800" t="inlineStr"/>
      <c r="AH800" t="inlineStr"/>
      <c r="AJ800" t="inlineStr"/>
      <c r="AP800" t="inlineStr">
        <is>
          <t>https://www.thomassci.com/browse-by/suppliers/maggenome</t>
        </is>
      </c>
    </row>
    <row r="801">
      <c r="A801" t="n">
        <v>800</v>
      </c>
      <c r="B801" t="inlineStr">
        <is>
          <t>Magic Safety Products</t>
        </is>
      </c>
      <c r="C801" t="inlineStr">
        <is>
          <t>T</t>
        </is>
      </c>
      <c r="E801" t="inlineStr">
        <is>
          <t>https://www.thomassci.com/browse-by/suppliers/magic-safety-products</t>
        </is>
      </c>
      <c r="F801" t="inlineStr"/>
      <c r="J801" t="inlineStr"/>
      <c r="Y801" t="inlineStr">
        <is>
          <t>unknown</t>
        </is>
      </c>
      <c r="Z801" t="inlineStr"/>
      <c r="AA801" t="inlineStr"/>
      <c r="AB801" t="inlineStr"/>
      <c r="AC801" t="inlineStr"/>
      <c r="AD801" t="inlineStr">
        <is>
          <t>לא נמצא בסריקת המפיצים</t>
        </is>
      </c>
      <c r="AE801" t="inlineStr">
        <is>
          <t>סריקת אתרי מפיצים</t>
        </is>
      </c>
      <c r="AG801" t="inlineStr"/>
      <c r="AH801" t="inlineStr"/>
      <c r="AJ801" t="inlineStr"/>
      <c r="AP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Y802" t="inlineStr">
        <is>
          <t>unknown</t>
        </is>
      </c>
      <c r="Z802" t="inlineStr"/>
      <c r="AA802" t="inlineStr"/>
      <c r="AB802" t="inlineStr"/>
      <c r="AC802" t="inlineStr"/>
      <c r="AD802" t="inlineStr">
        <is>
          <t>לא נמצא בסריקת המפיצים</t>
        </is>
      </c>
      <c r="AE802" t="inlineStr">
        <is>
          <t>סריקת אתרי מפיצים</t>
        </is>
      </c>
      <c r="AG802" t="inlineStr"/>
      <c r="AH802" t="inlineStr"/>
      <c r="AJ802" t="inlineStr"/>
      <c r="AP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t>
        </is>
      </c>
      <c r="J803" t="inlineStr"/>
      <c r="Y803" t="inlineStr">
        <is>
          <t>unknown</t>
        </is>
      </c>
      <c r="Z803" t="inlineStr"/>
      <c r="AA803" t="inlineStr"/>
      <c r="AB803" t="inlineStr"/>
      <c r="AC803" t="inlineStr"/>
      <c r="AD803" t="inlineStr">
        <is>
          <t>לא נמצא בסריקת המפיצים</t>
        </is>
      </c>
      <c r="AE803" t="inlineStr">
        <is>
          <t>סריקת אתרי מפיצים</t>
        </is>
      </c>
      <c r="AG803" t="inlineStr"/>
      <c r="AH803" t="inlineStr"/>
      <c r="AJ803" t="inlineStr"/>
      <c r="AP803" t="inlineStr">
        <is>
          <t>https://www.thomassci.com/browse-by/suppliers/maglite</t>
        </is>
      </c>
    </row>
    <row r="804">
      <c r="A804" t="n">
        <v>803</v>
      </c>
      <c r="B804" t="inlineStr">
        <is>
          <t>Malaster</t>
        </is>
      </c>
      <c r="C804" t="inlineStr">
        <is>
          <t>T</t>
        </is>
      </c>
      <c r="E804" t="inlineStr">
        <is>
          <t>https://www.thomassci.com/browse-by/suppliers/malaster</t>
        </is>
      </c>
      <c r="F804" t="inlineStr"/>
      <c r="H804" t="inlineStr">
        <is>
          <t>https://malaster.com</t>
        </is>
      </c>
      <c r="I804" t="inlineStr">
        <is>
          <t>clearbit</t>
        </is>
      </c>
      <c r="J804" t="inlineStr"/>
      <c r="Y804" t="inlineStr">
        <is>
          <t>unknown</t>
        </is>
      </c>
      <c r="Z804" t="inlineStr"/>
      <c r="AA804" t="inlineStr"/>
      <c r="AB804" t="inlineStr"/>
      <c r="AC804" t="inlineStr"/>
      <c r="AD804" t="inlineStr">
        <is>
          <t>לא נמצא בסריקת המפיצים</t>
        </is>
      </c>
      <c r="AE804" t="inlineStr">
        <is>
          <t>סריקת אתרי מפיצים</t>
        </is>
      </c>
      <c r="AG804" t="inlineStr"/>
      <c r="AH804" t="inlineStr"/>
      <c r="AJ804" t="inlineStr"/>
      <c r="AP804" t="inlineStr">
        <is>
          <t>https://www.thomassci.com/browse-by/suppliers/malaster</t>
        </is>
      </c>
    </row>
    <row r="805">
      <c r="A805" t="n">
        <v>804</v>
      </c>
      <c r="B805" t="inlineStr">
        <is>
          <t>Mapa</t>
        </is>
      </c>
      <c r="C805" t="inlineStr">
        <is>
          <t>D</t>
        </is>
      </c>
      <c r="D805" t="inlineStr">
        <is>
          <t>https://www.dutscher.com/search?initialFilters=brand:Mapa</t>
        </is>
      </c>
      <c r="F805" t="inlineStr"/>
      <c r="J805" t="inlineStr"/>
      <c r="Y805" t="inlineStr">
        <is>
          <t>unknown</t>
        </is>
      </c>
      <c r="Z805" t="inlineStr"/>
      <c r="AA805" t="inlineStr"/>
      <c r="AB805" t="inlineStr"/>
      <c r="AC805" t="inlineStr"/>
      <c r="AD805" t="inlineStr">
        <is>
          <t>לא נמצא בסריקת המפיצים</t>
        </is>
      </c>
      <c r="AE805" t="inlineStr">
        <is>
          <t>סריקת אתרי מפיצים</t>
        </is>
      </c>
      <c r="AG805" t="inlineStr"/>
      <c r="AH805" t="inlineStr"/>
      <c r="AJ805" t="inlineStr"/>
      <c r="AP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H806" t="inlineStr">
        <is>
          <t>https://mapa-pro.com.ar</t>
        </is>
      </c>
      <c r="I806" t="inlineStr">
        <is>
          <t>clearbit</t>
        </is>
      </c>
      <c r="J806" t="inlineStr"/>
      <c r="Y806" t="inlineStr">
        <is>
          <t>unknown</t>
        </is>
      </c>
      <c r="Z806" t="inlineStr"/>
      <c r="AA806" t="inlineStr"/>
      <c r="AB806" t="inlineStr"/>
      <c r="AC806" t="inlineStr"/>
      <c r="AD806" t="inlineStr">
        <is>
          <t>לא נמצא בסריקת המפיצים</t>
        </is>
      </c>
      <c r="AE806" t="inlineStr">
        <is>
          <t>סריקת אתרי מפיצים</t>
        </is>
      </c>
      <c r="AG806" t="inlineStr"/>
      <c r="AH806" t="inlineStr"/>
      <c r="AJ806" t="inlineStr"/>
      <c r="AP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Y807" t="inlineStr">
        <is>
          <t>unknown</t>
        </is>
      </c>
      <c r="Z807" t="inlineStr"/>
      <c r="AA807" t="inlineStr"/>
      <c r="AB807" t="inlineStr"/>
      <c r="AC807" t="inlineStr"/>
      <c r="AD807" t="inlineStr">
        <is>
          <t>לא נמצא בסריקת המפיצים</t>
        </is>
      </c>
      <c r="AE807" t="inlineStr">
        <is>
          <t>סריקת אתרי מפיצים</t>
        </is>
      </c>
      <c r="AG807" t="inlineStr"/>
      <c r="AH807" t="inlineStr"/>
      <c r="AJ807" t="inlineStr"/>
      <c r="AP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Y808" t="inlineStr">
        <is>
          <t>unknown</t>
        </is>
      </c>
      <c r="Z808" t="inlineStr"/>
      <c r="AA808" t="inlineStr"/>
      <c r="AB808" t="inlineStr"/>
      <c r="AC808" t="inlineStr"/>
      <c r="AD808" t="inlineStr">
        <is>
          <t>לא נמצא בסריקת המפיצים</t>
        </is>
      </c>
      <c r="AE808" t="inlineStr">
        <is>
          <t>סריקת אתרי מפיצים</t>
        </is>
      </c>
      <c r="AG808" t="inlineStr"/>
      <c r="AH808" t="inlineStr"/>
      <c r="AJ808" t="inlineStr"/>
      <c r="AP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https://marvel.com</t>
        </is>
      </c>
      <c r="I809" t="inlineStr">
        <is>
          <t>clearbit</t>
        </is>
      </c>
      <c r="J809" t="inlineStr"/>
      <c r="Y809" t="inlineStr">
        <is>
          <t>unknown</t>
        </is>
      </c>
      <c r="Z809" t="inlineStr"/>
      <c r="AA809" t="inlineStr"/>
      <c r="AB809" t="inlineStr"/>
      <c r="AC809" t="inlineStr"/>
      <c r="AD809" t="inlineStr">
        <is>
          <t>לא נמצא בסריקת המפיצים</t>
        </is>
      </c>
      <c r="AE809" t="inlineStr">
        <is>
          <t>סריקת אתרי מפיצים</t>
        </is>
      </c>
      <c r="AG809" t="inlineStr"/>
      <c r="AH809" t="inlineStr"/>
      <c r="AJ809" t="inlineStr"/>
      <c r="AP809" t="inlineStr">
        <is>
          <t>https://www.thomassci.com/browse-by/suppliers/marvel</t>
        </is>
      </c>
    </row>
    <row r="810">
      <c r="A810" t="n">
        <v>809</v>
      </c>
      <c r="B810" t="inlineStr">
        <is>
          <t>Maryland Plastics</t>
        </is>
      </c>
      <c r="C810" t="inlineStr">
        <is>
          <t>T</t>
        </is>
      </c>
      <c r="E810" t="inlineStr">
        <is>
          <t>https://www.thomassci.com/browse-by/suppliers/maryland-plastics</t>
        </is>
      </c>
      <c r="F810" t="inlineStr"/>
      <c r="J810" t="inlineStr"/>
      <c r="Y810" t="inlineStr">
        <is>
          <t>unknown</t>
        </is>
      </c>
      <c r="Z810" t="inlineStr"/>
      <c r="AA810" t="inlineStr"/>
      <c r="AB810" t="inlineStr"/>
      <c r="AC810" t="inlineStr"/>
      <c r="AD810" t="inlineStr">
        <is>
          <t>לא נמצא בסריקת המפיצים</t>
        </is>
      </c>
      <c r="AE810" t="inlineStr">
        <is>
          <t>סריקת אתרי מפיצים</t>
        </is>
      </c>
      <c r="AG810" t="inlineStr"/>
      <c r="AH810" t="inlineStr"/>
      <c r="AJ810" t="inlineStr"/>
      <c r="AP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t>
        </is>
      </c>
      <c r="J811" t="inlineStr"/>
      <c r="Y811" t="inlineStr">
        <is>
          <t>unknown</t>
        </is>
      </c>
      <c r="Z811" t="inlineStr"/>
      <c r="AA811" t="inlineStr"/>
      <c r="AB811" t="inlineStr"/>
      <c r="AC811" t="inlineStr"/>
      <c r="AD811" t="inlineStr">
        <is>
          <t>לא נמצא בסריקת המפיצים</t>
        </is>
      </c>
      <c r="AE811" t="inlineStr">
        <is>
          <t>סריקת אתרי מפיצים</t>
        </is>
      </c>
      <c r="AG811" t="inlineStr"/>
      <c r="AH811" t="inlineStr"/>
      <c r="AJ811" t="inlineStr"/>
      <c r="AP811" t="inlineStr">
        <is>
          <t>https://www.thomassci.com/browse-by/suppliers/master-appliance</t>
        </is>
      </c>
    </row>
    <row r="812">
      <c r="A812" t="n">
        <v>811</v>
      </c>
      <c r="B812" t="inlineStr">
        <is>
          <t>MatTek Corporation</t>
        </is>
      </c>
      <c r="C812" t="inlineStr">
        <is>
          <t>Q</t>
        </is>
      </c>
      <c r="F812" t="inlineStr">
        <is>
          <t>yes</t>
        </is>
      </c>
      <c r="J812" t="inlineStr"/>
      <c r="Y812" t="inlineStr">
        <is>
          <t>unknown</t>
        </is>
      </c>
      <c r="Z812" t="inlineStr"/>
      <c r="AA812" t="inlineStr"/>
      <c r="AB812" t="inlineStr"/>
      <c r="AC812" t="inlineStr"/>
      <c r="AD812" t="inlineStr">
        <is>
          <t>לא נמצא בסריקת המפיצים</t>
        </is>
      </c>
      <c r="AE812" t="inlineStr">
        <is>
          <t>סריקת אתרי מפיצים</t>
        </is>
      </c>
      <c r="AG812" t="inlineStr"/>
      <c r="AH812" t="inlineStr"/>
      <c r="AJ812" t="inlineStr"/>
      <c r="AP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Y813" t="inlineStr">
        <is>
          <t>unknown</t>
        </is>
      </c>
      <c r="Z813" t="inlineStr"/>
      <c r="AA813" t="inlineStr"/>
      <c r="AB813" t="inlineStr"/>
      <c r="AC813" t="inlineStr"/>
      <c r="AD813" t="inlineStr">
        <is>
          <t>לא נמצא בסריקת המפיצים</t>
        </is>
      </c>
      <c r="AE813" t="inlineStr">
        <is>
          <t>סריקת אתרי מפיצים</t>
        </is>
      </c>
      <c r="AG813" t="inlineStr"/>
      <c r="AH813" t="inlineStr"/>
      <c r="AJ813" t="inlineStr"/>
      <c r="AP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Y814" t="inlineStr">
        <is>
          <t>unknown</t>
        </is>
      </c>
      <c r="Z814" t="inlineStr"/>
      <c r="AA814" t="inlineStr"/>
      <c r="AB814" t="inlineStr"/>
      <c r="AC814" t="inlineStr"/>
      <c r="AD814" t="inlineStr">
        <is>
          <t>לא נמצא בסריקת המפיצים</t>
        </is>
      </c>
      <c r="AE814" t="inlineStr">
        <is>
          <t>סריקת אתרי מפיצים</t>
        </is>
      </c>
      <c r="AG814" t="inlineStr"/>
      <c r="AH814" t="inlineStr"/>
      <c r="AJ814" t="inlineStr"/>
      <c r="AP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Y815" t="inlineStr">
        <is>
          <t>unknown</t>
        </is>
      </c>
      <c r="Z815" t="inlineStr"/>
      <c r="AA815" t="inlineStr"/>
      <c r="AB815" t="inlineStr"/>
      <c r="AC815" t="inlineStr"/>
      <c r="AD815" t="inlineStr">
        <is>
          <t>לא נמצא בסריקת המפיצים</t>
        </is>
      </c>
      <c r="AE815" t="inlineStr">
        <is>
          <t>סריקת אתרי מפיצים</t>
        </is>
      </c>
      <c r="AG815" t="inlineStr"/>
      <c r="AH815" t="inlineStr"/>
      <c r="AJ815" t="inlineStr"/>
      <c r="AP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Y816" t="inlineStr">
        <is>
          <t>unknown</t>
        </is>
      </c>
      <c r="Z816" t="inlineStr"/>
      <c r="AA816" t="inlineStr"/>
      <c r="AB816" t="inlineStr"/>
      <c r="AC816" t="inlineStr"/>
      <c r="AD816" t="inlineStr">
        <is>
          <t>לא נמצא בסריקת המפיצים</t>
        </is>
      </c>
      <c r="AE816" t="inlineStr">
        <is>
          <t>סריקת אתרי מפיצים</t>
        </is>
      </c>
      <c r="AG816" t="inlineStr"/>
      <c r="AH816" t="inlineStr"/>
      <c r="AJ816" t="inlineStr"/>
      <c r="AP816" t="inlineStr">
        <is>
          <t>https://www.thomassci.com/browse-by/suppliers/mbp</t>
        </is>
      </c>
    </row>
    <row r="817">
      <c r="A817" t="n">
        <v>816</v>
      </c>
      <c r="B817" t="inlineStr">
        <is>
          <t>McKesson</t>
        </is>
      </c>
      <c r="C817" t="inlineStr">
        <is>
          <t>Q</t>
        </is>
      </c>
      <c r="F817" t="inlineStr">
        <is>
          <t>yes</t>
        </is>
      </c>
      <c r="H817" t="inlineStr">
        <is>
          <t>https://mckesson.com</t>
        </is>
      </c>
      <c r="I817" t="inlineStr">
        <is>
          <t>clearbit</t>
        </is>
      </c>
      <c r="J817" t="inlineStr"/>
      <c r="Y817" t="inlineStr">
        <is>
          <t>unknown</t>
        </is>
      </c>
      <c r="Z817" t="inlineStr"/>
      <c r="AA817" t="inlineStr"/>
      <c r="AB817" t="inlineStr"/>
      <c r="AC817" t="inlineStr"/>
      <c r="AD817" t="inlineStr">
        <is>
          <t>לא נמצא בסריקת המפיצים</t>
        </is>
      </c>
      <c r="AE817" t="inlineStr">
        <is>
          <t>סריקת אתרי מפיצים</t>
        </is>
      </c>
      <c r="AG817" t="inlineStr"/>
      <c r="AH817" t="inlineStr"/>
      <c r="AJ817" t="inlineStr"/>
      <c r="AP817" t="inlineStr">
        <is>
          <t>https://www.quartzy.com/suppliers</t>
        </is>
      </c>
    </row>
    <row r="818">
      <c r="A818" t="n">
        <v>817</v>
      </c>
      <c r="B818" t="inlineStr">
        <is>
          <t>McKesson Medical-Surgical</t>
        </is>
      </c>
      <c r="C818" t="inlineStr">
        <is>
          <t>T</t>
        </is>
      </c>
      <c r="E818" t="inlineStr">
        <is>
          <t>https://www.thomassci.com/browse-by/suppliers/mckesson-medical-surgical</t>
        </is>
      </c>
      <c r="F818" t="inlineStr"/>
      <c r="J818" t="inlineStr"/>
      <c r="Y818" t="inlineStr">
        <is>
          <t>unknown</t>
        </is>
      </c>
      <c r="Z818" t="inlineStr"/>
      <c r="AA818" t="inlineStr"/>
      <c r="AB818" t="inlineStr"/>
      <c r="AC818" t="inlineStr"/>
      <c r="AD818" t="inlineStr">
        <is>
          <t>לא נמצא בסריקת המפיצים</t>
        </is>
      </c>
      <c r="AE818" t="inlineStr">
        <is>
          <t>סריקת אתרי מפיצים</t>
        </is>
      </c>
      <c r="AG818" t="inlineStr"/>
      <c r="AH818" t="inlineStr"/>
      <c r="AJ818" t="inlineStr"/>
      <c r="AP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t>
        </is>
      </c>
      <c r="J819" t="inlineStr"/>
      <c r="Y819" t="inlineStr">
        <is>
          <t>unknown</t>
        </is>
      </c>
      <c r="Z819" t="inlineStr"/>
      <c r="AA819" t="inlineStr"/>
      <c r="AB819" t="inlineStr"/>
      <c r="AC819" t="inlineStr"/>
      <c r="AD819" t="inlineStr">
        <is>
          <t>לא נמצא בסריקת המפיצים</t>
        </is>
      </c>
      <c r="AE819" t="inlineStr">
        <is>
          <t>סריקת אתרי מפיצים</t>
        </is>
      </c>
      <c r="AG819" t="inlineStr"/>
      <c r="AH819" t="inlineStr"/>
      <c r="AJ819" t="inlineStr"/>
      <c r="AP819" t="inlineStr">
        <is>
          <t>https://www.thomassci.com/browse-by/suppliers/mcr-safety</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Y820" t="inlineStr">
        <is>
          <t>unknown</t>
        </is>
      </c>
      <c r="Z820" t="inlineStr"/>
      <c r="AA820" t="inlineStr"/>
      <c r="AB820" t="inlineStr"/>
      <c r="AC820" t="inlineStr"/>
      <c r="AD820" t="inlineStr">
        <is>
          <t>לא נמצא בסריקת המפיצים</t>
        </is>
      </c>
      <c r="AE820" t="inlineStr">
        <is>
          <t>סריקת אתרי מפיצים</t>
        </is>
      </c>
      <c r="AG820" t="inlineStr"/>
      <c r="AH820" t="inlineStr"/>
      <c r="AJ820" t="inlineStr"/>
      <c r="AP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t>
        </is>
      </c>
      <c r="J821" t="inlineStr"/>
      <c r="Y821" t="inlineStr">
        <is>
          <t>unknown</t>
        </is>
      </c>
      <c r="Z821" t="inlineStr"/>
      <c r="AA821" t="inlineStr"/>
      <c r="AB821" t="inlineStr"/>
      <c r="AC821" t="inlineStr"/>
      <c r="AD821" t="inlineStr">
        <is>
          <t>לא נמצא בסריקת המפיצים</t>
        </is>
      </c>
      <c r="AE821" t="inlineStr">
        <is>
          <t>סריקת אתרי מפיצים</t>
        </is>
      </c>
      <c r="AG821" t="inlineStr"/>
      <c r="AH821" t="inlineStr"/>
      <c r="AJ821" t="inlineStr"/>
      <c r="AP821" t="inlineStr">
        <is>
          <t>https://www.quartzy.com/suppliers</t>
        </is>
      </c>
    </row>
    <row r="822">
      <c r="A822" t="n">
        <v>821</v>
      </c>
      <c r="B822" t="inlineStr">
        <is>
          <t>Medegen Medical Products</t>
        </is>
      </c>
      <c r="C822" t="inlineStr">
        <is>
          <t>T</t>
        </is>
      </c>
      <c r="E822" t="inlineStr">
        <is>
          <t>https://www.thomassci.com/browse-by/suppliers/medegen-medical-products</t>
        </is>
      </c>
      <c r="F822" t="inlineStr"/>
      <c r="J822" t="inlineStr"/>
      <c r="Y822" t="inlineStr">
        <is>
          <t>unknown</t>
        </is>
      </c>
      <c r="Z822" t="inlineStr"/>
      <c r="AA822" t="inlineStr"/>
      <c r="AB822" t="inlineStr"/>
      <c r="AC822" t="inlineStr"/>
      <c r="AD822" t="inlineStr">
        <is>
          <t>לא נמצא בסריקת המפיצים</t>
        </is>
      </c>
      <c r="AE822" t="inlineStr">
        <is>
          <t>סריקת אתרי מפיצים</t>
        </is>
      </c>
      <c r="AG822" t="inlineStr"/>
      <c r="AH822" t="inlineStr"/>
      <c r="AJ822" t="inlineStr"/>
      <c r="AP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t>
        </is>
      </c>
      <c r="J823" t="inlineStr"/>
      <c r="Y823" t="inlineStr">
        <is>
          <t>unknown</t>
        </is>
      </c>
      <c r="Z823" t="inlineStr"/>
      <c r="AA823" t="inlineStr"/>
      <c r="AB823" t="inlineStr"/>
      <c r="AC823" t="inlineStr"/>
      <c r="AD823" t="inlineStr">
        <is>
          <t>לא נמצא בסריקת המפיצים</t>
        </is>
      </c>
      <c r="AE823" t="inlineStr">
        <is>
          <t>סריקת אתרי מפיצים</t>
        </is>
      </c>
      <c r="AG823" t="inlineStr"/>
      <c r="AH823" t="inlineStr"/>
      <c r="AJ823" t="inlineStr"/>
      <c r="AP823" t="inlineStr">
        <is>
          <t>https://www.thomassci.com/browse-by/suppliers/medical-action</t>
        </is>
      </c>
    </row>
    <row r="824">
      <c r="A824" t="n">
        <v>823</v>
      </c>
      <c r="B824" t="inlineStr">
        <is>
          <t>Medical Chemical Corporation</t>
        </is>
      </c>
      <c r="C824" t="inlineStr">
        <is>
          <t>T</t>
        </is>
      </c>
      <c r="E824" t="inlineStr">
        <is>
          <t>https://www.thomassci.com/browse-by/suppliers/medical-chemical-corporation</t>
        </is>
      </c>
      <c r="F824" t="inlineStr"/>
      <c r="J824" t="inlineStr"/>
      <c r="Y824" t="inlineStr">
        <is>
          <t>unknown</t>
        </is>
      </c>
      <c r="Z824" t="inlineStr"/>
      <c r="AA824" t="inlineStr"/>
      <c r="AB824" t="inlineStr"/>
      <c r="AC824" t="inlineStr"/>
      <c r="AD824" t="inlineStr">
        <is>
          <t>לא נמצא בסריקת המפיצים</t>
        </is>
      </c>
      <c r="AE824" t="inlineStr">
        <is>
          <t>סריקת אתרי מפיצים</t>
        </is>
      </c>
      <c r="AG824" t="inlineStr"/>
      <c r="AH824" t="inlineStr"/>
      <c r="AJ824" t="inlineStr"/>
      <c r="AP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Y825" t="inlineStr">
        <is>
          <t>unknown</t>
        </is>
      </c>
      <c r="Z825" t="inlineStr"/>
      <c r="AA825" t="inlineStr"/>
      <c r="AB825" t="inlineStr"/>
      <c r="AC825" t="inlineStr"/>
      <c r="AD825" t="inlineStr">
        <is>
          <t>לא נמצא בסריקת המפיצים</t>
        </is>
      </c>
      <c r="AE825" t="inlineStr">
        <is>
          <t>סריקת אתרי מפיצים</t>
        </is>
      </c>
      <c r="AG825" t="inlineStr"/>
      <c r="AH825" t="inlineStr"/>
      <c r="AJ825" t="inlineStr"/>
      <c r="AP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t>
        </is>
      </c>
      <c r="J826" t="inlineStr"/>
      <c r="Y826" t="inlineStr">
        <is>
          <t>unknown</t>
        </is>
      </c>
      <c r="Z826" t="inlineStr"/>
      <c r="AA826" t="inlineStr"/>
      <c r="AB826" t="inlineStr"/>
      <c r="AC826" t="inlineStr"/>
      <c r="AD826" t="inlineStr">
        <is>
          <t>לא נמצא בסריקת המפיצים</t>
        </is>
      </c>
      <c r="AE826" t="inlineStr">
        <is>
          <t>סריקת אתרי מפיצים</t>
        </is>
      </c>
      <c r="AG826" t="inlineStr"/>
      <c r="AH826" t="inlineStr"/>
      <c r="AJ826" t="inlineStr"/>
      <c r="AP826" t="inlineStr">
        <is>
          <t>https://www.thomassci.com/browse-by/suppliers/medipurpose</t>
        </is>
      </c>
    </row>
    <row r="827">
      <c r="A827" t="n">
        <v>826</v>
      </c>
      <c r="B827" t="inlineStr">
        <is>
          <t>Medisca</t>
        </is>
      </c>
      <c r="C827" t="inlineStr">
        <is>
          <t>T</t>
        </is>
      </c>
      <c r="E827" t="inlineStr">
        <is>
          <t>https://www.thomassci.com/browse-by/suppliers/medisca</t>
        </is>
      </c>
      <c r="F827" t="inlineStr"/>
      <c r="H827" t="inlineStr">
        <is>
          <t>https://medisca.com</t>
        </is>
      </c>
      <c r="I827" t="inlineStr">
        <is>
          <t>clearbit</t>
        </is>
      </c>
      <c r="J827" t="inlineStr"/>
      <c r="Y827" t="inlineStr">
        <is>
          <t>unknown</t>
        </is>
      </c>
      <c r="Z827" t="inlineStr"/>
      <c r="AA827" t="inlineStr"/>
      <c r="AB827" t="inlineStr"/>
      <c r="AC827" t="inlineStr"/>
      <c r="AD827" t="inlineStr">
        <is>
          <t>לא נמצא בסריקת המפיצים</t>
        </is>
      </c>
      <c r="AE827" t="inlineStr">
        <is>
          <t>סריקת אתרי מפיצים</t>
        </is>
      </c>
      <c r="AG827" t="inlineStr"/>
      <c r="AH827" t="inlineStr"/>
      <c r="AJ827" t="inlineStr"/>
      <c r="AP827" t="inlineStr">
        <is>
          <t>https://www.thomassci.com/browse-by/suppliers/medisca</t>
        </is>
      </c>
    </row>
    <row r="828">
      <c r="A828" t="n">
        <v>827</v>
      </c>
      <c r="B828" t="inlineStr">
        <is>
          <t>MedKoo Biosciences</t>
        </is>
      </c>
      <c r="C828" t="inlineStr">
        <is>
          <t>Q</t>
        </is>
      </c>
      <c r="F828" t="inlineStr">
        <is>
          <t>yes</t>
        </is>
      </c>
      <c r="J828" t="inlineStr"/>
      <c r="Y828" t="inlineStr">
        <is>
          <t>unknown</t>
        </is>
      </c>
      <c r="Z828" t="inlineStr"/>
      <c r="AA828" t="inlineStr"/>
      <c r="AB828" t="inlineStr"/>
      <c r="AC828" t="inlineStr"/>
      <c r="AD828" t="inlineStr">
        <is>
          <t>לא נמצא בסריקת המפיצים</t>
        </is>
      </c>
      <c r="AE828" t="inlineStr">
        <is>
          <t>סריקת אתרי מפיצים</t>
        </is>
      </c>
      <c r="AG828" t="inlineStr"/>
      <c r="AH828" t="inlineStr"/>
      <c r="AJ828" t="inlineStr"/>
      <c r="AP828" t="inlineStr">
        <is>
          <t>https://www.quartzy.com/suppliers</t>
        </is>
      </c>
    </row>
    <row r="829">
      <c r="A829" t="n">
        <v>828</v>
      </c>
      <c r="B829" t="inlineStr">
        <is>
          <t>Medline</t>
        </is>
      </c>
      <c r="C829" t="inlineStr">
        <is>
          <t>T+Q</t>
        </is>
      </c>
      <c r="E829" t="inlineStr">
        <is>
          <t>https://www.thomassci.com/browse-by/suppliers/medline</t>
        </is>
      </c>
      <c r="F829" t="inlineStr">
        <is>
          <t>yes</t>
        </is>
      </c>
      <c r="H829" t="inlineStr">
        <is>
          <t>https://medline.org.ua</t>
        </is>
      </c>
      <c r="I829" t="inlineStr">
        <is>
          <t>clearbit</t>
        </is>
      </c>
      <c r="J829" t="inlineStr"/>
      <c r="Y829" t="inlineStr">
        <is>
          <t>unknown</t>
        </is>
      </c>
      <c r="Z829" t="inlineStr"/>
      <c r="AA829" t="inlineStr"/>
      <c r="AB829" t="inlineStr"/>
      <c r="AC829" t="inlineStr"/>
      <c r="AD829" t="inlineStr">
        <is>
          <t>לא נמצא בסריקת המפיצים</t>
        </is>
      </c>
      <c r="AE829" t="inlineStr">
        <is>
          <t>סריקת אתרי מפיצים</t>
        </is>
      </c>
      <c r="AG829" t="inlineStr"/>
      <c r="AH829" t="inlineStr"/>
      <c r="AJ829" t="inlineStr"/>
      <c r="AP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t>
        </is>
      </c>
      <c r="J830" t="inlineStr"/>
      <c r="Y830" t="inlineStr">
        <is>
          <t>unknown</t>
        </is>
      </c>
      <c r="Z830" t="inlineStr"/>
      <c r="AA830" t="inlineStr"/>
      <c r="AB830" t="inlineStr"/>
      <c r="AC830" t="inlineStr"/>
      <c r="AD830" t="inlineStr">
        <is>
          <t>לא נמצא בסריקת המפיצים</t>
        </is>
      </c>
      <c r="AE830" t="inlineStr">
        <is>
          <t>סריקת אתרי מפיצים</t>
        </is>
      </c>
      <c r="AG830" t="inlineStr"/>
      <c r="AH830" t="inlineStr"/>
      <c r="AJ830" t="inlineStr"/>
      <c r="AP830" t="inlineStr">
        <is>
          <t>https://www.thomassci.com/browse-by/suppliers/medone-surgical</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Y831" t="inlineStr">
        <is>
          <t>unknown</t>
        </is>
      </c>
      <c r="Z831" t="inlineStr"/>
      <c r="AA831" t="inlineStr"/>
      <c r="AB831" t="inlineStr"/>
      <c r="AC831" t="inlineStr"/>
      <c r="AD831" t="inlineStr">
        <is>
          <t>לא נמצא בסריקת המפיצים</t>
        </is>
      </c>
      <c r="AE831" t="inlineStr">
        <is>
          <t>סריקת אתרי מפיצים</t>
        </is>
      </c>
      <c r="AG831" t="inlineStr"/>
      <c r="AH831" t="inlineStr"/>
      <c r="AJ831" t="inlineStr"/>
      <c r="AP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Y832" t="inlineStr">
        <is>
          <t>unknown</t>
        </is>
      </c>
      <c r="Z832" t="inlineStr"/>
      <c r="AA832" t="inlineStr"/>
      <c r="AB832" t="inlineStr"/>
      <c r="AC832" t="inlineStr"/>
      <c r="AD832" t="inlineStr">
        <is>
          <t>לא נמצא בסריקת המפיצים</t>
        </is>
      </c>
      <c r="AE832" t="inlineStr">
        <is>
          <t>סריקת אתרי מפיצים</t>
        </is>
      </c>
      <c r="AG832" t="inlineStr"/>
      <c r="AH832" t="inlineStr"/>
      <c r="AJ832" t="inlineStr"/>
      <c r="AP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P833" t="n">
        <v>550</v>
      </c>
      <c r="Q833" t="n">
        <v>2024</v>
      </c>
      <c r="R833" t="inlineStr">
        <is>
          <t>company</t>
        </is>
      </c>
      <c r="S833" t="inlineStr">
        <is>
          <t>prior</t>
        </is>
      </c>
      <c r="T833" t="n">
        <v>93.2</v>
      </c>
      <c r="U833" t="inlineStr">
        <is>
          <t>EUR 84.7 million</t>
        </is>
      </c>
      <c r="V833" t="inlineStr">
        <is>
          <t>FY2024</t>
        </is>
      </c>
      <c r="W833" t="inlineStr">
        <is>
          <t>company</t>
        </is>
      </c>
      <c r="X833" t="inlineStr">
        <is>
          <t>prior</t>
        </is>
      </c>
      <c r="Y833" t="inlineStr">
        <is>
          <t>mixed</t>
        </is>
      </c>
      <c r="Z833" t="inlineStr">
        <is>
          <t>UN / UF series</t>
        </is>
      </c>
      <c r="AA833" t="inlineStr">
        <is>
          <t>IN / IF / ICO series</t>
        </is>
      </c>
      <c r="AB833" t="inlineStr">
        <is>
          <t>HPP / ICH series</t>
        </is>
      </c>
      <c r="AC833" t="inlineStr">
        <is>
          <t>prior</t>
        </is>
      </c>
      <c r="AD833" t="inlineStr">
        <is>
          <t>מפיץ/נציג בישראל</t>
        </is>
      </c>
      <c r="AE833" t="inlineStr">
        <is>
          <t>אומת</t>
        </is>
      </c>
      <c r="AF833" t="n">
        <v>2026</v>
      </c>
      <c r="AG833" t="inlineStr">
        <is>
          <t>Medent Scientific Instruments</t>
        </is>
      </c>
      <c r="AH833" t="inlineStr">
        <is>
          <t>Medent Scientific Instruments: +972 72-395-0508 (sales); +972 8-683-6306 (service) info@medent.co.il</t>
        </is>
      </c>
      <c r="AI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J833" t="inlineStr">
        <is>
          <t>+49 9122 925-0</t>
        </is>
      </c>
      <c r="AK833" t="inlineStr">
        <is>
          <t>sales@memmert.com</t>
        </is>
      </c>
      <c r="AL833" t="inlineStr">
        <is>
          <t>Äußere Rittersbacher Straße 38, 91126 Schwabach, Germany</t>
        </is>
      </c>
      <c r="AN833" t="inlineStr">
        <is>
          <t>https://arablab.german-pavilion.com/en/sites/exhibitors/145084</t>
        </is>
      </c>
      <c r="AP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Y834" t="inlineStr">
        <is>
          <t>unknown</t>
        </is>
      </c>
      <c r="Z834" t="inlineStr"/>
      <c r="AA834" t="inlineStr"/>
      <c r="AB834" t="inlineStr"/>
      <c r="AC834" t="inlineStr"/>
      <c r="AD834" t="inlineStr">
        <is>
          <t>לא נמצא בסריקת המפיצים</t>
        </is>
      </c>
      <c r="AE834" t="inlineStr">
        <is>
          <t>סריקת אתרי מפיצים</t>
        </is>
      </c>
      <c r="AG834" t="inlineStr"/>
      <c r="AH834" t="inlineStr"/>
      <c r="AJ834" t="inlineStr"/>
      <c r="AP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https://drugsofabusetests.com</t>
        </is>
      </c>
      <c r="I835" t="inlineStr">
        <is>
          <t>clearbit</t>
        </is>
      </c>
      <c r="J835" t="inlineStr"/>
      <c r="Y835" t="inlineStr">
        <is>
          <t>unknown</t>
        </is>
      </c>
      <c r="Z835" t="inlineStr"/>
      <c r="AA835" t="inlineStr"/>
      <c r="AB835" t="inlineStr"/>
      <c r="AC835" t="inlineStr"/>
      <c r="AD835" t="inlineStr">
        <is>
          <t>לא נמצא בסריקת המפיצים</t>
        </is>
      </c>
      <c r="AE835" t="inlineStr">
        <is>
          <t>סריקת אתרי מפיצים</t>
        </is>
      </c>
      <c r="AG835" t="inlineStr"/>
      <c r="AH835" t="inlineStr"/>
      <c r="AJ835" t="inlineStr"/>
      <c r="AP835" t="inlineStr">
        <is>
          <t>https://www.quartzy.com/suppliers | https://www.thomassci.com/browse-by/suppliers/mercedes-medical</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P836" t="n">
        <v>62461</v>
      </c>
      <c r="Q836" t="n">
        <v>2025</v>
      </c>
      <c r="R836" t="inlineStr">
        <is>
          <t>parent</t>
        </is>
      </c>
      <c r="S836" t="inlineStr">
        <is>
          <t>prior</t>
        </is>
      </c>
      <c r="T836" t="n">
        <v>9900</v>
      </c>
      <c r="U836" t="inlineStr">
        <is>
          <t>EUR 9.0 billion</t>
        </is>
      </c>
      <c r="V836" t="inlineStr">
        <is>
          <t>FY2025</t>
        </is>
      </c>
      <c r="W836" t="inlineStr">
        <is>
          <t>segment</t>
        </is>
      </c>
      <c r="X836" t="inlineStr">
        <is>
          <t>prior</t>
        </is>
      </c>
      <c r="Y836" t="inlineStr">
        <is>
          <t>reported</t>
        </is>
      </c>
      <c r="Z836" t="inlineStr">
        <is>
          <t>Milli-Q</t>
        </is>
      </c>
      <c r="AA836" t="inlineStr">
        <is>
          <t>Millipore filtration (Millex, Stericup, Mobius)</t>
        </is>
      </c>
      <c r="AB836" t="inlineStr">
        <is>
          <t>Sigma-Aldrich research chemicals</t>
        </is>
      </c>
      <c r="AC836" t="inlineStr">
        <is>
          <t>prior</t>
        </is>
      </c>
      <c r="AD836" t="inlineStr">
        <is>
          <t>חברה-בת בישראל</t>
        </is>
      </c>
      <c r="AE836" t="inlineStr">
        <is>
          <t>חיפוש חלקי</t>
        </is>
      </c>
      <c r="AF836" t="n">
        <v>2026</v>
      </c>
      <c r="AG836" t="inlineStr">
        <is>
          <t>Sigma-Aldrich Israel Ltd. (affiliate of Merck KGaA, Darmstadt); Mercury Scientific &amp; Industrial Products Ltd. (Gadot group)</t>
        </is>
      </c>
      <c r="AH836" t="inlineStr">
        <is>
          <t>Sigma-Aldrich Israel Ltd. (affiliate of Merck KGaA, Darmstadt): +972-8-9484222 / +972-8-9484100 isrcustserv@merckgroup.com; isrtechserv@merckgroup.com; Mercury Scientific &amp; Industrial Products Ltd. (Gadot group): +972 3-938-7164</t>
        </is>
      </c>
      <c r="AI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36" t="inlineStr">
        <is>
          <t>+972 8 948 4222 / +972 8 948 4100</t>
        </is>
      </c>
      <c r="AK836" t="inlineStr">
        <is>
          <t>isrcustserv@merckgroup.com</t>
        </is>
      </c>
      <c r="AL836" t="inlineStr">
        <is>
          <t>3 Plaut St., Rehovot 7670603, Israel</t>
        </is>
      </c>
      <c r="AM836" t="inlineStr">
        <is>
          <t>https://www.sigmaaldrich.com/collections/offices</t>
        </is>
      </c>
      <c r="AN836" t="inlineStr">
        <is>
          <t>https://www.sigmaaldrich.com/collections/offices</t>
        </is>
      </c>
      <c r="AP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H837" t="inlineStr">
        <is>
          <t>https://mercodia.com</t>
        </is>
      </c>
      <c r="I837" t="inlineStr">
        <is>
          <t>clearbit</t>
        </is>
      </c>
      <c r="J837" t="inlineStr"/>
      <c r="Y837" t="inlineStr">
        <is>
          <t>unknown</t>
        </is>
      </c>
      <c r="Z837" t="inlineStr"/>
      <c r="AA837" t="inlineStr"/>
      <c r="AB837" t="inlineStr"/>
      <c r="AC837" t="inlineStr"/>
      <c r="AD837" t="inlineStr">
        <is>
          <t>לא נמצא בסריקת המפיצים</t>
        </is>
      </c>
      <c r="AE837" t="inlineStr">
        <is>
          <t>סריקת אתרי מפיצים</t>
        </is>
      </c>
      <c r="AG837" t="inlineStr"/>
      <c r="AH837" t="inlineStr"/>
      <c r="AJ837" t="inlineStr"/>
      <c r="AP837" t="inlineStr">
        <is>
          <t>https://www.quartzy.com/suppliers</t>
        </is>
      </c>
    </row>
    <row r="838">
      <c r="A838" t="n">
        <v>837</v>
      </c>
      <c r="B838" t="inlineStr">
        <is>
          <t>Meridian (Bioline)</t>
        </is>
      </c>
      <c r="C838" t="inlineStr">
        <is>
          <t>T</t>
        </is>
      </c>
      <c r="E838" t="inlineStr">
        <is>
          <t>https://www.thomassci.com/browse-by/suppliers/meridian-bioline</t>
        </is>
      </c>
      <c r="F838" t="inlineStr"/>
      <c r="J838" t="inlineStr"/>
      <c r="Y838" t="inlineStr">
        <is>
          <t>unknown</t>
        </is>
      </c>
      <c r="Z838" t="inlineStr"/>
      <c r="AA838" t="inlineStr"/>
      <c r="AB838" t="inlineStr"/>
      <c r="AC838" t="inlineStr"/>
      <c r="AD838" t="inlineStr">
        <is>
          <t>לא נמצא בסריקת המפיצים</t>
        </is>
      </c>
      <c r="AE838" t="inlineStr">
        <is>
          <t>סריקת אתרי מפיצים</t>
        </is>
      </c>
      <c r="AG838" t="inlineStr"/>
      <c r="AH838" t="inlineStr"/>
      <c r="AJ838" t="inlineStr"/>
      <c r="AP838" t="inlineStr">
        <is>
          <t>https://www.thomassci.com/browse-by/suppliers/meridian-bioline</t>
        </is>
      </c>
    </row>
    <row r="839">
      <c r="A839" t="n">
        <v>838</v>
      </c>
      <c r="B839" t="inlineStr">
        <is>
          <t>Meridian Life Science</t>
        </is>
      </c>
      <c r="C839" t="inlineStr">
        <is>
          <t>Q</t>
        </is>
      </c>
      <c r="F839" t="inlineStr">
        <is>
          <t>yes</t>
        </is>
      </c>
      <c r="J839" t="inlineStr"/>
      <c r="Y839" t="inlineStr">
        <is>
          <t>unknown</t>
        </is>
      </c>
      <c r="Z839" t="inlineStr"/>
      <c r="AA839" t="inlineStr"/>
      <c r="AB839" t="inlineStr"/>
      <c r="AC839" t="inlineStr"/>
      <c r="AD839" t="inlineStr">
        <is>
          <t>לא נמצא בסריקת המפיצים</t>
        </is>
      </c>
      <c r="AE839" t="inlineStr">
        <is>
          <t>סריקת אתרי מפיצים</t>
        </is>
      </c>
      <c r="AG839" t="inlineStr"/>
      <c r="AH839" t="inlineStr"/>
      <c r="AJ839" t="inlineStr"/>
      <c r="AP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t>
        </is>
      </c>
      <c r="J840" t="inlineStr"/>
      <c r="Y840" t="inlineStr">
        <is>
          <t>unknown</t>
        </is>
      </c>
      <c r="Z840" t="inlineStr"/>
      <c r="AA840" t="inlineStr"/>
      <c r="AB840" t="inlineStr"/>
      <c r="AC840" t="inlineStr"/>
      <c r="AD840" t="inlineStr">
        <is>
          <t>לא נמצא בסריקת המפיצים</t>
        </is>
      </c>
      <c r="AE840" t="inlineStr">
        <is>
          <t>סריקת אתרי מפיצים</t>
        </is>
      </c>
      <c r="AG840" t="inlineStr"/>
      <c r="AH840" t="inlineStr"/>
      <c r="AJ840" t="inlineStr"/>
      <c r="AP840" t="inlineStr">
        <is>
          <t>https://www.thomassci.com/browse-by/suppliers/merit-pharmaceutical</t>
        </is>
      </c>
    </row>
    <row r="841">
      <c r="A841" t="n">
        <v>840</v>
      </c>
      <c r="B841" t="inlineStr">
        <is>
          <t>Meritech</t>
        </is>
      </c>
      <c r="C841" t="inlineStr">
        <is>
          <t>T</t>
        </is>
      </c>
      <c r="E841" t="inlineStr">
        <is>
          <t>https://www.thomassci.com/browse-by/suppliers/meritech</t>
        </is>
      </c>
      <c r="F841" t="inlineStr"/>
      <c r="H841" t="inlineStr">
        <is>
          <t>https://meritech.com</t>
        </is>
      </c>
      <c r="I841" t="inlineStr">
        <is>
          <t>clearbit</t>
        </is>
      </c>
      <c r="J841" t="inlineStr"/>
      <c r="Y841" t="inlineStr">
        <is>
          <t>unknown</t>
        </is>
      </c>
      <c r="Z841" t="inlineStr"/>
      <c r="AA841" t="inlineStr"/>
      <c r="AB841" t="inlineStr"/>
      <c r="AC841" t="inlineStr"/>
      <c r="AD841" t="inlineStr">
        <is>
          <t>לא נמצא בסריקת המפיצים</t>
        </is>
      </c>
      <c r="AE841" t="inlineStr">
        <is>
          <t>סריקת אתרי מפיצים</t>
        </is>
      </c>
      <c r="AG841" t="inlineStr"/>
      <c r="AH841" t="inlineStr"/>
      <c r="AJ841" t="inlineStr"/>
      <c r="AP841" t="inlineStr">
        <is>
          <t>https://www.thomassci.com/browse-by/suppliers/meritech</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t>
        </is>
      </c>
      <c r="J842" t="inlineStr"/>
      <c r="Y842" t="inlineStr">
        <is>
          <t>unknown</t>
        </is>
      </c>
      <c r="Z842" t="inlineStr"/>
      <c r="AA842" t="inlineStr"/>
      <c r="AB842" t="inlineStr"/>
      <c r="AC842" t="inlineStr"/>
      <c r="AD842" t="inlineStr">
        <is>
          <t>לא נמצא בסריקת המפיצים</t>
        </is>
      </c>
      <c r="AE842" t="inlineStr">
        <is>
          <t>סריקת אתרי מפיצים</t>
        </is>
      </c>
      <c r="AG842" t="inlineStr"/>
      <c r="AH842" t="inlineStr"/>
      <c r="AJ842" t="inlineStr"/>
      <c r="AP842" t="inlineStr">
        <is>
          <t>https://www.thomassci.com/browse-by/suppliers/mesa-labs</t>
        </is>
      </c>
    </row>
    <row r="843">
      <c r="A843" t="n">
        <v>842</v>
      </c>
      <c r="B843" t="inlineStr">
        <is>
          <t>Metal Technology</t>
        </is>
      </c>
      <c r="C843" t="inlineStr">
        <is>
          <t>T</t>
        </is>
      </c>
      <c r="E843" t="inlineStr">
        <is>
          <t>https://www.thomassci.com/browse-by/suppliers/metal-technology</t>
        </is>
      </c>
      <c r="F843" t="inlineStr"/>
      <c r="H843" t="inlineStr">
        <is>
          <t>https://metaltechnology.com</t>
        </is>
      </c>
      <c r="I843" t="inlineStr">
        <is>
          <t>clearbit</t>
        </is>
      </c>
      <c r="J843" t="inlineStr"/>
      <c r="Y843" t="inlineStr">
        <is>
          <t>unknown</t>
        </is>
      </c>
      <c r="Z843" t="inlineStr"/>
      <c r="AA843" t="inlineStr"/>
      <c r="AB843" t="inlineStr"/>
      <c r="AC843" t="inlineStr"/>
      <c r="AD843" t="inlineStr">
        <is>
          <t>לא נמצא בסריקת המפיצים</t>
        </is>
      </c>
      <c r="AE843" t="inlineStr">
        <is>
          <t>סריקת אתרי מפיצים</t>
        </is>
      </c>
      <c r="AG843" t="inlineStr"/>
      <c r="AH843" t="inlineStr"/>
      <c r="AJ843" t="inlineStr"/>
      <c r="AP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Y844" t="inlineStr">
        <is>
          <t>unknown</t>
        </is>
      </c>
      <c r="Z844" t="inlineStr"/>
      <c r="AA844" t="inlineStr"/>
      <c r="AB844" t="inlineStr"/>
      <c r="AC844" t="inlineStr"/>
      <c r="AD844" t="inlineStr">
        <is>
          <t>לא נמצא בסריקת המפיצים</t>
        </is>
      </c>
      <c r="AE844" t="inlineStr">
        <is>
          <t>סריקת אתרי מפיצים</t>
        </is>
      </c>
      <c r="AG844" t="inlineStr"/>
      <c r="AH844" t="inlineStr"/>
      <c r="AJ844" t="inlineStr"/>
      <c r="AP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t>
        </is>
      </c>
      <c r="J845" t="inlineStr"/>
      <c r="Y845" t="inlineStr">
        <is>
          <t>unknown</t>
        </is>
      </c>
      <c r="Z845" t="inlineStr"/>
      <c r="AA845" t="inlineStr"/>
      <c r="AB845" t="inlineStr"/>
      <c r="AC845" t="inlineStr"/>
      <c r="AD845" t="inlineStr">
        <is>
          <t>לא נמצא בסריקת המפיצים</t>
        </is>
      </c>
      <c r="AE845" t="inlineStr">
        <is>
          <t>סריקת אתרי מפיצים</t>
        </is>
      </c>
      <c r="AG845" t="inlineStr"/>
      <c r="AH845" t="inlineStr"/>
      <c r="AJ845" t="inlineStr"/>
      <c r="AP845" t="inlineStr">
        <is>
          <t>https://www.thomassci.com/browse-by/suppliers/metrex</t>
        </is>
      </c>
    </row>
    <row r="846">
      <c r="A846" t="n">
        <v>845</v>
      </c>
      <c r="B846" t="inlineStr">
        <is>
          <t>Metrex Research Corporation</t>
        </is>
      </c>
      <c r="C846" t="inlineStr">
        <is>
          <t>T</t>
        </is>
      </c>
      <c r="E846" t="inlineStr">
        <is>
          <t>https://www.thomassci.com/browse-by/suppliers/metrex-research-corporation</t>
        </is>
      </c>
      <c r="F846" t="inlineStr"/>
      <c r="J846" t="inlineStr"/>
      <c r="Y846" t="inlineStr">
        <is>
          <t>unknown</t>
        </is>
      </c>
      <c r="Z846" t="inlineStr"/>
      <c r="AA846" t="inlineStr"/>
      <c r="AB846" t="inlineStr"/>
      <c r="AC846" t="inlineStr"/>
      <c r="AD846" t="inlineStr">
        <is>
          <t>לא נמצא בסריקת המפיצים</t>
        </is>
      </c>
      <c r="AE846" t="inlineStr">
        <is>
          <t>סריקת אתרי מפיצים</t>
        </is>
      </c>
      <c r="AG846" t="inlineStr"/>
      <c r="AH846" t="inlineStr"/>
      <c r="AJ846" t="inlineStr"/>
      <c r="AP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Swiss scientific instrument company</t>
        </is>
      </c>
      <c r="P847" t="n">
        <v>3200</v>
      </c>
      <c r="Q847" t="n">
        <v>2024</v>
      </c>
      <c r="R847" t="inlineStr">
        <is>
          <t>company</t>
        </is>
      </c>
      <c r="S847" t="inlineStr">
        <is>
          <t>prior</t>
        </is>
      </c>
      <c r="T847" t="n">
        <v>640</v>
      </c>
      <c r="U847" t="inlineStr">
        <is>
          <t>CHF ~550 million (trade estimate; foundation-owned)</t>
        </is>
      </c>
      <c r="V847" t="inlineStr">
        <is>
          <t>2024 (estimate)</t>
        </is>
      </c>
      <c r="W847" t="inlineStr">
        <is>
          <t>estimate</t>
        </is>
      </c>
      <c r="X847" t="inlineStr">
        <is>
          <t>prior</t>
        </is>
      </c>
      <c r="Y847" t="inlineStr">
        <is>
          <t>mixed</t>
        </is>
      </c>
      <c r="Z847" t="inlineStr">
        <is>
          <t>OMNIS</t>
        </is>
      </c>
      <c r="AA847" t="inlineStr">
        <is>
          <t>940 Professional IC Vario / Eco IC</t>
        </is>
      </c>
      <c r="AB847" t="inlineStr">
        <is>
          <t>Autolab PGSTAT204 / PGSTAT302N</t>
        </is>
      </c>
      <c r="AC847" t="inlineStr">
        <is>
          <t>prior</t>
        </is>
      </c>
      <c r="AD847" t="inlineStr">
        <is>
          <t>מפיץ/נציג בישראל</t>
        </is>
      </c>
      <c r="AE847" t="inlineStr">
        <is>
          <t>אומת</t>
        </is>
      </c>
      <c r="AF847" t="n">
        <v>2025</v>
      </c>
      <c r="AG847" t="inlineStr">
        <is>
          <t>Israel Scientific Instruments Ltd. (ISI)</t>
        </is>
      </c>
      <c r="AH847" t="inlineStr">
        <is>
          <t>Israel Scientific Instruments Ltd. (ISI): +972 3-923-2202 info@isil.co.il</t>
        </is>
      </c>
      <c r="AI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J847" t="inlineStr">
        <is>
          <t>+41 71 353 85 85</t>
        </is>
      </c>
      <c r="AK847" t="inlineStr">
        <is>
          <t>info@metrohm.com</t>
        </is>
      </c>
      <c r="AL847" t="inlineStr">
        <is>
          <t>Ionenstrasse, 9100 Herisau, Switzerland</t>
        </is>
      </c>
      <c r="AM847" t="inlineStr">
        <is>
          <t>https://www.metrohm.com/en/company/how-to-find-us.html</t>
        </is>
      </c>
      <c r="AN847" t="inlineStr">
        <is>
          <t>https://www.metrohm.com/en/Company-info.html</t>
        </is>
      </c>
      <c r="AO847" t="inlineStr">
        <is>
          <t>Q1925733</t>
        </is>
      </c>
      <c r="AP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public company</t>
        </is>
      </c>
      <c r="P848" t="n">
        <v>18100</v>
      </c>
      <c r="Q848" t="n">
        <v>2025</v>
      </c>
      <c r="R848" t="inlineStr">
        <is>
          <t>company</t>
        </is>
      </c>
      <c r="S848" t="inlineStr">
        <is>
          <t>prior</t>
        </is>
      </c>
      <c r="T848" t="n">
        <v>4026</v>
      </c>
      <c r="U848" t="inlineStr">
        <is>
          <t>USD 4.026 billion</t>
        </is>
      </c>
      <c r="V848" t="inlineStr">
        <is>
          <t>FY2025</t>
        </is>
      </c>
      <c r="W848" t="inlineStr">
        <is>
          <t>company</t>
        </is>
      </c>
      <c r="X848" t="inlineStr">
        <is>
          <t>prior</t>
        </is>
      </c>
      <c r="Y848" t="inlineStr">
        <is>
          <t>reported</t>
        </is>
      </c>
      <c r="Z848" t="inlineStr">
        <is>
          <t>XPR analytical &amp; micro balances</t>
        </is>
      </c>
      <c r="AA848" t="inlineStr">
        <is>
          <t>Rainin Pipet-Lite XLS / E4 XLS</t>
        </is>
      </c>
      <c r="AB848" t="inlineStr">
        <is>
          <t>Excellence Titrators &amp; SevenExcellence meters</t>
        </is>
      </c>
      <c r="AC848" t="inlineStr">
        <is>
          <t>prior</t>
        </is>
      </c>
      <c r="AD848" t="inlineStr">
        <is>
          <t>מפיץ/נציג בישראל</t>
        </is>
      </c>
      <c r="AE848" t="inlineStr">
        <is>
          <t>אומת</t>
        </is>
      </c>
      <c r="AF848" t="n">
        <v>2026</v>
      </c>
      <c r="AG848" t="inlineStr">
        <is>
          <t>Agentek (1987) Ltd.; Modcon Systems Ltd.; Dinco Ltd.</t>
        </is>
      </c>
      <c r="AH848" t="inlineStr">
        <is>
          <t>Agentek (1987) Ltd.: +972 9-965-7000; Modcon Systems Ltd.: +972-4-9553955; Dinco Ltd.:</t>
        </is>
      </c>
      <c r="AI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848" t="inlineStr">
        <is>
          <t>+1 614-438-4511</t>
        </is>
      </c>
      <c r="AL848" t="inlineStr">
        <is>
          <t>1900 Polaris Parkway, Columbus, OH 43240, USA</t>
        </is>
      </c>
      <c r="AN848" t="inlineStr">
        <is>
          <t>https://s202.q4cdn.com/258391627/files/doc_financials/2014-Annual-Report.pdf</t>
        </is>
      </c>
      <c r="AO848" t="inlineStr">
        <is>
          <t>Q680186</t>
        </is>
      </c>
      <c r="AP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t>
        </is>
      </c>
      <c r="J849" t="inlineStr"/>
      <c r="Y849" t="inlineStr">
        <is>
          <t>unknown</t>
        </is>
      </c>
      <c r="Z849" t="inlineStr"/>
      <c r="AA849" t="inlineStr"/>
      <c r="AB849" t="inlineStr"/>
      <c r="AC849" t="inlineStr"/>
      <c r="AD849" t="inlineStr">
        <is>
          <t>לא נמצא בסריקת המפיצים</t>
        </is>
      </c>
      <c r="AE849" t="inlineStr">
        <is>
          <t>סריקת אתרי מפיצים</t>
        </is>
      </c>
      <c r="AG849" t="inlineStr"/>
      <c r="AH849" t="inlineStr"/>
      <c r="AJ849" t="inlineStr"/>
      <c r="AP849" t="inlineStr">
        <is>
          <t>https://www.thomassci.com/browse-by/suppliers/mhc-medical-products</t>
        </is>
      </c>
    </row>
    <row r="850">
      <c r="A850" t="n">
        <v>849</v>
      </c>
      <c r="B850" t="inlineStr">
        <is>
          <t>Micro Essential</t>
        </is>
      </c>
      <c r="C850" t="inlineStr">
        <is>
          <t>T</t>
        </is>
      </c>
      <c r="E850" t="inlineStr">
        <is>
          <t>https://www.thomassci.com/browse-by/suppliers/micro-essential</t>
        </is>
      </c>
      <c r="F850" t="inlineStr"/>
      <c r="J850" t="inlineStr"/>
      <c r="Y850" t="inlineStr">
        <is>
          <t>unknown</t>
        </is>
      </c>
      <c r="Z850" t="inlineStr"/>
      <c r="AA850" t="inlineStr"/>
      <c r="AB850" t="inlineStr"/>
      <c r="AC850" t="inlineStr"/>
      <c r="AD850" t="inlineStr">
        <is>
          <t>לא נמצא בסריקת המפיצים</t>
        </is>
      </c>
      <c r="AE850" t="inlineStr">
        <is>
          <t>סריקת אתרי מפיצים</t>
        </is>
      </c>
      <c r="AG850" t="inlineStr"/>
      <c r="AH850" t="inlineStr"/>
      <c r="AJ850" t="inlineStr"/>
      <c r="AP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t>
        </is>
      </c>
      <c r="J851" t="inlineStr"/>
      <c r="Y851" t="inlineStr">
        <is>
          <t>unknown</t>
        </is>
      </c>
      <c r="Z851" t="inlineStr"/>
      <c r="AA851" t="inlineStr"/>
      <c r="AB851" t="inlineStr"/>
      <c r="AC851" t="inlineStr"/>
      <c r="AD851" t="inlineStr">
        <is>
          <t>לא נמצא בסריקת המפיצים</t>
        </is>
      </c>
      <c r="AE851" t="inlineStr">
        <is>
          <t>סריקת אתרי מפיצים</t>
        </is>
      </c>
      <c r="AG851" t="inlineStr"/>
      <c r="AH851" t="inlineStr"/>
      <c r="AJ851" t="inlineStr"/>
      <c r="AP851" t="inlineStr">
        <is>
          <t>https://www.thomassci.com/browse-by/suppliers/micro-scientific</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t>
        </is>
      </c>
      <c r="J852" t="inlineStr"/>
      <c r="Y852" t="inlineStr">
        <is>
          <t>unknown</t>
        </is>
      </c>
      <c r="Z852" t="inlineStr"/>
      <c r="AA852" t="inlineStr"/>
      <c r="AB852" t="inlineStr"/>
      <c r="AC852" t="inlineStr"/>
      <c r="AD852" t="inlineStr">
        <is>
          <t>לא נמצא בסריקת המפיצים</t>
        </is>
      </c>
      <c r="AE852" t="inlineStr">
        <is>
          <t>סריקת אתרי מפיצים</t>
        </is>
      </c>
      <c r="AG852" t="inlineStr"/>
      <c r="AH852" t="inlineStr"/>
      <c r="AJ852" t="inlineStr"/>
      <c r="AP852" t="inlineStr">
        <is>
          <t>https://www.thomassci.com/browse-by/suppliers/microbio-products</t>
        </is>
      </c>
    </row>
    <row r="853">
      <c r="A853" t="n">
        <v>852</v>
      </c>
      <c r="B853" t="inlineStr">
        <is>
          <t>MicroCare Corp</t>
        </is>
      </c>
      <c r="C853" t="inlineStr">
        <is>
          <t>T</t>
        </is>
      </c>
      <c r="E853" t="inlineStr">
        <is>
          <t>https://www.thomassci.com/browse-by/suppliers/microcare-corp</t>
        </is>
      </c>
      <c r="F853" t="inlineStr"/>
      <c r="J853" t="inlineStr"/>
      <c r="Y853" t="inlineStr">
        <is>
          <t>unknown</t>
        </is>
      </c>
      <c r="Z853" t="inlineStr"/>
      <c r="AA853" t="inlineStr"/>
      <c r="AB853" t="inlineStr"/>
      <c r="AC853" t="inlineStr"/>
      <c r="AD853" t="inlineStr">
        <is>
          <t>לא נמצא בסריקת המפיצים</t>
        </is>
      </c>
      <c r="AE853" t="inlineStr">
        <is>
          <t>סריקת אתרי מפיצים</t>
        </is>
      </c>
      <c r="AG853" t="inlineStr"/>
      <c r="AH853" t="inlineStr"/>
      <c r="AJ853" t="inlineStr"/>
      <c r="AP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t>
        </is>
      </c>
      <c r="J854" t="inlineStr"/>
      <c r="Y854" t="inlineStr">
        <is>
          <t>unknown</t>
        </is>
      </c>
      <c r="Z854" t="inlineStr"/>
      <c r="AA854" t="inlineStr"/>
      <c r="AB854" t="inlineStr"/>
      <c r="AC854" t="inlineStr"/>
      <c r="AD854" t="inlineStr">
        <is>
          <t>לא נמצא בסריקת המפיצים</t>
        </is>
      </c>
      <c r="AE854" t="inlineStr">
        <is>
          <t>סריקת אתרי מפיצים</t>
        </is>
      </c>
      <c r="AG854" t="inlineStr"/>
      <c r="AH854" t="inlineStr"/>
      <c r="AJ854" t="inlineStr"/>
      <c r="AP854" t="inlineStr">
        <is>
          <t>https://www.dutscher.com/search?initialFilters=brand:Microflex | https://www.thomassci.com/browse-by/suppliers/microflex</t>
        </is>
      </c>
    </row>
    <row r="855">
      <c r="A855" t="n">
        <v>854</v>
      </c>
      <c r="B855" t="inlineStr">
        <is>
          <t>Microlit USA</t>
        </is>
      </c>
      <c r="C855" t="inlineStr">
        <is>
          <t>T+Q</t>
        </is>
      </c>
      <c r="E855" t="inlineStr">
        <is>
          <t>https://www.thomassci.com/browse-by/suppliers/microlit-usa</t>
        </is>
      </c>
      <c r="F855" t="inlineStr">
        <is>
          <t>yes</t>
        </is>
      </c>
      <c r="J855" t="inlineStr"/>
      <c r="Y855" t="inlineStr">
        <is>
          <t>unknown</t>
        </is>
      </c>
      <c r="Z855" t="inlineStr"/>
      <c r="AA855" t="inlineStr"/>
      <c r="AB855" t="inlineStr"/>
      <c r="AC855" t="inlineStr"/>
      <c r="AD855" t="inlineStr">
        <is>
          <t>לא נמצא בסריקת המפיצים</t>
        </is>
      </c>
      <c r="AE855" t="inlineStr">
        <is>
          <t>סריקת אתרי מפיצים</t>
        </is>
      </c>
      <c r="AG855" t="inlineStr"/>
      <c r="AH855" t="inlineStr"/>
      <c r="AJ855" t="inlineStr"/>
      <c r="AP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Y856" t="inlineStr">
        <is>
          <t>unknown</t>
        </is>
      </c>
      <c r="Z856" t="inlineStr"/>
      <c r="AA856" t="inlineStr"/>
      <c r="AB856" t="inlineStr"/>
      <c r="AC856" t="inlineStr"/>
      <c r="AD856" t="inlineStr">
        <is>
          <t>לא נמצא בסריקת המפיצים</t>
        </is>
      </c>
      <c r="AE856" t="inlineStr">
        <is>
          <t>סריקת אתרי מפיצים</t>
        </is>
      </c>
      <c r="AG856" t="inlineStr"/>
      <c r="AH856" t="inlineStr"/>
      <c r="AJ856" t="inlineStr"/>
      <c r="AP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t>
        </is>
      </c>
      <c r="J857" t="inlineStr"/>
      <c r="Y857" t="inlineStr">
        <is>
          <t>unknown</t>
        </is>
      </c>
      <c r="Z857" t="inlineStr"/>
      <c r="AA857" t="inlineStr"/>
      <c r="AB857" t="inlineStr"/>
      <c r="AC857" t="inlineStr"/>
      <c r="AD857" t="inlineStr">
        <is>
          <t>לא נמצא בסריקת המפיצים</t>
        </is>
      </c>
      <c r="AE857" t="inlineStr">
        <is>
          <t>סריקת אתרי מפיצים</t>
        </is>
      </c>
      <c r="AG857" t="inlineStr"/>
      <c r="AH857" t="inlineStr"/>
      <c r="AJ857" t="inlineStr"/>
      <c r="AP857" t="inlineStr">
        <is>
          <t>https://www.dutscher.com/search?initialFilters=brand:Micronic</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t>
        </is>
      </c>
      <c r="J858" t="inlineStr"/>
      <c r="Y858" t="inlineStr">
        <is>
          <t>unknown</t>
        </is>
      </c>
      <c r="Z858" t="inlineStr"/>
      <c r="AA858" t="inlineStr"/>
      <c r="AB858" t="inlineStr"/>
      <c r="AC858" t="inlineStr"/>
      <c r="AD858" t="inlineStr">
        <is>
          <t>לא נמצא בסריקת המפיצים</t>
        </is>
      </c>
      <c r="AE858" t="inlineStr">
        <is>
          <t>סריקת אתרי מפיצים</t>
        </is>
      </c>
      <c r="AG858" t="inlineStr"/>
      <c r="AH858" t="inlineStr"/>
      <c r="AJ858" t="inlineStr"/>
      <c r="AP858" t="inlineStr">
        <is>
          <t>https://www.thomassci.com/browse-by/suppliers/micronova-manufacturing</t>
        </is>
      </c>
    </row>
    <row r="859">
      <c r="A859" t="n">
        <v>858</v>
      </c>
      <c r="B859" t="inlineStr">
        <is>
          <t>Microscope.com</t>
        </is>
      </c>
      <c r="C859" t="inlineStr">
        <is>
          <t>Q</t>
        </is>
      </c>
      <c r="F859" t="inlineStr">
        <is>
          <t>yes</t>
        </is>
      </c>
      <c r="H859" t="inlineStr">
        <is>
          <t>https://microscope.com</t>
        </is>
      </c>
      <c r="I859" t="inlineStr">
        <is>
          <t>clearbit</t>
        </is>
      </c>
      <c r="J859" t="inlineStr"/>
      <c r="Y859" t="inlineStr">
        <is>
          <t>unknown</t>
        </is>
      </c>
      <c r="Z859" t="inlineStr"/>
      <c r="AA859" t="inlineStr"/>
      <c r="AB859" t="inlineStr"/>
      <c r="AC859" t="inlineStr"/>
      <c r="AD859" t="inlineStr">
        <is>
          <t>לא נמצא בסריקת המפיצים</t>
        </is>
      </c>
      <c r="AE859" t="inlineStr">
        <is>
          <t>סריקת אתרי מפיצים</t>
        </is>
      </c>
      <c r="AG859" t="inlineStr"/>
      <c r="AH859" t="inlineStr"/>
      <c r="AJ859" t="inlineStr"/>
      <c r="AP859" t="inlineStr">
        <is>
          <t>https://www.quartzy.com/suppliers</t>
        </is>
      </c>
    </row>
    <row r="860">
      <c r="A860" t="n">
        <v>859</v>
      </c>
      <c r="B860" t="inlineStr">
        <is>
          <t>MicroSolv Technology</t>
        </is>
      </c>
      <c r="C860" t="inlineStr">
        <is>
          <t>Q</t>
        </is>
      </c>
      <c r="F860" t="inlineStr">
        <is>
          <t>yes</t>
        </is>
      </c>
      <c r="H860" t="inlineStr">
        <is>
          <t>https://mtc-usa.com</t>
        </is>
      </c>
      <c r="I860" t="inlineStr">
        <is>
          <t>clearbit</t>
        </is>
      </c>
      <c r="J860" t="inlineStr"/>
      <c r="Y860" t="inlineStr">
        <is>
          <t>unknown</t>
        </is>
      </c>
      <c r="Z860" t="inlineStr"/>
      <c r="AA860" t="inlineStr"/>
      <c r="AB860" t="inlineStr"/>
      <c r="AC860" t="inlineStr"/>
      <c r="AD860" t="inlineStr">
        <is>
          <t>לא נמצא בסריקת המפיצים</t>
        </is>
      </c>
      <c r="AE860" t="inlineStr">
        <is>
          <t>סריקת אתרי מפיצים</t>
        </is>
      </c>
      <c r="AG860" t="inlineStr"/>
      <c r="AH860" t="inlineStr"/>
      <c r="AJ860" t="inlineStr"/>
      <c r="AP860" t="inlineStr">
        <is>
          <t>https://www.quartzy.com/suppliers</t>
        </is>
      </c>
    </row>
    <row r="861">
      <c r="A861" t="n">
        <v>860</v>
      </c>
      <c r="B861" t="inlineStr">
        <is>
          <t>MIDSCI</t>
        </is>
      </c>
      <c r="C861" t="inlineStr">
        <is>
          <t>Q</t>
        </is>
      </c>
      <c r="F861" t="inlineStr">
        <is>
          <t>yes</t>
        </is>
      </c>
      <c r="H861" t="inlineStr">
        <is>
          <t>https://midsci.com</t>
        </is>
      </c>
      <c r="I861" t="inlineStr">
        <is>
          <t>clearbit</t>
        </is>
      </c>
      <c r="J861" t="inlineStr"/>
      <c r="Y861" t="inlineStr">
        <is>
          <t>unknown</t>
        </is>
      </c>
      <c r="Z861" t="inlineStr"/>
      <c r="AA861" t="inlineStr"/>
      <c r="AB861" t="inlineStr"/>
      <c r="AC861" t="inlineStr"/>
      <c r="AD861" t="inlineStr">
        <is>
          <t>לא נמצא בסריקת המפיצים</t>
        </is>
      </c>
      <c r="AE861" t="inlineStr">
        <is>
          <t>סריקת אתרי מפיצים</t>
        </is>
      </c>
      <c r="AG861" t="inlineStr"/>
      <c r="AH861" t="inlineStr"/>
      <c r="AJ861" t="inlineStr"/>
      <c r="AP861" t="inlineStr">
        <is>
          <t>https://www.quartzy.com/suppliers</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https://miele.com</t>
        </is>
      </c>
      <c r="I862" t="inlineStr">
        <is>
          <t>clearbit</t>
        </is>
      </c>
      <c r="J862" t="inlineStr"/>
      <c r="Y862" t="inlineStr">
        <is>
          <t>unknown</t>
        </is>
      </c>
      <c r="Z862" t="inlineStr"/>
      <c r="AA862" t="inlineStr"/>
      <c r="AB862" t="inlineStr"/>
      <c r="AC862" t="inlineStr"/>
      <c r="AD862" t="inlineStr">
        <is>
          <t>לא נמצא בסריקת המפיצים</t>
        </is>
      </c>
      <c r="AE862" t="inlineStr">
        <is>
          <t>סריקת אתרי מפיצים</t>
        </is>
      </c>
      <c r="AG862" t="inlineStr"/>
      <c r="AH862" t="inlineStr"/>
      <c r="AJ862" t="inlineStr"/>
      <c r="AP862" t="inlineStr">
        <is>
          <t>https://www.dutscher.com/search?initialFilters=brand:Miele | https://www.thomassci.com/browse-by/suppliers/miele</t>
        </is>
      </c>
    </row>
    <row r="863">
      <c r="A863" t="n">
        <v>862</v>
      </c>
      <c r="B863" t="inlineStr">
        <is>
          <t>Miles Scientific (Analtech)</t>
        </is>
      </c>
      <c r="C863" t="inlineStr">
        <is>
          <t>T</t>
        </is>
      </c>
      <c r="E863" t="inlineStr">
        <is>
          <t>https://www.thomassci.com/browse-by/suppliers/miles-scientific-analtech</t>
        </is>
      </c>
      <c r="F863" t="inlineStr"/>
      <c r="J863" t="inlineStr"/>
      <c r="Y863" t="inlineStr">
        <is>
          <t>unknown</t>
        </is>
      </c>
      <c r="Z863" t="inlineStr"/>
      <c r="AA863" t="inlineStr"/>
      <c r="AB863" t="inlineStr"/>
      <c r="AC863" t="inlineStr"/>
      <c r="AD863" t="inlineStr">
        <is>
          <t>לא נמצא בסריקת המפיצים</t>
        </is>
      </c>
      <c r="AE863" t="inlineStr">
        <is>
          <t>סריקת אתרי מפיצים</t>
        </is>
      </c>
      <c r="AG863" t="inlineStr"/>
      <c r="AH863" t="inlineStr"/>
      <c r="AJ863" t="inlineStr"/>
      <c r="AP863" t="inlineStr">
        <is>
          <t>https://www.thomassci.com/browse-by/suppliers/miles-scientific-analtech</t>
        </is>
      </c>
    </row>
    <row r="864">
      <c r="A864" t="n">
        <v>863</v>
      </c>
      <c r="B864" t="inlineStr">
        <is>
          <t>Miller by Honeywell</t>
        </is>
      </c>
      <c r="C864" t="inlineStr">
        <is>
          <t>T</t>
        </is>
      </c>
      <c r="E864" t="inlineStr">
        <is>
          <t>https://www.thomassci.com/browse-by/suppliers/miller-by-honeywell</t>
        </is>
      </c>
      <c r="F864" t="inlineStr"/>
      <c r="J864" t="inlineStr"/>
      <c r="Y864" t="inlineStr">
        <is>
          <t>unknown</t>
        </is>
      </c>
      <c r="Z864" t="inlineStr"/>
      <c r="AA864" t="inlineStr"/>
      <c r="AB864" t="inlineStr"/>
      <c r="AC864" t="inlineStr"/>
      <c r="AD864" t="inlineStr">
        <is>
          <t>לא נמצא בסריקת המפיצים</t>
        </is>
      </c>
      <c r="AE864" t="inlineStr">
        <is>
          <t>סריקת אתרי מפיצים</t>
        </is>
      </c>
      <c r="AG864" t="inlineStr"/>
      <c r="AH864" t="inlineStr"/>
      <c r="AJ864" t="inlineStr"/>
      <c r="AP864" t="inlineStr">
        <is>
          <t>https://www.thomassci.com/browse-by/suppliers/miller-by-honeywell</t>
        </is>
      </c>
    </row>
    <row r="865">
      <c r="A865" t="n">
        <v>864</v>
      </c>
      <c r="B865" t="inlineStr">
        <is>
          <t>Millipore Sigma</t>
        </is>
      </c>
      <c r="C865" t="inlineStr">
        <is>
          <t>Q</t>
        </is>
      </c>
      <c r="F865" t="inlineStr">
        <is>
          <t>yes</t>
        </is>
      </c>
      <c r="J865" t="inlineStr"/>
      <c r="Y865" t="inlineStr">
        <is>
          <t>unknown</t>
        </is>
      </c>
      <c r="Z865" t="inlineStr"/>
      <c r="AA865" t="inlineStr"/>
      <c r="AB865" t="inlineStr"/>
      <c r="AC865" t="inlineStr"/>
      <c r="AD865" t="inlineStr">
        <is>
          <t>לא נמצא בסריקת המפיצים</t>
        </is>
      </c>
      <c r="AE865" t="inlineStr">
        <is>
          <t>סריקת אתרי מפיצים</t>
        </is>
      </c>
      <c r="AG865" t="inlineStr"/>
      <c r="AH865" t="inlineStr"/>
      <c r="AJ865" t="inlineStr"/>
      <c r="AP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P866" t="n">
        <v>62461</v>
      </c>
      <c r="Q866" t="n">
        <v>2025</v>
      </c>
      <c r="R866" t="inlineStr">
        <is>
          <t>parent</t>
        </is>
      </c>
      <c r="S866" t="inlineStr">
        <is>
          <t>prior</t>
        </is>
      </c>
      <c r="T866" t="n">
        <v>9900</v>
      </c>
      <c r="U866" t="inlineStr">
        <is>
          <t>EUR 9.0 billion</t>
        </is>
      </c>
      <c r="V866" t="inlineStr">
        <is>
          <t>FY2025</t>
        </is>
      </c>
      <c r="W866" t="inlineStr">
        <is>
          <t>segment</t>
        </is>
      </c>
      <c r="X866" t="inlineStr">
        <is>
          <t>prior</t>
        </is>
      </c>
      <c r="Y866" t="inlineStr">
        <is>
          <t>reported</t>
        </is>
      </c>
      <c r="Z866" t="inlineStr">
        <is>
          <t>Milli-Q</t>
        </is>
      </c>
      <c r="AA866" t="inlineStr">
        <is>
          <t>Millipore filtration (Millex, Stericup, Mobius)</t>
        </is>
      </c>
      <c r="AB866" t="inlineStr">
        <is>
          <t>Sigma-Aldrich research chemicals</t>
        </is>
      </c>
      <c r="AC866" t="inlineStr">
        <is>
          <t>prior</t>
        </is>
      </c>
      <c r="AD866" t="inlineStr">
        <is>
          <t>חברה-בת בישראל</t>
        </is>
      </c>
      <c r="AE866" t="inlineStr">
        <is>
          <t>חיפוש חלקי</t>
        </is>
      </c>
      <c r="AF866" t="n">
        <v>2026</v>
      </c>
      <c r="AG866" t="inlineStr">
        <is>
          <t>Sigma-Aldrich Israel Ltd. (affiliate of Merck KGaA, Darmstadt); Mercury Scientific &amp; Industrial Products Ltd. (Gadot group)</t>
        </is>
      </c>
      <c r="AH866" t="inlineStr">
        <is>
          <t>Sigma-Aldrich Israel Ltd. (affiliate of Merck KGaA, Darmstadt): +972-8-9484222 / +972-8-9484100 isrcustserv@merckgroup.com; isrtechserv@merckgroup.com; Mercury Scientific &amp; Industrial Products Ltd. (Gadot group): +972 3-938-7164</t>
        </is>
      </c>
      <c r="AI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66" t="inlineStr">
        <is>
          <t>+972 8 948 4222 / +972 8 948 4100</t>
        </is>
      </c>
      <c r="AK866" t="inlineStr">
        <is>
          <t>isrcustserv@merckgroup.com</t>
        </is>
      </c>
      <c r="AL866" t="inlineStr">
        <is>
          <t>3 Plaut St., Rehovot 7670603, Israel</t>
        </is>
      </c>
      <c r="AM866" t="inlineStr">
        <is>
          <t>https://www.sigmaaldrich.com/collections/offices</t>
        </is>
      </c>
      <c r="AN866" t="inlineStr">
        <is>
          <t>https://www.sigmaaldrich.com/collections/offices</t>
        </is>
      </c>
      <c r="AP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Y867" t="inlineStr">
        <is>
          <t>unknown</t>
        </is>
      </c>
      <c r="Z867" t="inlineStr"/>
      <c r="AA867" t="inlineStr"/>
      <c r="AB867" t="inlineStr"/>
      <c r="AC867" t="inlineStr"/>
      <c r="AD867" t="inlineStr">
        <is>
          <t>לא נמצא בסריקת המפיצים</t>
        </is>
      </c>
      <c r="AE867" t="inlineStr">
        <is>
          <t>סריקת אתרי מפיצים</t>
        </is>
      </c>
      <c r="AG867" t="inlineStr"/>
      <c r="AH867" t="inlineStr"/>
      <c r="AJ867" t="inlineStr"/>
      <c r="AP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t>
        </is>
      </c>
      <c r="J868" t="inlineStr"/>
      <c r="Y868" t="inlineStr">
        <is>
          <t>unknown</t>
        </is>
      </c>
      <c r="Z868" t="inlineStr"/>
      <c r="AA868" t="inlineStr"/>
      <c r="AB868" t="inlineStr"/>
      <c r="AC868" t="inlineStr"/>
      <c r="AD868" t="inlineStr">
        <is>
          <t>לא נמצא בסריקת המפיצים</t>
        </is>
      </c>
      <c r="AE868" t="inlineStr">
        <is>
          <t>סריקת אתרי מפיצים</t>
        </is>
      </c>
      <c r="AG868" t="inlineStr"/>
      <c r="AH868" t="inlineStr"/>
      <c r="AJ868" t="inlineStr"/>
      <c r="AP868" t="inlineStr">
        <is>
          <t>https://www.thomassci.com/browse-by/suppliers/milwaukee-instruments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t>
        </is>
      </c>
      <c r="J869" t="inlineStr"/>
      <c r="Y869" t="inlineStr">
        <is>
          <t>unknown</t>
        </is>
      </c>
      <c r="Z869" t="inlineStr"/>
      <c r="AA869" t="inlineStr"/>
      <c r="AB869" t="inlineStr"/>
      <c r="AC869" t="inlineStr"/>
      <c r="AD869" t="inlineStr">
        <is>
          <t>לא נמצא בסריקת המפיצים</t>
        </is>
      </c>
      <c r="AE869" t="inlineStr">
        <is>
          <t>סריקת אתרי מפיצים</t>
        </is>
      </c>
      <c r="AG869" t="inlineStr"/>
      <c r="AH869" t="inlineStr"/>
      <c r="AJ869" t="inlineStr"/>
      <c r="AP869" t="inlineStr">
        <is>
          <t>https://www.thomassci.com/browse-by/suppliers/minerva-biolabs</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t>
        </is>
      </c>
      <c r="J870" t="inlineStr"/>
      <c r="Y870" t="inlineStr">
        <is>
          <t>unknown</t>
        </is>
      </c>
      <c r="Z870" t="inlineStr"/>
      <c r="AA870" t="inlineStr"/>
      <c r="AB870" t="inlineStr"/>
      <c r="AC870" t="inlineStr"/>
      <c r="AD870" t="inlineStr">
        <is>
          <t>לא נמצא בסריקת המפיצים</t>
        </is>
      </c>
      <c r="AE870" t="inlineStr">
        <is>
          <t>סריקת אתרי מפיצים</t>
        </is>
      </c>
      <c r="AG870" t="inlineStr"/>
      <c r="AH870" t="inlineStr"/>
      <c r="AJ870" t="inlineStr"/>
      <c r="AP870" t="inlineStr">
        <is>
          <t>https://www.dutscher.com/search?initialFilters=brand:Minigrip | https://www.thomassci.com/browse-by/suppliers/minigrip</t>
        </is>
      </c>
    </row>
    <row r="871">
      <c r="A871" t="n">
        <v>870</v>
      </c>
      <c r="B871" t="inlineStr">
        <is>
          <t>Mirus Bio</t>
        </is>
      </c>
      <c r="C871" t="inlineStr">
        <is>
          <t>Q</t>
        </is>
      </c>
      <c r="F871" t="inlineStr">
        <is>
          <t>yes</t>
        </is>
      </c>
      <c r="H871" t="inlineStr">
        <is>
          <t>https://mirusbio.com</t>
        </is>
      </c>
      <c r="I871" t="inlineStr">
        <is>
          <t>clearbit</t>
        </is>
      </c>
      <c r="J871" t="inlineStr"/>
      <c r="Y871" t="inlineStr">
        <is>
          <t>unknown</t>
        </is>
      </c>
      <c r="Z871" t="inlineStr"/>
      <c r="AA871" t="inlineStr"/>
      <c r="AB871" t="inlineStr"/>
      <c r="AC871" t="inlineStr"/>
      <c r="AD871" t="inlineStr">
        <is>
          <t>לא נמצא בסריקת המפיצים</t>
        </is>
      </c>
      <c r="AE871" t="inlineStr">
        <is>
          <t>סריקת אתרי מפיצים</t>
        </is>
      </c>
      <c r="AG871" t="inlineStr"/>
      <c r="AH871" t="inlineStr"/>
      <c r="AJ871" t="inlineStr"/>
      <c r="AP871" t="inlineStr">
        <is>
          <t>https://www.quartzy.com/suppliers</t>
        </is>
      </c>
    </row>
    <row r="872">
      <c r="A872" t="n">
        <v>871</v>
      </c>
      <c r="B872" t="inlineStr">
        <is>
          <t>MiTeGen</t>
        </is>
      </c>
      <c r="C872" t="inlineStr">
        <is>
          <t>Q</t>
        </is>
      </c>
      <c r="F872" t="inlineStr">
        <is>
          <t>yes</t>
        </is>
      </c>
      <c r="H872" t="inlineStr">
        <is>
          <t>https://mitegen.com</t>
        </is>
      </c>
      <c r="I872" t="inlineStr">
        <is>
          <t>clearbit</t>
        </is>
      </c>
      <c r="J872" t="inlineStr"/>
      <c r="Y872" t="inlineStr">
        <is>
          <t>unknown</t>
        </is>
      </c>
      <c r="Z872" t="inlineStr"/>
      <c r="AA872" t="inlineStr"/>
      <c r="AB872" t="inlineStr"/>
      <c r="AC872" t="inlineStr"/>
      <c r="AD872" t="inlineStr">
        <is>
          <t>לא נמצא בסריקת המפיצים</t>
        </is>
      </c>
      <c r="AE872" t="inlineStr">
        <is>
          <t>סריקת אתרי מפיצים</t>
        </is>
      </c>
      <c r="AG872" t="inlineStr"/>
      <c r="AH872" t="inlineStr"/>
      <c r="AJ872" t="inlineStr"/>
      <c r="AP872" t="inlineStr">
        <is>
          <t>https://www.quartzy.com/suppliers</t>
        </is>
      </c>
    </row>
    <row r="873">
      <c r="A873" t="n">
        <v>872</v>
      </c>
      <c r="B873" t="inlineStr">
        <is>
          <t>Modulus Data Systems</t>
        </is>
      </c>
      <c r="C873" t="inlineStr">
        <is>
          <t>T</t>
        </is>
      </c>
      <c r="E873" t="inlineStr">
        <is>
          <t>https://www.thomassci.com/browse-by/suppliers/modulus-data-systems</t>
        </is>
      </c>
      <c r="F873" t="inlineStr"/>
      <c r="J873" t="inlineStr"/>
      <c r="Y873" t="inlineStr">
        <is>
          <t>unknown</t>
        </is>
      </c>
      <c r="Z873" t="inlineStr"/>
      <c r="AA873" t="inlineStr"/>
      <c r="AB873" t="inlineStr"/>
      <c r="AC873" t="inlineStr"/>
      <c r="AD873" t="inlineStr">
        <is>
          <t>לא נמצא בסריקת המפיצים</t>
        </is>
      </c>
      <c r="AE873" t="inlineStr">
        <is>
          <t>סריקת אתרי מפיצים</t>
        </is>
      </c>
      <c r="AG873" t="inlineStr"/>
      <c r="AH873" t="inlineStr"/>
      <c r="AJ873" t="inlineStr"/>
      <c r="AP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Y874" t="inlineStr">
        <is>
          <t>unknown</t>
        </is>
      </c>
      <c r="Z874" t="inlineStr"/>
      <c r="AA874" t="inlineStr"/>
      <c r="AB874" t="inlineStr"/>
      <c r="AC874" t="inlineStr"/>
      <c r="AD874" t="inlineStr">
        <is>
          <t>לא נמצא בסריקת המפיצים</t>
        </is>
      </c>
      <c r="AE874" t="inlineStr">
        <is>
          <t>סריקת אתרי מפיצים</t>
        </is>
      </c>
      <c r="AG874" t="inlineStr"/>
      <c r="AH874" t="inlineStr"/>
      <c r="AJ874" t="inlineStr"/>
      <c r="AP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t>
        </is>
      </c>
      <c r="J875" t="inlineStr"/>
      <c r="Y875" t="inlineStr">
        <is>
          <t>unknown</t>
        </is>
      </c>
      <c r="Z875" t="inlineStr"/>
      <c r="AA875" t="inlineStr"/>
      <c r="AB875" t="inlineStr"/>
      <c r="AC875" t="inlineStr"/>
      <c r="AD875" t="inlineStr">
        <is>
          <t>לא נמצא בסריקת המפיצים</t>
        </is>
      </c>
      <c r="AE875" t="inlineStr">
        <is>
          <t>סריקת אתרי מפיצים</t>
        </is>
      </c>
      <c r="AG875" t="inlineStr"/>
      <c r="AH875" t="inlineStr"/>
      <c r="AJ875" t="inlineStr"/>
      <c r="AP875" t="inlineStr">
        <is>
          <t>https://www.thomassci.com/browse-by/suppliers/moldex</t>
        </is>
      </c>
    </row>
    <row r="876">
      <c r="A876" t="n">
        <v>875</v>
      </c>
      <c r="B876" t="inlineStr">
        <is>
          <t>MoldPro</t>
        </is>
      </c>
      <c r="C876" t="inlineStr">
        <is>
          <t>T</t>
        </is>
      </c>
      <c r="E876" t="inlineStr">
        <is>
          <t>https://www.thomassci.com/browse-by/suppliers/moldpro</t>
        </is>
      </c>
      <c r="F876" t="inlineStr"/>
      <c r="J876" t="inlineStr"/>
      <c r="Y876" t="inlineStr">
        <is>
          <t>unknown</t>
        </is>
      </c>
      <c r="Z876" t="inlineStr"/>
      <c r="AA876" t="inlineStr"/>
      <c r="AB876" t="inlineStr"/>
      <c r="AC876" t="inlineStr"/>
      <c r="AD876" t="inlineStr">
        <is>
          <t>לא נמצא בסריקת המפיצים</t>
        </is>
      </c>
      <c r="AE876" t="inlineStr">
        <is>
          <t>סריקת אתרי מפיצים</t>
        </is>
      </c>
      <c r="AG876" t="inlineStr"/>
      <c r="AH876" t="inlineStr"/>
      <c r="AJ876" t="inlineStr"/>
      <c r="AP876" t="inlineStr">
        <is>
          <t>https://www.thomassci.com/browse-by/suppliers/moldpro</t>
        </is>
      </c>
    </row>
    <row r="877">
      <c r="A877" t="n">
        <v>876</v>
      </c>
      <c r="B877" t="inlineStr">
        <is>
          <t>Molecular Biology Products</t>
        </is>
      </c>
      <c r="C877" t="inlineStr">
        <is>
          <t>Q</t>
        </is>
      </c>
      <c r="F877" t="inlineStr">
        <is>
          <t>yes</t>
        </is>
      </c>
      <c r="J877" t="inlineStr"/>
      <c r="Y877" t="inlineStr">
        <is>
          <t>unknown</t>
        </is>
      </c>
      <c r="Z877" t="inlineStr"/>
      <c r="AA877" t="inlineStr"/>
      <c r="AB877" t="inlineStr"/>
      <c r="AC877" t="inlineStr"/>
      <c r="AD877" t="inlineStr">
        <is>
          <t>לא נמצא בסריקת המפיצים</t>
        </is>
      </c>
      <c r="AE877" t="inlineStr">
        <is>
          <t>סריקת אתרי מפיצים</t>
        </is>
      </c>
      <c r="AG877" t="inlineStr"/>
      <c r="AH877" t="inlineStr"/>
      <c r="AJ877" t="inlineStr"/>
      <c r="AP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t>
        </is>
      </c>
      <c r="J878" t="inlineStr"/>
      <c r="Y878" t="inlineStr">
        <is>
          <t>unknown</t>
        </is>
      </c>
      <c r="Z878" t="inlineStr"/>
      <c r="AA878" t="inlineStr"/>
      <c r="AB878" t="inlineStr"/>
      <c r="AC878" t="inlineStr"/>
      <c r="AD878" t="inlineStr">
        <is>
          <t>לא נמצא בסריקת המפיצים</t>
        </is>
      </c>
      <c r="AE878" t="inlineStr">
        <is>
          <t>סריקת אתרי מפיצים</t>
        </is>
      </c>
      <c r="AG878" t="inlineStr"/>
      <c r="AH878" t="inlineStr"/>
      <c r="AJ878" t="inlineStr"/>
      <c r="AP878" t="inlineStr">
        <is>
          <t>https://www.thomassci.com/browse-by/suppliers/molecular-designs</t>
        </is>
      </c>
    </row>
    <row r="879">
      <c r="A879" t="n">
        <v>878</v>
      </c>
      <c r="B879" t="inlineStr">
        <is>
          <t>Molecular Dimensions</t>
        </is>
      </c>
      <c r="C879" t="inlineStr">
        <is>
          <t>Q</t>
        </is>
      </c>
      <c r="F879" t="inlineStr">
        <is>
          <t>yes</t>
        </is>
      </c>
      <c r="H879" t="inlineStr">
        <is>
          <t>https://moleculardimensions.com</t>
        </is>
      </c>
      <c r="I879" t="inlineStr">
        <is>
          <t>clearbit</t>
        </is>
      </c>
      <c r="J879" t="inlineStr"/>
      <c r="Y879" t="inlineStr">
        <is>
          <t>unknown</t>
        </is>
      </c>
      <c r="Z879" t="inlineStr"/>
      <c r="AA879" t="inlineStr"/>
      <c r="AB879" t="inlineStr"/>
      <c r="AC879" t="inlineStr"/>
      <c r="AD879" t="inlineStr">
        <is>
          <t>לא נמצא בסריקת המפיצים</t>
        </is>
      </c>
      <c r="AE879" t="inlineStr">
        <is>
          <t>סריקת אתרי מפיצים</t>
        </is>
      </c>
      <c r="AG879" t="inlineStr"/>
      <c r="AH879" t="inlineStr"/>
      <c r="AJ879" t="inlineStr"/>
      <c r="AP879" t="inlineStr">
        <is>
          <t>https://www.quartzy.com/suppliers</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Y880" t="inlineStr">
        <is>
          <t>unknown</t>
        </is>
      </c>
      <c r="Z880" t="inlineStr"/>
      <c r="AA880" t="inlineStr"/>
      <c r="AB880" t="inlineStr"/>
      <c r="AC880" t="inlineStr"/>
      <c r="AD880" t="inlineStr">
        <is>
          <t>לא נמצא בסריקת המפיצים</t>
        </is>
      </c>
      <c r="AE880" t="inlineStr">
        <is>
          <t>סריקת אתרי מפיצים</t>
        </is>
      </c>
      <c r="AG880" t="inlineStr"/>
      <c r="AH880" t="inlineStr"/>
      <c r="AJ880" t="inlineStr"/>
      <c r="AP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Y881" t="inlineStr">
        <is>
          <t>unknown</t>
        </is>
      </c>
      <c r="Z881" t="inlineStr"/>
      <c r="AA881" t="inlineStr"/>
      <c r="AB881" t="inlineStr"/>
      <c r="AC881" t="inlineStr"/>
      <c r="AD881" t="inlineStr">
        <is>
          <t>לא נמצא בסריקת המפיצים</t>
        </is>
      </c>
      <c r="AE881" t="inlineStr">
        <is>
          <t>סריקת אתרי מפיצים</t>
        </is>
      </c>
      <c r="AG881" t="inlineStr"/>
      <c r="AH881" t="inlineStr"/>
      <c r="AJ881" t="inlineStr"/>
      <c r="AP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t>
        </is>
      </c>
      <c r="J882" t="inlineStr"/>
      <c r="Y882" t="inlineStr">
        <is>
          <t>unknown</t>
        </is>
      </c>
      <c r="Z882" t="inlineStr"/>
      <c r="AA882" t="inlineStr"/>
      <c r="AB882" t="inlineStr"/>
      <c r="AC882" t="inlineStr"/>
      <c r="AD882" t="inlineStr">
        <is>
          <t>לא נמצא בסריקת המפיצים</t>
        </is>
      </c>
      <c r="AE882" t="inlineStr">
        <is>
          <t>סריקת אתרי מפיצים</t>
        </is>
      </c>
      <c r="AG882" t="inlineStr"/>
      <c r="AH882" t="inlineStr"/>
      <c r="AJ882" t="inlineStr"/>
      <c r="AP882" t="inlineStr">
        <is>
          <t>https://www.thomassci.com/browse-by/suppliers/moltox</t>
        </is>
      </c>
    </row>
    <row r="883">
      <c r="A883" t="n">
        <v>882</v>
      </c>
      <c r="B883" t="inlineStr">
        <is>
          <t>Motic Microscopes</t>
        </is>
      </c>
      <c r="C883" t="inlineStr">
        <is>
          <t>Q</t>
        </is>
      </c>
      <c r="F883" t="inlineStr">
        <is>
          <t>yes</t>
        </is>
      </c>
      <c r="H883" t="inlineStr">
        <is>
          <t>https://moticmicroscopes.com</t>
        </is>
      </c>
      <c r="I883" t="inlineStr">
        <is>
          <t>clearbit</t>
        </is>
      </c>
      <c r="J883" t="inlineStr"/>
      <c r="Y883" t="inlineStr">
        <is>
          <t>unknown</t>
        </is>
      </c>
      <c r="Z883" t="inlineStr"/>
      <c r="AA883" t="inlineStr"/>
      <c r="AB883" t="inlineStr"/>
      <c r="AC883" t="inlineStr"/>
      <c r="AD883" t="inlineStr">
        <is>
          <t>לא נמצא בסריקת המפיצים</t>
        </is>
      </c>
      <c r="AE883" t="inlineStr">
        <is>
          <t>סריקת אתרי מפיצים</t>
        </is>
      </c>
      <c r="AG883" t="inlineStr"/>
      <c r="AH883" t="inlineStr"/>
      <c r="AJ883" t="inlineStr"/>
      <c r="AP883" t="inlineStr">
        <is>
          <t>https://www.quartzy.com/suppliers</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t>
        </is>
      </c>
      <c r="J884" t="inlineStr"/>
      <c r="Y884" t="inlineStr">
        <is>
          <t>unknown</t>
        </is>
      </c>
      <c r="Z884" t="inlineStr"/>
      <c r="AA884" t="inlineStr"/>
      <c r="AB884" t="inlineStr"/>
      <c r="AC884" t="inlineStr"/>
      <c r="AD884" t="inlineStr">
        <is>
          <t>לא נמצא בסריקת המפיצים</t>
        </is>
      </c>
      <c r="AE884" t="inlineStr">
        <is>
          <t>סריקת אתרי מפיצים</t>
        </is>
      </c>
      <c r="AG884" t="inlineStr"/>
      <c r="AH884" t="inlineStr"/>
      <c r="AJ884" t="inlineStr"/>
      <c r="AP884" t="inlineStr">
        <is>
          <t>https://www.thomassci.com/browse-by/suppliers/motosolutions</t>
        </is>
      </c>
    </row>
    <row r="885">
      <c r="A885" t="n">
        <v>884</v>
      </c>
      <c r="B885" t="inlineStr">
        <is>
          <t>Mouser Electronics</t>
        </is>
      </c>
      <c r="C885" t="inlineStr">
        <is>
          <t>Q</t>
        </is>
      </c>
      <c r="F885" t="inlineStr">
        <is>
          <t>yes</t>
        </is>
      </c>
      <c r="H885" t="inlineStr">
        <is>
          <t>https://mouser.com</t>
        </is>
      </c>
      <c r="I885" t="inlineStr">
        <is>
          <t>clearbit</t>
        </is>
      </c>
      <c r="J885" t="inlineStr"/>
      <c r="Y885" t="inlineStr">
        <is>
          <t>unknown</t>
        </is>
      </c>
      <c r="Z885" t="inlineStr"/>
      <c r="AA885" t="inlineStr"/>
      <c r="AB885" t="inlineStr"/>
      <c r="AC885" t="inlineStr"/>
      <c r="AD885" t="inlineStr">
        <is>
          <t>לא נמצא בסריקת המפיצים</t>
        </is>
      </c>
      <c r="AE885" t="inlineStr">
        <is>
          <t>סריקת אתרי מפיצים</t>
        </is>
      </c>
      <c r="AG885" t="inlineStr"/>
      <c r="AH885" t="inlineStr"/>
      <c r="AJ885" t="inlineStr"/>
      <c r="AP885" t="inlineStr">
        <is>
          <t>https://www.quartzy.com/suppliers</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Y886" t="inlineStr">
        <is>
          <t>unknown</t>
        </is>
      </c>
      <c r="Z886" t="inlineStr"/>
      <c r="AA886" t="inlineStr"/>
      <c r="AB886" t="inlineStr"/>
      <c r="AC886" t="inlineStr"/>
      <c r="AD886" t="inlineStr">
        <is>
          <t>מפיץ/נציג בישראל</t>
        </is>
      </c>
      <c r="AE886" t="inlineStr">
        <is>
          <t>סריקת אתרי מפיצים</t>
        </is>
      </c>
      <c r="AF886" t="n">
        <v>2026</v>
      </c>
      <c r="AG886" t="inlineStr">
        <is>
          <t>Enco Scientific Services Ltd. (Enco Diagnostics)</t>
        </is>
      </c>
      <c r="AH886" t="inlineStr">
        <is>
          <t>Enco Scientific Services Ltd. (Enco Diagnostics):</t>
        </is>
      </c>
      <c r="AJ886" t="inlineStr"/>
      <c r="AP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Y887" t="inlineStr">
        <is>
          <t>unknown</t>
        </is>
      </c>
      <c r="Z887" t="inlineStr"/>
      <c r="AA887" t="inlineStr"/>
      <c r="AB887" t="inlineStr"/>
      <c r="AC887" t="inlineStr"/>
      <c r="AD887" t="inlineStr">
        <is>
          <t>לא נמצא בסריקת המפיצים</t>
        </is>
      </c>
      <c r="AE887" t="inlineStr">
        <is>
          <t>סריקת אתרי מפיצים</t>
        </is>
      </c>
      <c r="AG887" t="inlineStr"/>
      <c r="AH887" t="inlineStr"/>
      <c r="AJ887" t="inlineStr"/>
      <c r="AP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Y888" t="inlineStr">
        <is>
          <t>unknown</t>
        </is>
      </c>
      <c r="Z888" t="inlineStr"/>
      <c r="AA888" t="inlineStr"/>
      <c r="AB888" t="inlineStr"/>
      <c r="AC888" t="inlineStr"/>
      <c r="AD888" t="inlineStr">
        <is>
          <t>לא נמצא בסריקת המפיצים</t>
        </is>
      </c>
      <c r="AE888" t="inlineStr">
        <is>
          <t>סריקת אתרי מפיצים</t>
        </is>
      </c>
      <c r="AG888" t="inlineStr"/>
      <c r="AH888" t="inlineStr"/>
      <c r="AJ888" t="inlineStr"/>
      <c r="AP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Y889" t="inlineStr">
        <is>
          <t>unknown</t>
        </is>
      </c>
      <c r="Z889" t="inlineStr"/>
      <c r="AA889" t="inlineStr"/>
      <c r="AB889" t="inlineStr"/>
      <c r="AC889" t="inlineStr"/>
      <c r="AD889" t="inlineStr">
        <is>
          <t>לא נמצא בסריקת המפיצים</t>
        </is>
      </c>
      <c r="AE889" t="inlineStr">
        <is>
          <t>סריקת אתרי מפיצים</t>
        </is>
      </c>
      <c r="AG889" t="inlineStr"/>
      <c r="AH889" t="inlineStr"/>
      <c r="AJ889" t="inlineStr"/>
      <c r="AP889" t="inlineStr">
        <is>
          <t>https://www.quartzy.com/suppliers | https://www.thomassci.com/browse-by/suppliers/mtc-bio</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Y890" t="inlineStr">
        <is>
          <t>unknown</t>
        </is>
      </c>
      <c r="Z890" t="inlineStr"/>
      <c r="AA890" t="inlineStr"/>
      <c r="AB890" t="inlineStr"/>
      <c r="AC890" t="inlineStr"/>
      <c r="AD890" t="inlineStr">
        <is>
          <t>לא נמצא בסריקת המפיצים</t>
        </is>
      </c>
      <c r="AE890" t="inlineStr">
        <is>
          <t>סריקת אתרי מפיצים</t>
        </is>
      </c>
      <c r="AG890" t="inlineStr"/>
      <c r="AH890" t="inlineStr"/>
      <c r="AJ890" t="inlineStr"/>
      <c r="AP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Y891" t="inlineStr">
        <is>
          <t>unknown</t>
        </is>
      </c>
      <c r="Z891" t="inlineStr"/>
      <c r="AA891" t="inlineStr"/>
      <c r="AB891" t="inlineStr"/>
      <c r="AC891" t="inlineStr"/>
      <c r="AD891" t="inlineStr">
        <is>
          <t>לא נמצא בסריקת המפיצים</t>
        </is>
      </c>
      <c r="AE891" t="inlineStr">
        <is>
          <t>סריקת אתרי מפיצים</t>
        </is>
      </c>
      <c r="AG891" t="inlineStr"/>
      <c r="AH891" t="inlineStr"/>
      <c r="AJ891" t="inlineStr"/>
      <c r="AP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Y892" t="inlineStr">
        <is>
          <t>unknown</t>
        </is>
      </c>
      <c r="Z892" t="inlineStr"/>
      <c r="AA892" t="inlineStr"/>
      <c r="AB892" t="inlineStr"/>
      <c r="AC892" t="inlineStr"/>
      <c r="AD892" t="inlineStr">
        <is>
          <t>לא נמצא בסריקת המפיצים</t>
        </is>
      </c>
      <c r="AE892" t="inlineStr">
        <is>
          <t>סריקת אתרי מפיצים</t>
        </is>
      </c>
      <c r="AG892" t="inlineStr"/>
      <c r="AH892" t="inlineStr"/>
      <c r="AJ892" t="inlineStr"/>
      <c r="AP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t>
        </is>
      </c>
      <c r="J893" t="inlineStr"/>
      <c r="Y893" t="inlineStr">
        <is>
          <t>unknown</t>
        </is>
      </c>
      <c r="Z893" t="inlineStr"/>
      <c r="AA893" t="inlineStr"/>
      <c r="AB893" t="inlineStr"/>
      <c r="AC893" t="inlineStr"/>
      <c r="AD893" t="inlineStr">
        <is>
          <t>לא נמצא בסריקת המפיצים</t>
        </is>
      </c>
      <c r="AE893" t="inlineStr">
        <is>
          <t>סריקת אתרי מפיצים</t>
        </is>
      </c>
      <c r="AG893" t="inlineStr"/>
      <c r="AH893" t="inlineStr"/>
      <c r="AJ893" t="inlineStr"/>
      <c r="AP893" t="inlineStr">
        <is>
          <t>https://www.dutscher.com/search?initialFilters=brand:Multiroir</t>
        </is>
      </c>
    </row>
    <row r="894">
      <c r="A894" t="n">
        <v>893</v>
      </c>
      <c r="B894" t="inlineStr">
        <is>
          <t>Munktell</t>
        </is>
      </c>
      <c r="C894" t="inlineStr">
        <is>
          <t>T</t>
        </is>
      </c>
      <c r="E894" t="inlineStr">
        <is>
          <t>https://www.thomassci.com/browse-by/suppliers/munktell</t>
        </is>
      </c>
      <c r="F894" t="inlineStr"/>
      <c r="J894" t="inlineStr"/>
      <c r="Y894" t="inlineStr">
        <is>
          <t>unknown</t>
        </is>
      </c>
      <c r="Z894" t="inlineStr"/>
      <c r="AA894" t="inlineStr"/>
      <c r="AB894" t="inlineStr"/>
      <c r="AC894" t="inlineStr"/>
      <c r="AD894" t="inlineStr">
        <is>
          <t>לא נמצא בסריקת המפיצים</t>
        </is>
      </c>
      <c r="AE894" t="inlineStr">
        <is>
          <t>סריקת אתרי מפיצים</t>
        </is>
      </c>
      <c r="AG894" t="inlineStr"/>
      <c r="AH894" t="inlineStr"/>
      <c r="AJ894" t="inlineStr"/>
      <c r="AP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Y895" t="inlineStr">
        <is>
          <t>unknown</t>
        </is>
      </c>
      <c r="Z895" t="inlineStr"/>
      <c r="AA895" t="inlineStr"/>
      <c r="AB895" t="inlineStr"/>
      <c r="AC895" t="inlineStr"/>
      <c r="AD895" t="inlineStr">
        <is>
          <t>לא נמצא בסריקת המפיצים</t>
        </is>
      </c>
      <c r="AE895" t="inlineStr">
        <is>
          <t>סריקת אתרי מפיצים</t>
        </is>
      </c>
      <c r="AG895" t="inlineStr"/>
      <c r="AH895" t="inlineStr"/>
      <c r="AJ895" t="inlineStr"/>
      <c r="AP895" t="inlineStr">
        <is>
          <t>https://www.thomassci.com/browse-by/suppliers/myco-medical-supplies</t>
        </is>
      </c>
    </row>
    <row r="896">
      <c r="A896" t="n">
        <v>895</v>
      </c>
      <c r="B896" t="inlineStr">
        <is>
          <t>MycoFold</t>
        </is>
      </c>
      <c r="C896" t="inlineStr">
        <is>
          <t>Q+Q+</t>
        </is>
      </c>
      <c r="F896" t="inlineStr">
        <is>
          <t>yes +new</t>
        </is>
      </c>
      <c r="J896" t="inlineStr"/>
      <c r="O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Y896" t="inlineStr">
        <is>
          <t>unknown</t>
        </is>
      </c>
      <c r="Z896" t="inlineStr"/>
      <c r="AA896" t="inlineStr"/>
      <c r="AB896" t="inlineStr"/>
      <c r="AC896" t="inlineStr"/>
      <c r="AD896" t="inlineStr">
        <is>
          <t>לא נמצא בסריקת המפיצים</t>
        </is>
      </c>
      <c r="AE896" t="inlineStr">
        <is>
          <t>סריקת אתרי מפיצים</t>
        </is>
      </c>
      <c r="AG896" t="inlineStr"/>
      <c r="AH896" t="inlineStr"/>
      <c r="AJ896" t="inlineStr"/>
      <c r="AP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t>
        </is>
      </c>
      <c r="J897" t="inlineStr"/>
      <c r="Y897" t="inlineStr">
        <is>
          <t>unknown</t>
        </is>
      </c>
      <c r="Z897" t="inlineStr"/>
      <c r="AA897" t="inlineStr"/>
      <c r="AB897" t="inlineStr"/>
      <c r="AC897" t="inlineStr"/>
      <c r="AD897" t="inlineStr">
        <is>
          <t>לא נמצא בסריקת המפיצים</t>
        </is>
      </c>
      <c r="AE897" t="inlineStr">
        <is>
          <t>סריקת אתרי מפיצים</t>
        </is>
      </c>
      <c r="AG897" t="inlineStr"/>
      <c r="AH897" t="inlineStr"/>
      <c r="AJ897" t="inlineStr"/>
      <c r="AP897" t="inlineStr">
        <is>
          <t>https://www.thomassci.com/browse-by/suppliers/myron-l</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t>
        </is>
      </c>
      <c r="J898" t="inlineStr"/>
      <c r="Y898" t="inlineStr">
        <is>
          <t>unknown</t>
        </is>
      </c>
      <c r="Z898" t="inlineStr"/>
      <c r="AA898" t="inlineStr"/>
      <c r="AB898" t="inlineStr"/>
      <c r="AC898" t="inlineStr"/>
      <c r="AD898" t="inlineStr">
        <is>
          <t>לא נמצא בסריקת המפיצים</t>
        </is>
      </c>
      <c r="AE898" t="inlineStr">
        <is>
          <t>סריקת אתרי מפיצים</t>
        </is>
      </c>
      <c r="AG898" t="inlineStr"/>
      <c r="AH898" t="inlineStr"/>
      <c r="AJ898" t="inlineStr"/>
      <c r="AP898" t="inlineStr">
        <is>
          <t>https://www.quartzy.com/suppliers | https://www.thomassci.com/browse-by/suppliers/mystaire</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P899" t="n">
        <v>600</v>
      </c>
      <c r="Q899" t="n">
        <v>2026</v>
      </c>
      <c r="R899" t="inlineStr">
        <is>
          <t>company</t>
        </is>
      </c>
      <c r="S899" t="inlineStr">
        <is>
          <t>prior</t>
        </is>
      </c>
      <c r="T899" t="n">
        <v>72</v>
      </c>
      <c r="U899" t="inlineStr">
        <is>
          <t>EUR 65 million</t>
        </is>
      </c>
      <c r="V899" t="inlineStr">
        <is>
          <t>FY2021</t>
        </is>
      </c>
      <c r="W899" t="inlineStr">
        <is>
          <t>company</t>
        </is>
      </c>
      <c r="X899" t="inlineStr">
        <is>
          <t>prior</t>
        </is>
      </c>
      <c r="Y899" t="inlineStr">
        <is>
          <t>reported</t>
        </is>
      </c>
      <c r="Z899" t="inlineStr">
        <is>
          <t>L / LE / LT muffle furnaces</t>
        </is>
      </c>
      <c r="AA899" t="inlineStr">
        <is>
          <t>RT / RS tube furnaces</t>
        </is>
      </c>
      <c r="AB899" t="inlineStr">
        <is>
          <t>LHT / HTC high-temperature furnaces</t>
        </is>
      </c>
      <c r="AC899" t="inlineStr">
        <is>
          <t>prior</t>
        </is>
      </c>
      <c r="AD899" t="inlineStr">
        <is>
          <t>מפיץ/נציג בישראל</t>
        </is>
      </c>
      <c r="AE899" t="inlineStr">
        <is>
          <t>אומת</t>
        </is>
      </c>
      <c r="AF899" t="n">
        <v>2026</v>
      </c>
      <c r="AG899" t="inlineStr">
        <is>
          <t>Electrotherm Marketing 1978 Ltd.</t>
        </is>
      </c>
      <c r="AH899" t="inlineStr">
        <is>
          <t>Electrotherm Marketing 1978 Ltd.: +972-77-866-0600 sales@electrotherm.co.il</t>
        </is>
      </c>
      <c r="AI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J899" t="inlineStr">
        <is>
          <t>+49 4298 922-0</t>
        </is>
      </c>
      <c r="AK899" t="inlineStr">
        <is>
          <t>contact@nabertherm.de</t>
        </is>
      </c>
      <c r="AL899" t="inlineStr">
        <is>
          <t>Bahnhofstraße 20, 28865 Lilienthal, Germany</t>
        </is>
      </c>
      <c r="AN899" t="inlineStr">
        <is>
          <t>https://nabertherm.com/en/downloads/service-instructions</t>
        </is>
      </c>
      <c r="AP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Y900" t="inlineStr">
        <is>
          <t>unknown</t>
        </is>
      </c>
      <c r="Z900" t="inlineStr"/>
      <c r="AA900" t="inlineStr"/>
      <c r="AB900" t="inlineStr"/>
      <c r="AC900" t="inlineStr"/>
      <c r="AD900" t="inlineStr">
        <is>
          <t>לא נמצא בסריקת המפיצים</t>
        </is>
      </c>
      <c r="AE900" t="inlineStr">
        <is>
          <t>סריקת אתרי מפיצים</t>
        </is>
      </c>
      <c r="AG900" t="inlineStr"/>
      <c r="AH900" t="inlineStr"/>
      <c r="AJ900" t="inlineStr"/>
      <c r="AP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P901" t="n">
        <v>125000</v>
      </c>
      <c r="Q901" t="n">
        <v>2025</v>
      </c>
      <c r="R901" t="inlineStr">
        <is>
          <t>company</t>
        </is>
      </c>
      <c r="S901" t="inlineStr">
        <is>
          <t>prior</t>
        </is>
      </c>
      <c r="T901" t="n">
        <v>44560</v>
      </c>
      <c r="U901" t="inlineStr">
        <is>
          <t>USD 44.56 billion</t>
        </is>
      </c>
      <c r="V901" t="inlineStr">
        <is>
          <t>FY2025</t>
        </is>
      </c>
      <c r="W901" t="inlineStr">
        <is>
          <t>company</t>
        </is>
      </c>
      <c r="X901" t="inlineStr">
        <is>
          <t>prior</t>
        </is>
      </c>
      <c r="Y901" t="inlineStr">
        <is>
          <t>reported</t>
        </is>
      </c>
      <c r="Z901" t="inlineStr">
        <is>
          <t>Thermo Scientific Orbitrap Astral</t>
        </is>
      </c>
      <c r="AA901" t="inlineStr">
        <is>
          <t>Applied Biosystems QuantStudio</t>
        </is>
      </c>
      <c r="AB901" t="inlineStr">
        <is>
          <t>Thermo Scientific Krios cryo-TEM</t>
        </is>
      </c>
      <c r="AC901" t="inlineStr">
        <is>
          <t>prior</t>
        </is>
      </c>
      <c r="AD901" t="inlineStr">
        <is>
          <t>חברה-בת בישראל</t>
        </is>
      </c>
      <c r="AE901" t="inlineStr">
        <is>
          <t>אומת</t>
        </is>
      </c>
      <c r="AF901" t="n">
        <v>2026</v>
      </c>
      <c r="AG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901" t="inlineStr">
        <is>
          <t>+972 73 256 0860</t>
        </is>
      </c>
      <c r="AL901" t="inlineStr">
        <is>
          <t>Waltham, Massachusetts</t>
        </is>
      </c>
      <c r="AN901" t="inlineStr">
        <is>
          <t>https://slimpages.startupim.com/company_page/thermo-fisher-scientific</t>
        </is>
      </c>
      <c r="AP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902">
      <c r="A902" t="n">
        <v>901</v>
      </c>
      <c r="B902" t="inlineStr">
        <is>
          <t>nanoComposix, LLC</t>
        </is>
      </c>
      <c r="C902" t="inlineStr">
        <is>
          <t>Q</t>
        </is>
      </c>
      <c r="F902" t="inlineStr">
        <is>
          <t>yes</t>
        </is>
      </c>
      <c r="J902" t="inlineStr"/>
      <c r="Y902" t="inlineStr">
        <is>
          <t>unknown</t>
        </is>
      </c>
      <c r="Z902" t="inlineStr"/>
      <c r="AA902" t="inlineStr"/>
      <c r="AB902" t="inlineStr"/>
      <c r="AC902" t="inlineStr"/>
      <c r="AD902" t="inlineStr">
        <is>
          <t>לא נמצא בסריקת המפיצים</t>
        </is>
      </c>
      <c r="AE902" t="inlineStr">
        <is>
          <t>סריקת אתרי מפיצים</t>
        </is>
      </c>
      <c r="AG902" t="inlineStr"/>
      <c r="AH902" t="inlineStr"/>
      <c r="AJ902" t="inlineStr"/>
      <c r="AP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Y903" t="inlineStr">
        <is>
          <t>unknown</t>
        </is>
      </c>
      <c r="Z903" t="inlineStr"/>
      <c r="AA903" t="inlineStr"/>
      <c r="AB903" t="inlineStr"/>
      <c r="AC903" t="inlineStr"/>
      <c r="AD903" t="inlineStr">
        <is>
          <t>לא נמצא בסריקת המפיצים</t>
        </is>
      </c>
      <c r="AE903" t="inlineStr">
        <is>
          <t>סריקת אתרי מפיצים</t>
        </is>
      </c>
      <c r="AG903" t="inlineStr"/>
      <c r="AH903" t="inlineStr"/>
      <c r="AJ903" t="inlineStr"/>
      <c r="AP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t>
        </is>
      </c>
      <c r="J904" t="inlineStr"/>
      <c r="Y904" t="inlineStr">
        <is>
          <t>unknown</t>
        </is>
      </c>
      <c r="Z904" t="inlineStr"/>
      <c r="AA904" t="inlineStr"/>
      <c r="AB904" t="inlineStr"/>
      <c r="AC904" t="inlineStr"/>
      <c r="AD904" t="inlineStr">
        <is>
          <t>לא נמצא בסריקת המפיצים</t>
        </is>
      </c>
      <c r="AE904" t="inlineStr">
        <is>
          <t>סריקת אתרי מפיצים</t>
        </is>
      </c>
      <c r="AG904" t="inlineStr"/>
      <c r="AH904" t="inlineStr"/>
      <c r="AJ904" t="inlineStr"/>
      <c r="AP904" t="inlineStr">
        <is>
          <t>https://www.thomassci.com/browse-by/suppliers/national-band-and-tag</t>
        </is>
      </c>
    </row>
    <row r="905">
      <c r="A905" t="n">
        <v>904</v>
      </c>
      <c r="B905" t="inlineStr">
        <is>
          <t>National Chemical Laboratories</t>
        </is>
      </c>
      <c r="C905" t="inlineStr">
        <is>
          <t>T</t>
        </is>
      </c>
      <c r="E905" t="inlineStr">
        <is>
          <t>https://www.thomassci.com/browse-by/suppliers/national-chemical-laboratories</t>
        </is>
      </c>
      <c r="F905" t="inlineStr"/>
      <c r="J905" t="inlineStr"/>
      <c r="Y905" t="inlineStr">
        <is>
          <t>unknown</t>
        </is>
      </c>
      <c r="Z905" t="inlineStr"/>
      <c r="AA905" t="inlineStr"/>
      <c r="AB905" t="inlineStr"/>
      <c r="AC905" t="inlineStr"/>
      <c r="AD905" t="inlineStr">
        <is>
          <t>לא נמצא בסריקת המפיצים</t>
        </is>
      </c>
      <c r="AE905" t="inlineStr">
        <is>
          <t>סריקת אתרי מפיצים</t>
        </is>
      </c>
      <c r="AG905" t="inlineStr"/>
      <c r="AH905" t="inlineStr"/>
      <c r="AJ905" t="inlineStr"/>
      <c r="AP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https://n-biotek.com</t>
        </is>
      </c>
      <c r="I906" t="inlineStr">
        <is>
          <t>clearbit</t>
        </is>
      </c>
      <c r="J906" t="inlineStr"/>
      <c r="Y906" t="inlineStr">
        <is>
          <t>unknown</t>
        </is>
      </c>
      <c r="Z906" t="inlineStr"/>
      <c r="AA906" t="inlineStr"/>
      <c r="AB906" t="inlineStr"/>
      <c r="AC906" t="inlineStr"/>
      <c r="AD906" t="inlineStr">
        <is>
          <t>לא נמצא בסריקת המפיצים</t>
        </is>
      </c>
      <c r="AE906" t="inlineStr">
        <is>
          <t>סריקת אתרי מפיצים</t>
        </is>
      </c>
      <c r="AG906" t="inlineStr"/>
      <c r="AH906" t="inlineStr"/>
      <c r="AJ906" t="inlineStr"/>
      <c r="AP906" t="inlineStr">
        <is>
          <t>https://www.dutscher.com/search?initialFilters=brand:Nbiotek</t>
        </is>
      </c>
    </row>
    <row r="907">
      <c r="A907" t="n">
        <v>906</v>
      </c>
      <c r="B907" t="inlineStr">
        <is>
          <t>NDC</t>
        </is>
      </c>
      <c r="C907" t="inlineStr">
        <is>
          <t>Q</t>
        </is>
      </c>
      <c r="F907" t="inlineStr">
        <is>
          <t>yes</t>
        </is>
      </c>
      <c r="H907" t="inlineStr">
        <is>
          <t>https://ndc-inc.com</t>
        </is>
      </c>
      <c r="I907" t="inlineStr">
        <is>
          <t>clearbit</t>
        </is>
      </c>
      <c r="J907" t="inlineStr"/>
      <c r="Y907" t="inlineStr">
        <is>
          <t>unknown</t>
        </is>
      </c>
      <c r="Z907" t="inlineStr"/>
      <c r="AA907" t="inlineStr"/>
      <c r="AB907" t="inlineStr"/>
      <c r="AC907" t="inlineStr"/>
      <c r="AD907" t="inlineStr">
        <is>
          <t>לא נמצא בסריקת המפיצים</t>
        </is>
      </c>
      <c r="AE907" t="inlineStr">
        <is>
          <t>סריקת אתרי מפיצים</t>
        </is>
      </c>
      <c r="AG907" t="inlineStr"/>
      <c r="AH907" t="inlineStr"/>
      <c r="AJ907" t="inlineStr"/>
      <c r="AP907" t="inlineStr">
        <is>
          <t>https://www.quartzy.com/suppliers</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t>
        </is>
      </c>
      <c r="J908" t="inlineStr"/>
      <c r="Y908" t="inlineStr">
        <is>
          <t>unknown</t>
        </is>
      </c>
      <c r="Z908" t="inlineStr"/>
      <c r="AA908" t="inlineStr"/>
      <c r="AB908" t="inlineStr"/>
      <c r="AC908" t="inlineStr"/>
      <c r="AD908" t="inlineStr">
        <is>
          <t>לא נמצא בסריקת המפיצים</t>
        </is>
      </c>
      <c r="AE908" t="inlineStr">
        <is>
          <t>סריקת אתרי מפיצים</t>
        </is>
      </c>
      <c r="AG908" t="inlineStr"/>
      <c r="AH908" t="inlineStr"/>
      <c r="AJ908" t="inlineStr"/>
      <c r="AP908" t="inlineStr">
        <is>
          <t>https://www.thomassci.com/browse-by/suppliers/nds-technologies</t>
        </is>
      </c>
    </row>
    <row r="909">
      <c r="A909" t="n">
        <v>908</v>
      </c>
      <c r="B909" t="inlineStr">
        <is>
          <t>NEL Scientific</t>
        </is>
      </c>
      <c r="C909" t="inlineStr">
        <is>
          <t>T</t>
        </is>
      </c>
      <c r="E909" t="inlineStr">
        <is>
          <t>https://www.thomassci.com/browse-by/suppliers/nel-scientific</t>
        </is>
      </c>
      <c r="F909" t="inlineStr"/>
      <c r="J909" t="inlineStr"/>
      <c r="Y909" t="inlineStr">
        <is>
          <t>unknown</t>
        </is>
      </c>
      <c r="Z909" t="inlineStr">
        <is>
          <t>Fluid Thioglycollate Medium (USP Formulation)</t>
        </is>
      </c>
      <c r="AA909" t="inlineStr">
        <is>
          <t>MR-VP Broth</t>
        </is>
      </c>
      <c r="AB909" t="inlineStr">
        <is>
          <t>Campy-Blaser</t>
        </is>
      </c>
      <c r="AC909" t="inlineStr">
        <is>
          <t>thomassci</t>
        </is>
      </c>
      <c r="AD909" t="inlineStr">
        <is>
          <t>לא נמצא בסריקת המפיצים</t>
        </is>
      </c>
      <c r="AE909" t="inlineStr">
        <is>
          <t>סריקת אתרי מפיצים</t>
        </is>
      </c>
      <c r="AG909" t="inlineStr"/>
      <c r="AH909" t="inlineStr"/>
      <c r="AJ909" t="inlineStr"/>
      <c r="AP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Y910" t="inlineStr">
        <is>
          <t>unknown</t>
        </is>
      </c>
      <c r="Z910" t="inlineStr"/>
      <c r="AA910" t="inlineStr"/>
      <c r="AB910" t="inlineStr"/>
      <c r="AC910" t="inlineStr"/>
      <c r="AD910" t="inlineStr">
        <is>
          <t>לא נמצא בסריקת המפיצים</t>
        </is>
      </c>
      <c r="AE910" t="inlineStr">
        <is>
          <t>סריקת אתרי מפיצים</t>
        </is>
      </c>
      <c r="AG910" t="inlineStr"/>
      <c r="AH910" t="inlineStr"/>
      <c r="AJ910" t="inlineStr"/>
      <c r="AP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Y911" t="inlineStr">
        <is>
          <t>unknown</t>
        </is>
      </c>
      <c r="Z911" t="inlineStr"/>
      <c r="AA911" t="inlineStr"/>
      <c r="AB911" t="inlineStr"/>
      <c r="AC911" t="inlineStr"/>
      <c r="AD911" t="inlineStr">
        <is>
          <t>לא נמצא בסריקת המפיצים</t>
        </is>
      </c>
      <c r="AE911" t="inlineStr">
        <is>
          <t>סריקת אתרי מפיצים</t>
        </is>
      </c>
      <c r="AG911" t="inlineStr"/>
      <c r="AH911" t="inlineStr"/>
      <c r="AJ911" t="inlineStr"/>
      <c r="AP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Y912" t="inlineStr">
        <is>
          <t>unknown</t>
        </is>
      </c>
      <c r="Z912" t="inlineStr"/>
      <c r="AA912" t="inlineStr"/>
      <c r="AB912" t="inlineStr"/>
      <c r="AC912" t="inlineStr"/>
      <c r="AD912" t="inlineStr">
        <is>
          <t>לא נמצא בסריקת המפיצים</t>
        </is>
      </c>
      <c r="AE912" t="inlineStr">
        <is>
          <t>סריקת אתרי מפיצים</t>
        </is>
      </c>
      <c r="AG912" t="inlineStr"/>
      <c r="AH912" t="inlineStr"/>
      <c r="AJ912" t="inlineStr"/>
      <c r="AP912" t="inlineStr">
        <is>
          <t>https://www.quartzy.com/suppliers</t>
        </is>
      </c>
    </row>
    <row r="913">
      <c r="A913" t="n">
        <v>912</v>
      </c>
      <c r="B913" t="inlineStr">
        <is>
          <t>Neuromics</t>
        </is>
      </c>
      <c r="C913" t="inlineStr">
        <is>
          <t>Q</t>
        </is>
      </c>
      <c r="F913" t="inlineStr">
        <is>
          <t>yes</t>
        </is>
      </c>
      <c r="H913" t="inlineStr">
        <is>
          <t>https://neuromics.com</t>
        </is>
      </c>
      <c r="I913" t="inlineStr">
        <is>
          <t>clearbit</t>
        </is>
      </c>
      <c r="J913" t="inlineStr"/>
      <c r="Y913" t="inlineStr">
        <is>
          <t>unknown</t>
        </is>
      </c>
      <c r="Z913" t="inlineStr"/>
      <c r="AA913" t="inlineStr"/>
      <c r="AB913" t="inlineStr"/>
      <c r="AC913" t="inlineStr"/>
      <c r="AD913" t="inlineStr">
        <is>
          <t>לא נמצא בסריקת המפיצים</t>
        </is>
      </c>
      <c r="AE913" t="inlineStr">
        <is>
          <t>סריקת אתרי מפיצים</t>
        </is>
      </c>
      <c r="AG913" t="inlineStr"/>
      <c r="AH913" t="inlineStr"/>
      <c r="AJ913" t="inlineStr"/>
      <c r="AP913" t="inlineStr">
        <is>
          <t>https://www.quartzy.com/suppliers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t>
        </is>
      </c>
      <c r="J914" t="inlineStr"/>
      <c r="Y914" t="inlineStr">
        <is>
          <t>unknown</t>
        </is>
      </c>
      <c r="Z914" t="inlineStr"/>
      <c r="AA914" t="inlineStr"/>
      <c r="AB914" t="inlineStr"/>
      <c r="AC914" t="inlineStr"/>
      <c r="AD914" t="inlineStr">
        <is>
          <t>לא נמצא בסריקת המפיצים</t>
        </is>
      </c>
      <c r="AE914" t="inlineStr">
        <is>
          <t>סריקת אתרי מפיצים</t>
        </is>
      </c>
      <c r="AG914" t="inlineStr"/>
      <c r="AH914" t="inlineStr"/>
      <c r="AJ914" t="inlineStr"/>
      <c r="AP914" t="inlineStr">
        <is>
          <t>https://www.quartzy.com/suppliers | https://www.thomassci.com/browse-by/suppliers/nevs-ink</t>
        </is>
      </c>
    </row>
    <row r="915">
      <c r="A915" t="n">
        <v>914</v>
      </c>
      <c r="B915" t="inlineStr">
        <is>
          <t>New Brunswick Scientific</t>
        </is>
      </c>
      <c r="C915" t="inlineStr">
        <is>
          <t>T</t>
        </is>
      </c>
      <c r="E915" t="inlineStr">
        <is>
          <t>https://www.thomassci.com/browse-by/suppliers/new-brunswick-scientific</t>
        </is>
      </c>
      <c r="F915" t="inlineStr"/>
      <c r="J915" t="inlineStr"/>
      <c r="Y915" t="inlineStr">
        <is>
          <t>unknown</t>
        </is>
      </c>
      <c r="Z915" t="inlineStr"/>
      <c r="AA915" t="inlineStr"/>
      <c r="AB915" t="inlineStr"/>
      <c r="AC915" t="inlineStr"/>
      <c r="AD915" t="inlineStr">
        <is>
          <t>לא נמצא בסריקת המפיצים</t>
        </is>
      </c>
      <c r="AE915" t="inlineStr">
        <is>
          <t>סריקת אתרי מפיצים</t>
        </is>
      </c>
      <c r="AG915" t="inlineStr"/>
      <c r="AH915" t="inlineStr"/>
      <c r="AJ915" t="inlineStr"/>
      <c r="AP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P916" t="n">
        <v>1000</v>
      </c>
      <c r="Q916" t="n">
        <v>2024</v>
      </c>
      <c r="R916" t="inlineStr">
        <is>
          <t>estimate</t>
        </is>
      </c>
      <c r="S916" t="inlineStr">
        <is>
          <t>prior</t>
        </is>
      </c>
      <c r="T916" t="n">
        <v>500</v>
      </c>
      <c r="U916" t="inlineStr">
        <is>
          <t>USD ~500 million (trade estimate; private)</t>
        </is>
      </c>
      <c r="V916" t="inlineStr">
        <is>
          <t>2024 (estimate)</t>
        </is>
      </c>
      <c r="W916" t="inlineStr">
        <is>
          <t>estimate</t>
        </is>
      </c>
      <c r="X916" t="inlineStr">
        <is>
          <t>prior</t>
        </is>
      </c>
      <c r="Y916" t="inlineStr">
        <is>
          <t>estimate</t>
        </is>
      </c>
      <c r="Z916" t="inlineStr">
        <is>
          <t>Q5 High-Fidelity DNA Polymerase</t>
        </is>
      </c>
      <c r="AA916" t="inlineStr">
        <is>
          <t>NEBNext</t>
        </is>
      </c>
      <c r="AB916" t="inlineStr">
        <is>
          <t>Monarch</t>
        </is>
      </c>
      <c r="AC916" t="inlineStr">
        <is>
          <t>prior</t>
        </is>
      </c>
      <c r="AD916" t="inlineStr">
        <is>
          <t>מפיץ/נציג בישראל</t>
        </is>
      </c>
      <c r="AE916" t="inlineStr">
        <is>
          <t>אומת</t>
        </is>
      </c>
      <c r="AF916" t="n">
        <v>2026</v>
      </c>
      <c r="AG916" t="inlineStr">
        <is>
          <t>Ornat BioChemicals &amp; Lab Equipment Ltd.</t>
        </is>
      </c>
      <c r="AH916" t="inlineStr">
        <is>
          <t>Ornat BioChemicals &amp; Lab Equipment Ltd.: +972-8-9477077 ornatbio@ornat.co.il</t>
        </is>
      </c>
      <c r="AI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916" t="inlineStr">
        <is>
          <t>+1 978-928-5054</t>
        </is>
      </c>
      <c r="AK916" t="inlineStr">
        <is>
          <t>info@neb.com</t>
        </is>
      </c>
      <c r="AL916" t="inlineStr">
        <is>
          <t>240 County Road, Ipswich, MA 01938-2723, USA</t>
        </is>
      </c>
      <c r="AM916" t="inlineStr">
        <is>
          <t>https://www.neb.com/en-us/support/international-ordering-support</t>
        </is>
      </c>
      <c r="AN916" t="inlineStr">
        <is>
          <t>https://www.neb.com/en-us/support/international-ordering-support</t>
        </is>
      </c>
      <c r="AP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https://newpig.com</t>
        </is>
      </c>
      <c r="I917" t="inlineStr">
        <is>
          <t>clearbit</t>
        </is>
      </c>
      <c r="J917" t="inlineStr"/>
      <c r="Y917" t="inlineStr">
        <is>
          <t>unknown</t>
        </is>
      </c>
      <c r="Z917" t="inlineStr"/>
      <c r="AA917" t="inlineStr"/>
      <c r="AB917" t="inlineStr"/>
      <c r="AC917" t="inlineStr"/>
      <c r="AD917" t="inlineStr">
        <is>
          <t>לא נמצא בסריקת המפיצים</t>
        </is>
      </c>
      <c r="AE917" t="inlineStr">
        <is>
          <t>סריקת אתרי מפיצים</t>
        </is>
      </c>
      <c r="AG917" t="inlineStr"/>
      <c r="AH917" t="inlineStr"/>
      <c r="AJ917" t="inlineStr"/>
      <c r="AP917" t="inlineStr">
        <is>
          <t>https://www.thomassci.com/browse-by/suppliers/new-pig</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t>
        </is>
      </c>
      <c r="J918" t="inlineStr"/>
      <c r="Y918" t="inlineStr">
        <is>
          <t>unknown</t>
        </is>
      </c>
      <c r="Z918" t="inlineStr"/>
      <c r="AA918" t="inlineStr"/>
      <c r="AB918" t="inlineStr"/>
      <c r="AC918" t="inlineStr"/>
      <c r="AD918" t="inlineStr">
        <is>
          <t>לא נמצא בסריקת המפיצים</t>
        </is>
      </c>
      <c r="AE918" t="inlineStr">
        <is>
          <t>סריקת אתרי מפיצים</t>
        </is>
      </c>
      <c r="AG918" t="inlineStr"/>
      <c r="AH918" t="inlineStr"/>
      <c r="AJ918" t="inlineStr"/>
      <c r="AP918" t="inlineStr">
        <is>
          <t>https://www.thomassci.com/browse-by/suppliers/newark-wire</t>
        </is>
      </c>
    </row>
    <row r="919">
      <c r="A919" t="n">
        <v>918</v>
      </c>
      <c r="B919" t="inlineStr">
        <is>
          <t>Newcomer Supply</t>
        </is>
      </c>
      <c r="C919" t="inlineStr">
        <is>
          <t>Q</t>
        </is>
      </c>
      <c r="F919" t="inlineStr">
        <is>
          <t>yes</t>
        </is>
      </c>
      <c r="H919" t="inlineStr">
        <is>
          <t>https://newcomersupply.com</t>
        </is>
      </c>
      <c r="I919" t="inlineStr">
        <is>
          <t>clearbit</t>
        </is>
      </c>
      <c r="J919" t="inlineStr"/>
      <c r="Y919" t="inlineStr">
        <is>
          <t>unknown</t>
        </is>
      </c>
      <c r="Z919" t="inlineStr"/>
      <c r="AA919" t="inlineStr"/>
      <c r="AB919" t="inlineStr"/>
      <c r="AC919" t="inlineStr"/>
      <c r="AD919" t="inlineStr">
        <is>
          <t>לא נמצא בסריקת המפיצים</t>
        </is>
      </c>
      <c r="AE919" t="inlineStr">
        <is>
          <t>סריקת אתרי מפיצים</t>
        </is>
      </c>
      <c r="AG919" t="inlineStr"/>
      <c r="AH919" t="inlineStr"/>
      <c r="AJ919" t="inlineStr"/>
      <c r="AP919" t="inlineStr">
        <is>
          <t>https://www.quartzy.com/suppliers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t>
        </is>
      </c>
      <c r="J920" t="inlineStr"/>
      <c r="Y920" t="inlineStr">
        <is>
          <t>unknown</t>
        </is>
      </c>
      <c r="Z920" t="inlineStr"/>
      <c r="AA920" t="inlineStr"/>
      <c r="AB920" t="inlineStr"/>
      <c r="AC920" t="inlineStr"/>
      <c r="AD920" t="inlineStr">
        <is>
          <t>לא נמצא בסריקת המפיצים</t>
        </is>
      </c>
      <c r="AE920" t="inlineStr">
        <is>
          <t>סריקת אתרי מפיצים</t>
        </is>
      </c>
      <c r="AG920" t="inlineStr"/>
      <c r="AH920" t="inlineStr"/>
      <c r="AJ920" t="inlineStr"/>
      <c r="AP920" t="inlineStr">
        <is>
          <t>https://www.thomassci.com/browse-by/suppliers/newman-medical</t>
        </is>
      </c>
    </row>
    <row r="921">
      <c r="A921" t="n">
        <v>920</v>
      </c>
      <c r="B921" t="inlineStr">
        <is>
          <t>Newtex Industries</t>
        </is>
      </c>
      <c r="C921" t="inlineStr">
        <is>
          <t>T</t>
        </is>
      </c>
      <c r="E921" t="inlineStr">
        <is>
          <t>https://www.thomassci.com/browse-by/suppliers/newtex-industries</t>
        </is>
      </c>
      <c r="F921" t="inlineStr"/>
      <c r="J921" t="inlineStr"/>
      <c r="Y921" t="inlineStr">
        <is>
          <t>unknown</t>
        </is>
      </c>
      <c r="Z921" t="inlineStr"/>
      <c r="AA921" t="inlineStr"/>
      <c r="AB921" t="inlineStr"/>
      <c r="AC921" t="inlineStr"/>
      <c r="AD921" t="inlineStr">
        <is>
          <t>לא נמצא בסריקת המפיצים</t>
        </is>
      </c>
      <c r="AE921" t="inlineStr">
        <is>
          <t>סריקת אתרי מפיצים</t>
        </is>
      </c>
      <c r="AG921" t="inlineStr"/>
      <c r="AH921" t="inlineStr"/>
      <c r="AJ921" t="inlineStr"/>
      <c r="AP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Y922" t="inlineStr">
        <is>
          <t>unknown</t>
        </is>
      </c>
      <c r="Z922" t="inlineStr"/>
      <c r="AA922" t="inlineStr"/>
      <c r="AB922" t="inlineStr"/>
      <c r="AC922" t="inlineStr"/>
      <c r="AD922" t="inlineStr">
        <is>
          <t>לא נמצא בסריקת המפיצים</t>
        </is>
      </c>
      <c r="AE922" t="inlineStr">
        <is>
          <t>סריקת אתרי מפיצים</t>
        </is>
      </c>
      <c r="AG922" t="inlineStr"/>
      <c r="AH922" t="inlineStr"/>
      <c r="AJ922" t="inlineStr"/>
      <c r="AP922" t="inlineStr">
        <is>
          <t>https://www.dutscher.com/search?initialFilters=brand:Next+advance</t>
        </is>
      </c>
    </row>
    <row r="923">
      <c r="A923" t="n">
        <v>922</v>
      </c>
      <c r="B923" t="inlineStr">
        <is>
          <t>NeXtal</t>
        </is>
      </c>
      <c r="C923" t="inlineStr">
        <is>
          <t>Q</t>
        </is>
      </c>
      <c r="F923" t="inlineStr">
        <is>
          <t>yes</t>
        </is>
      </c>
      <c r="H923" t="inlineStr">
        <is>
          <t>https://nextalk.com</t>
        </is>
      </c>
      <c r="I923" t="inlineStr">
        <is>
          <t>clearbit</t>
        </is>
      </c>
      <c r="J923" t="inlineStr"/>
      <c r="Y923" t="inlineStr">
        <is>
          <t>unknown</t>
        </is>
      </c>
      <c r="Z923" t="inlineStr"/>
      <c r="AA923" t="inlineStr"/>
      <c r="AB923" t="inlineStr"/>
      <c r="AC923" t="inlineStr"/>
      <c r="AD923" t="inlineStr">
        <is>
          <t>לא נמצא בסריקת המפיצים</t>
        </is>
      </c>
      <c r="AE923" t="inlineStr">
        <is>
          <t>סריקת אתרי מפיצים</t>
        </is>
      </c>
      <c r="AG923" t="inlineStr"/>
      <c r="AH923" t="inlineStr"/>
      <c r="AJ923" t="inlineStr"/>
      <c r="AP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t>
        </is>
      </c>
      <c r="J924" t="inlineStr"/>
      <c r="Y924" t="inlineStr">
        <is>
          <t>unknown</t>
        </is>
      </c>
      <c r="Z924" t="inlineStr"/>
      <c r="AA924" t="inlineStr"/>
      <c r="AB924" t="inlineStr"/>
      <c r="AC924" t="inlineStr"/>
      <c r="AD924" t="inlineStr">
        <is>
          <t>לא נמצא בסריקת המפיצים</t>
        </is>
      </c>
      <c r="AE924" t="inlineStr">
        <is>
          <t>סריקת אתרי מפיצים</t>
        </is>
      </c>
      <c r="AG924" t="inlineStr"/>
      <c r="AH924" t="inlineStr"/>
      <c r="AJ924" t="inlineStr"/>
      <c r="AP924" t="inlineStr">
        <is>
          <t>https://www.dutscher.com/search?initialFilters=brand:Nichiryo</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P925" t="n">
        <v>19928</v>
      </c>
      <c r="Q925" t="n">
        <v>2026</v>
      </c>
      <c r="R925" t="inlineStr">
        <is>
          <t>parent</t>
        </is>
      </c>
      <c r="S925" t="inlineStr">
        <is>
          <t>prior</t>
        </is>
      </c>
      <c r="T925" t="n">
        <v>750</v>
      </c>
      <c r="U925" t="inlineStr">
        <is>
          <t>JPY 111,922 million</t>
        </is>
      </c>
      <c r="V925" t="inlineStr">
        <is>
          <t>FY ended Mar-2026</t>
        </is>
      </c>
      <c r="W925" t="inlineStr">
        <is>
          <t>segment</t>
        </is>
      </c>
      <c r="X925" t="inlineStr">
        <is>
          <t>prior</t>
        </is>
      </c>
      <c r="Y925" t="inlineStr">
        <is>
          <t>reported</t>
        </is>
      </c>
      <c r="Z925" t="inlineStr">
        <is>
          <t>ECLIPSE Ti2</t>
        </is>
      </c>
      <c r="AA925" t="inlineStr">
        <is>
          <t>AX / AX R with NSPARC</t>
        </is>
      </c>
      <c r="AB925" t="inlineStr">
        <is>
          <t>ECLIPSE Ji</t>
        </is>
      </c>
      <c r="AC925" t="inlineStr">
        <is>
          <t>prior</t>
        </is>
      </c>
      <c r="AD925" t="inlineStr">
        <is>
          <t>מפיץ/נציג בישראל</t>
        </is>
      </c>
      <c r="AE925" t="inlineStr">
        <is>
          <t>אומת</t>
        </is>
      </c>
      <c r="AF925" t="n">
        <v>2026</v>
      </c>
      <c r="AG925" t="inlineStr">
        <is>
          <t>Agentek Ltd.</t>
        </is>
      </c>
      <c r="AH925" t="inlineStr">
        <is>
          <t>Agentek Ltd.: +972 9-965-7000</t>
        </is>
      </c>
      <c r="AI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J925" t="inlineStr">
        <is>
          <t>+81 3 3773 1111</t>
        </is>
      </c>
      <c r="AK925" t="inlineStr">
        <is>
          <t>Bsmarketing.Sales@nikon.com</t>
        </is>
      </c>
      <c r="AL925" t="inlineStr">
        <is>
          <t>1-5-20 Nishi-Oi, Shinagawa-ku, Tokyo 140-8601, Japan</t>
        </is>
      </c>
      <c r="AM925" t="inlineStr">
        <is>
          <t>https://www.healthcare.nikon.com/en/contact</t>
        </is>
      </c>
      <c r="AN925" t="inlineStr">
        <is>
          <t>https://www.nikon.com/company/sustainability/report/2025/sr2025_03.pdf</t>
        </is>
      </c>
      <c r="AP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t>
        </is>
      </c>
    </row>
    <row r="926">
      <c r="A926" t="n">
        <v>925</v>
      </c>
      <c r="B926" t="inlineStr">
        <is>
          <t>Nilfisk-Advance</t>
        </is>
      </c>
      <c r="C926" t="inlineStr">
        <is>
          <t>T</t>
        </is>
      </c>
      <c r="E926" t="inlineStr">
        <is>
          <t>https://www.thomassci.com/browse-by/suppliers/nilfisk-advance</t>
        </is>
      </c>
      <c r="F926" t="inlineStr"/>
      <c r="J926" t="inlineStr"/>
      <c r="Y926" t="inlineStr">
        <is>
          <t>unknown</t>
        </is>
      </c>
      <c r="Z926" t="inlineStr"/>
      <c r="AA926" t="inlineStr"/>
      <c r="AB926" t="inlineStr"/>
      <c r="AC926" t="inlineStr"/>
      <c r="AD926" t="inlineStr">
        <is>
          <t>לא נמצא בסריקת המפיצים</t>
        </is>
      </c>
      <c r="AE926" t="inlineStr">
        <is>
          <t>סריקת אתרי מפיצים</t>
        </is>
      </c>
      <c r="AG926" t="inlineStr"/>
      <c r="AH926" t="inlineStr"/>
      <c r="AJ926" t="inlineStr"/>
      <c r="AP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Y927" t="inlineStr">
        <is>
          <t>unknown</t>
        </is>
      </c>
      <c r="Z927" t="inlineStr"/>
      <c r="AA927" t="inlineStr"/>
      <c r="AB927" t="inlineStr"/>
      <c r="AC927" t="inlineStr"/>
      <c r="AD927" t="inlineStr">
        <is>
          <t>לא נמצא בסריקת המפיצים</t>
        </is>
      </c>
      <c r="AE927" t="inlineStr">
        <is>
          <t>סריקת אתרי מפיצים</t>
        </is>
      </c>
      <c r="AG927" t="inlineStr"/>
      <c r="AH927" t="inlineStr"/>
      <c r="AJ927" t="inlineStr"/>
      <c r="AP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t>
        </is>
      </c>
      <c r="J928" t="inlineStr"/>
      <c r="Y928" t="inlineStr">
        <is>
          <t>unknown</t>
        </is>
      </c>
      <c r="Z928" t="inlineStr"/>
      <c r="AA928" t="inlineStr"/>
      <c r="AB928" t="inlineStr"/>
      <c r="AC928" t="inlineStr"/>
      <c r="AD928" t="inlineStr">
        <is>
          <t>לא נמצא בסריקת המפיצים</t>
        </is>
      </c>
      <c r="AE928" t="inlineStr">
        <is>
          <t>סריקת אתרי מפיצים</t>
        </is>
      </c>
      <c r="AG928" t="inlineStr"/>
      <c r="AH928" t="inlineStr"/>
      <c r="AJ928" t="inlineStr"/>
      <c r="AP928" t="inlineStr">
        <is>
          <t>https://www.thomassci.com/browse-by/suppliers/norgen-biotek</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t>
        </is>
      </c>
      <c r="J929" t="inlineStr"/>
      <c r="Y929" t="inlineStr">
        <is>
          <t>unknown</t>
        </is>
      </c>
      <c r="Z929" t="inlineStr"/>
      <c r="AA929" t="inlineStr"/>
      <c r="AB929" t="inlineStr"/>
      <c r="AC929" t="inlineStr"/>
      <c r="AD929" t="inlineStr">
        <is>
          <t>לא נמצא בסריקת המפיצים</t>
        </is>
      </c>
      <c r="AE929" t="inlineStr">
        <is>
          <t>סריקת אתרי מפיצים</t>
        </is>
      </c>
      <c r="AG929" t="inlineStr"/>
      <c r="AH929" t="inlineStr"/>
      <c r="AJ929" t="inlineStr"/>
      <c r="AP929" t="inlineStr">
        <is>
          <t>https://www.thomassci.com/browse-by/suppliers/nortech-labs</t>
        </is>
      </c>
    </row>
    <row r="930">
      <c r="A930" t="n">
        <v>929</v>
      </c>
      <c r="B930" t="inlineStr">
        <is>
          <t>North</t>
        </is>
      </c>
      <c r="C930" t="inlineStr">
        <is>
          <t>T</t>
        </is>
      </c>
      <c r="E930" t="inlineStr">
        <is>
          <t>https://www.thomassci.com/browse-by/suppliers/north</t>
        </is>
      </c>
      <c r="F930" t="inlineStr"/>
      <c r="J930" t="inlineStr"/>
      <c r="Y930" t="inlineStr">
        <is>
          <t>unknown</t>
        </is>
      </c>
      <c r="Z930" t="inlineStr"/>
      <c r="AA930" t="inlineStr"/>
      <c r="AB930" t="inlineStr"/>
      <c r="AC930" t="inlineStr"/>
      <c r="AD930" t="inlineStr">
        <is>
          <t>לא נמצא בסריקת המפיצים</t>
        </is>
      </c>
      <c r="AE930" t="inlineStr">
        <is>
          <t>סריקת אתרי מפיצים</t>
        </is>
      </c>
      <c r="AG930" t="inlineStr"/>
      <c r="AH930" t="inlineStr"/>
      <c r="AJ930" t="inlineStr"/>
      <c r="AP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Y931" t="inlineStr">
        <is>
          <t>unknown</t>
        </is>
      </c>
      <c r="Z931" t="inlineStr"/>
      <c r="AA931" t="inlineStr"/>
      <c r="AB931" t="inlineStr"/>
      <c r="AC931" t="inlineStr"/>
      <c r="AD931" t="inlineStr">
        <is>
          <t>לא נמצא בסריקת המפיצים</t>
        </is>
      </c>
      <c r="AE931" t="inlineStr">
        <is>
          <t>סריקת אתרי מפיצים</t>
        </is>
      </c>
      <c r="AG931" t="inlineStr"/>
      <c r="AH931" t="inlineStr"/>
      <c r="AJ931" t="inlineStr"/>
      <c r="AP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Y932" t="inlineStr">
        <is>
          <t>unknown</t>
        </is>
      </c>
      <c r="Z932" t="inlineStr"/>
      <c r="AA932" t="inlineStr"/>
      <c r="AB932" t="inlineStr"/>
      <c r="AC932" t="inlineStr"/>
      <c r="AD932" t="inlineStr">
        <is>
          <t>לא נמצא בסריקת המפיצים</t>
        </is>
      </c>
      <c r="AE932" t="inlineStr">
        <is>
          <t>סריקת אתרי מפיצים</t>
        </is>
      </c>
      <c r="AG932" t="inlineStr"/>
      <c r="AH932" t="inlineStr"/>
      <c r="AJ932" t="inlineStr"/>
      <c r="AP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Y933" t="inlineStr">
        <is>
          <t>unknown</t>
        </is>
      </c>
      <c r="Z933" t="inlineStr"/>
      <c r="AA933" t="inlineStr"/>
      <c r="AB933" t="inlineStr"/>
      <c r="AC933" t="inlineStr"/>
      <c r="AD933" t="inlineStr">
        <is>
          <t>לא נמצא בסריקת המפיצים</t>
        </is>
      </c>
      <c r="AE933" t="inlineStr">
        <is>
          <t>סריקת אתרי מפיצים</t>
        </is>
      </c>
      <c r="AG933" t="inlineStr"/>
      <c r="AH933" t="inlineStr"/>
      <c r="AJ933" t="inlineStr"/>
      <c r="AP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Y934" t="inlineStr">
        <is>
          <t>unknown</t>
        </is>
      </c>
      <c r="Z934" t="inlineStr"/>
      <c r="AA934" t="inlineStr"/>
      <c r="AB934" t="inlineStr"/>
      <c r="AC934" t="inlineStr"/>
      <c r="AD934" t="inlineStr">
        <is>
          <t>לא נמצא בסריקת המפיצים</t>
        </is>
      </c>
      <c r="AE934" t="inlineStr">
        <is>
          <t>סריקת אתרי מפיצים</t>
        </is>
      </c>
      <c r="AG934" t="inlineStr"/>
      <c r="AH934" t="inlineStr"/>
      <c r="AJ934" t="inlineStr"/>
      <c r="AP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t>
        </is>
      </c>
      <c r="J935" t="inlineStr"/>
      <c r="Y935" t="inlineStr">
        <is>
          <t>unknown</t>
        </is>
      </c>
      <c r="Z935" t="inlineStr"/>
      <c r="AA935" t="inlineStr"/>
      <c r="AB935" t="inlineStr"/>
      <c r="AC935" t="inlineStr"/>
      <c r="AD935" t="inlineStr">
        <is>
          <t>לא נמצא בסריקת המפיצים</t>
        </is>
      </c>
      <c r="AE935" t="inlineStr">
        <is>
          <t>סריקת אתרי מפיצים</t>
        </is>
      </c>
      <c r="AG935" t="inlineStr"/>
      <c r="AH935" t="inlineStr"/>
      <c r="AJ935" t="inlineStr"/>
      <c r="AP935" t="inlineStr">
        <is>
          <t>https://www.quartzy.com/suppliers</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P936" t="n">
        <v>3100</v>
      </c>
      <c r="Q936" t="n">
        <v>2025</v>
      </c>
      <c r="R936" t="inlineStr">
        <is>
          <t>company</t>
        </is>
      </c>
      <c r="S936" t="inlineStr">
        <is>
          <t>prior</t>
        </is>
      </c>
      <c r="T936" t="n">
        <v>1220</v>
      </c>
      <c r="U936" t="inlineStr">
        <is>
          <t>USD 1.2 billion (approx.; flat vs FY2025 USD 1,219.6 million)</t>
        </is>
      </c>
      <c r="V936" t="inlineStr">
        <is>
          <t>FY Jun-2026</t>
        </is>
      </c>
      <c r="W936" t="inlineStr">
        <is>
          <t>company</t>
        </is>
      </c>
      <c r="X936" t="inlineStr">
        <is>
          <t>prior</t>
        </is>
      </c>
      <c r="Y936" t="inlineStr">
        <is>
          <t>reported</t>
        </is>
      </c>
      <c r="Z936" t="inlineStr">
        <is>
          <t>ProteinSimple Jess / Simple Western</t>
        </is>
      </c>
      <c r="AA936" t="inlineStr">
        <is>
          <t>R&amp;D Systems proteins, antibodies &amp; Quantikine ELISAs</t>
        </is>
      </c>
      <c r="AB936" t="inlineStr">
        <is>
          <t>RNAscope (ACD)</t>
        </is>
      </c>
      <c r="AC936" t="inlineStr">
        <is>
          <t>prior</t>
        </is>
      </c>
      <c r="AD936" t="inlineStr">
        <is>
          <t>מפיץ/נציג בישראל</t>
        </is>
      </c>
      <c r="AE936" t="inlineStr">
        <is>
          <t>חיפוש חלקי</t>
        </is>
      </c>
      <c r="AF936" t="n">
        <v>2026</v>
      </c>
      <c r="AG936" t="inlineStr">
        <is>
          <t>Getter Bio-Med (Getter Group); Biotest</t>
        </is>
      </c>
      <c r="AH936" t="inlineStr">
        <is>
          <t>Getter Bio-Med (Getter Group): +972 3-576-1555 (Getter Group switchboard); Biotest:</t>
        </is>
      </c>
      <c r="AI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936" t="inlineStr">
        <is>
          <t>+1 800-343-7475</t>
        </is>
      </c>
      <c r="AK936" t="inlineStr">
        <is>
          <t>techsupport@bio-techne.com</t>
        </is>
      </c>
      <c r="AL936" t="inlineStr">
        <is>
          <t>614 McKinley Place NE, Minneapolis, MN 55413, USA</t>
        </is>
      </c>
      <c r="AM936" t="inlineStr">
        <is>
          <t>https://rndsystems.com/node/64566</t>
        </is>
      </c>
      <c r="AN936" t="inlineStr">
        <is>
          <t>https://rndsystems.com/node/64566</t>
        </is>
      </c>
      <c r="AP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Y937" t="inlineStr">
        <is>
          <t>unknown</t>
        </is>
      </c>
      <c r="Z937" t="inlineStr"/>
      <c r="AA937" t="inlineStr"/>
      <c r="AB937" t="inlineStr"/>
      <c r="AC937" t="inlineStr"/>
      <c r="AD937" t="inlineStr">
        <is>
          <t>לא נמצא בסריקת המפיצים</t>
        </is>
      </c>
      <c r="AE937" t="inlineStr">
        <is>
          <t>סריקת אתרי מפיצים</t>
        </is>
      </c>
      <c r="AG937" t="inlineStr"/>
      <c r="AH937" t="inlineStr"/>
      <c r="AJ937" t="inlineStr"/>
      <c r="AP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t>
        </is>
      </c>
      <c r="J938" t="inlineStr"/>
      <c r="Y938" t="inlineStr">
        <is>
          <t>unknown</t>
        </is>
      </c>
      <c r="Z938" t="inlineStr"/>
      <c r="AA938" t="inlineStr"/>
      <c r="AB938" t="inlineStr"/>
      <c r="AC938" t="inlineStr"/>
      <c r="AD938" t="inlineStr">
        <is>
          <t>לא נמצא בסריקת המפיצים</t>
        </is>
      </c>
      <c r="AE938" t="inlineStr">
        <is>
          <t>סריקת אתרי מפיצים</t>
        </is>
      </c>
      <c r="AG938" t="inlineStr"/>
      <c r="AH938" t="inlineStr"/>
      <c r="AJ938" t="inlineStr"/>
      <c r="AP938" t="inlineStr">
        <is>
          <t>https://www.thomassci.com/browse-by/suppliers/nsi-lab-solutions</t>
        </is>
      </c>
    </row>
    <row r="939">
      <c r="A939" t="n">
        <v>938</v>
      </c>
      <c r="B939" t="inlineStr">
        <is>
          <t>NSJ Bioreagents</t>
        </is>
      </c>
      <c r="C939" t="inlineStr">
        <is>
          <t>Q</t>
        </is>
      </c>
      <c r="F939" t="inlineStr">
        <is>
          <t>yes</t>
        </is>
      </c>
      <c r="H939" t="inlineStr">
        <is>
          <t>https://nsjbio.com</t>
        </is>
      </c>
      <c r="I939" t="inlineStr">
        <is>
          <t>clearbit</t>
        </is>
      </c>
      <c r="J939" t="inlineStr"/>
      <c r="Y939" t="inlineStr">
        <is>
          <t>unknown</t>
        </is>
      </c>
      <c r="Z939" t="inlineStr"/>
      <c r="AA939" t="inlineStr"/>
      <c r="AB939" t="inlineStr"/>
      <c r="AC939" t="inlineStr"/>
      <c r="AD939" t="inlineStr">
        <is>
          <t>לא נמצא בסריקת המפיצים</t>
        </is>
      </c>
      <c r="AE939" t="inlineStr">
        <is>
          <t>סריקת אתרי מפיצים</t>
        </is>
      </c>
      <c r="AG939" t="inlineStr"/>
      <c r="AH939" t="inlineStr"/>
      <c r="AJ939" t="inlineStr"/>
      <c r="AP939" t="inlineStr">
        <is>
          <t>https://www.quartzy.com/suppliers</t>
        </is>
      </c>
    </row>
    <row r="940">
      <c r="A940" t="n">
        <v>939</v>
      </c>
      <c r="B940" t="inlineStr">
        <is>
          <t>Nusep</t>
        </is>
      </c>
      <c r="C940" t="inlineStr">
        <is>
          <t>Q</t>
        </is>
      </c>
      <c r="F940" t="inlineStr">
        <is>
          <t>yes</t>
        </is>
      </c>
      <c r="H940" t="inlineStr">
        <is>
          <t>https://nusep.us</t>
        </is>
      </c>
      <c r="I940" t="inlineStr">
        <is>
          <t>clearbit</t>
        </is>
      </c>
      <c r="J940" t="inlineStr"/>
      <c r="Y940" t="inlineStr">
        <is>
          <t>unknown</t>
        </is>
      </c>
      <c r="Z940" t="inlineStr"/>
      <c r="AA940" t="inlineStr"/>
      <c r="AB940" t="inlineStr"/>
      <c r="AC940" t="inlineStr"/>
      <c r="AD940" t="inlineStr">
        <is>
          <t>לא נמצא בסריקת המפיצים</t>
        </is>
      </c>
      <c r="AE940" t="inlineStr">
        <is>
          <t>סריקת אתרי מפיצים</t>
        </is>
      </c>
      <c r="AG940" t="inlineStr"/>
      <c r="AH940" t="inlineStr"/>
      <c r="AJ940" t="inlineStr"/>
      <c r="AP940" t="inlineStr">
        <is>
          <t>https://www.quartzy.com/suppliers</t>
        </is>
      </c>
    </row>
    <row r="941">
      <c r="A941" t="n">
        <v>940</v>
      </c>
      <c r="B941" t="inlineStr">
        <is>
          <t>NxTBIO Technologies</t>
        </is>
      </c>
      <c r="C941" t="inlineStr">
        <is>
          <t>T</t>
        </is>
      </c>
      <c r="E941" t="inlineStr">
        <is>
          <t>https://www.thomassci.com/browse-by/suppliers/nxtbio-technologies</t>
        </is>
      </c>
      <c r="F941" t="inlineStr"/>
      <c r="J941" t="inlineStr"/>
      <c r="Y941" t="inlineStr">
        <is>
          <t>unknown</t>
        </is>
      </c>
      <c r="Z941" t="inlineStr"/>
      <c r="AA941" t="inlineStr"/>
      <c r="AB941" t="inlineStr"/>
      <c r="AC941" t="inlineStr"/>
      <c r="AD941" t="inlineStr">
        <is>
          <t>לא נמצא בסריקת המפיצים</t>
        </is>
      </c>
      <c r="AE941" t="inlineStr">
        <is>
          <t>סריקת אתרי מפיצים</t>
        </is>
      </c>
      <c r="AG941" t="inlineStr"/>
      <c r="AH941" t="inlineStr"/>
      <c r="AJ941" t="inlineStr"/>
      <c r="AP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Y942" t="inlineStr">
        <is>
          <t>unknown</t>
        </is>
      </c>
      <c r="Z942" t="inlineStr"/>
      <c r="AA942" t="inlineStr"/>
      <c r="AB942" t="inlineStr"/>
      <c r="AC942" t="inlineStr"/>
      <c r="AD942" t="inlineStr">
        <is>
          <t>לא נמצא בסריקת המפיצים</t>
        </is>
      </c>
      <c r="AE942" t="inlineStr">
        <is>
          <t>סריקת אתרי מפיצים</t>
        </is>
      </c>
      <c r="AG942" t="inlineStr"/>
      <c r="AH942" t="inlineStr"/>
      <c r="AJ942" t="inlineStr"/>
      <c r="AP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P943" t="n">
        <v>2000</v>
      </c>
      <c r="Q943" t="n">
        <v>2024</v>
      </c>
      <c r="R943" t="inlineStr">
        <is>
          <t>estimate</t>
        </is>
      </c>
      <c r="S943" t="inlineStr">
        <is>
          <t>prior</t>
        </is>
      </c>
      <c r="T943" t="n">
        <v>400</v>
      </c>
      <c r="U943" t="inlineStr">
        <is>
          <t>approx. USD 400 million (third-party directory estimate)</t>
        </is>
      </c>
      <c r="V943" t="inlineStr">
        <is>
          <t>n/a (directory estimate seen Oct 2026)</t>
        </is>
      </c>
      <c r="W943" t="inlineStr">
        <is>
          <t>estimate</t>
        </is>
      </c>
      <c r="X943" t="inlineStr">
        <is>
          <t>prior</t>
        </is>
      </c>
      <c r="Y943" t="inlineStr">
        <is>
          <t>estimate</t>
        </is>
      </c>
      <c r="Z943" t="inlineStr">
        <is>
          <t>Jenway spectrophotometers</t>
        </is>
      </c>
      <c r="AA943" t="inlineStr">
        <is>
          <t>Environmental Express HotBlock</t>
        </is>
      </c>
      <c r="AB943" t="inlineStr">
        <is>
          <t>Stuart / Techne benchtop equipment</t>
        </is>
      </c>
      <c r="AC943" t="inlineStr">
        <is>
          <t>prior</t>
        </is>
      </c>
      <c r="AD943" t="inlineStr">
        <is>
          <t>מפיץ/נציג בישראל</t>
        </is>
      </c>
      <c r="AE943" t="inlineStr">
        <is>
          <t>אומת</t>
        </is>
      </c>
      <c r="AF943" t="n">
        <v>2026</v>
      </c>
      <c r="AG943" t="inlineStr">
        <is>
          <t>Medent Scientific Instruments</t>
        </is>
      </c>
      <c r="AH943" t="inlineStr">
        <is>
          <t>Medent Scientific Instruments: +972 72-395-0508 (sales); +972 8-683-6306 (service) info@medent.co.il</t>
        </is>
      </c>
      <c r="AI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943" t="inlineStr">
        <is>
          <t>+1 800-323-4340</t>
        </is>
      </c>
      <c r="AK943" t="inlineStr">
        <is>
          <t>sales@antylia.com</t>
        </is>
      </c>
      <c r="AL943" t="inlineStr">
        <is>
          <t>625 East Bunker Court, Vernon Hills, IL 60061, USA</t>
        </is>
      </c>
      <c r="AN943" t="inlineStr">
        <is>
          <t>https://www.thomasnet.com/company/cole-parmer-1148924/profile</t>
        </is>
      </c>
      <c r="AP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Y944" t="inlineStr">
        <is>
          <t>unknown</t>
        </is>
      </c>
      <c r="Z944" t="inlineStr"/>
      <c r="AA944" t="inlineStr"/>
      <c r="AB944" t="inlineStr"/>
      <c r="AC944" t="inlineStr"/>
      <c r="AD944" t="inlineStr">
        <is>
          <t>לא נמצא בסריקת המפיצים</t>
        </is>
      </c>
      <c r="AE944" t="inlineStr">
        <is>
          <t>סריקת אתרי מפיצים</t>
        </is>
      </c>
      <c r="AG944" t="inlineStr"/>
      <c r="AH944" t="inlineStr"/>
      <c r="AJ944" t="inlineStr"/>
      <c r="AP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t>
        </is>
      </c>
      <c r="J945" t="inlineStr"/>
      <c r="Y945" t="inlineStr">
        <is>
          <t>unknown</t>
        </is>
      </c>
      <c r="Z945" t="inlineStr"/>
      <c r="AA945" t="inlineStr"/>
      <c r="AB945" t="inlineStr"/>
      <c r="AC945" t="inlineStr"/>
      <c r="AD945" t="inlineStr">
        <is>
          <t>לא נמצא בסריקת המפיצים</t>
        </is>
      </c>
      <c r="AE945" t="inlineStr">
        <is>
          <t>סריקת אתרי מפיצים</t>
        </is>
      </c>
      <c r="AG945" t="inlineStr"/>
      <c r="AH945" t="inlineStr"/>
      <c r="AJ945" t="inlineStr"/>
      <c r="AP945" t="inlineStr">
        <is>
          <t>https://www.quartzy.com/suppliers</t>
        </is>
      </c>
    </row>
    <row r="946">
      <c r="A946" t="n">
        <v>945</v>
      </c>
      <c r="B946" t="inlineStr">
        <is>
          <t>Ocean Converting Company</t>
        </is>
      </c>
      <c r="C946" t="inlineStr">
        <is>
          <t>T</t>
        </is>
      </c>
      <c r="E946" t="inlineStr">
        <is>
          <t>https://www.thomassci.com/browse-by/suppliers/ocean-converting-company</t>
        </is>
      </c>
      <c r="F946" t="inlineStr"/>
      <c r="J946" t="inlineStr"/>
      <c r="Y946" t="inlineStr">
        <is>
          <t>unknown</t>
        </is>
      </c>
      <c r="Z946" t="inlineStr"/>
      <c r="AA946" t="inlineStr"/>
      <c r="AB946" t="inlineStr"/>
      <c r="AC946" t="inlineStr"/>
      <c r="AD946" t="inlineStr">
        <is>
          <t>לא נמצא בסריקת המפיצים</t>
        </is>
      </c>
      <c r="AE946" t="inlineStr">
        <is>
          <t>סריקת אתרי מפיצים</t>
        </is>
      </c>
      <c r="AG946" t="inlineStr"/>
      <c r="AH946" t="inlineStr"/>
      <c r="AJ946" t="inlineStr"/>
      <c r="AP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Y947" t="inlineStr">
        <is>
          <t>unknown</t>
        </is>
      </c>
      <c r="Z947" t="inlineStr"/>
      <c r="AA947" t="inlineStr"/>
      <c r="AB947" t="inlineStr"/>
      <c r="AC947" t="inlineStr"/>
      <c r="AD947" t="inlineStr">
        <is>
          <t>לא נמצא בסריקת המפיצים</t>
        </is>
      </c>
      <c r="AE947" t="inlineStr">
        <is>
          <t>סריקת אתרי מפיצים</t>
        </is>
      </c>
      <c r="AG947" t="inlineStr"/>
      <c r="AH947" t="inlineStr"/>
      <c r="AJ947" t="inlineStr"/>
      <c r="AP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P948" t="n">
        <v>1000</v>
      </c>
      <c r="Q948" t="n">
        <v>2024</v>
      </c>
      <c r="R948" t="inlineStr">
        <is>
          <t>estimate</t>
        </is>
      </c>
      <c r="S948" t="inlineStr">
        <is>
          <t>prior</t>
        </is>
      </c>
      <c r="T948" t="n">
        <v>3872</v>
      </c>
      <c r="U948" t="inlineStr">
        <is>
          <t>USD 3.87 billion (parent Mettler-Toledo, FY2024; recalled, unverified this run)</t>
        </is>
      </c>
      <c r="V948" t="inlineStr">
        <is>
          <t>FY2024</t>
        </is>
      </c>
      <c r="W948" t="inlineStr">
        <is>
          <t>parent</t>
        </is>
      </c>
      <c r="X948" t="inlineStr">
        <is>
          <t>prior</t>
        </is>
      </c>
      <c r="Y948" t="inlineStr">
        <is>
          <t>estimate</t>
        </is>
      </c>
      <c r="Z948" t="inlineStr">
        <is>
          <t>Explorer series</t>
        </is>
      </c>
      <c r="AA948" t="inlineStr">
        <is>
          <t>Pioneer / Adventurer balances</t>
        </is>
      </c>
      <c r="AB948" t="inlineStr">
        <is>
          <t>Frontier series centrifuges</t>
        </is>
      </c>
      <c r="AC948" t="inlineStr">
        <is>
          <t>prior</t>
        </is>
      </c>
      <c r="AD948" t="inlineStr">
        <is>
          <t>מפיץ/נציג בישראל</t>
        </is>
      </c>
      <c r="AE948" t="inlineStr">
        <is>
          <t>אומת</t>
        </is>
      </c>
      <c r="AF948" t="n">
        <v>2026</v>
      </c>
      <c r="AG948" t="inlineStr">
        <is>
          <t>Labotal Scientific Equipment Ltd.</t>
        </is>
      </c>
      <c r="AH948" t="inlineStr">
        <is>
          <t>Labotal Scientific Equipment Ltd.: +972 2-579-9222 Sales@labotal.co.il</t>
        </is>
      </c>
      <c r="AI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J948" t="inlineStr">
        <is>
          <t>+1 973-377-9000</t>
        </is>
      </c>
      <c r="AL948" t="inlineStr">
        <is>
          <t>7 Campus Drive, Suite 310, Parsippany, NJ 07054, USA</t>
        </is>
      </c>
      <c r="AN948" t="inlineStr">
        <is>
          <t>https://www.labcompare.com/106635-OHAUS-Corporation/</t>
        </is>
      </c>
      <c r="AP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Y949" t="inlineStr">
        <is>
          <t>unknown</t>
        </is>
      </c>
      <c r="Z949" t="inlineStr"/>
      <c r="AA949" t="inlineStr"/>
      <c r="AB949" t="inlineStr"/>
      <c r="AC949" t="inlineStr"/>
      <c r="AD949" t="inlineStr">
        <is>
          <t>לא נמצא בסריקת המפיצים</t>
        </is>
      </c>
      <c r="AE949" t="inlineStr">
        <is>
          <t>סריקת אתרי מפיצים</t>
        </is>
      </c>
      <c r="AG949" t="inlineStr"/>
      <c r="AH949" t="inlineStr"/>
      <c r="AJ949" t="inlineStr"/>
      <c r="AP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t>
        </is>
      </c>
      <c r="J950" t="inlineStr"/>
      <c r="Y950" t="inlineStr">
        <is>
          <t>unknown</t>
        </is>
      </c>
      <c r="Z950" t="inlineStr"/>
      <c r="AA950" t="inlineStr"/>
      <c r="AB950" t="inlineStr"/>
      <c r="AC950" t="inlineStr"/>
      <c r="AD950" t="inlineStr">
        <is>
          <t>לא נמצא בסריקת המפיצים</t>
        </is>
      </c>
      <c r="AE950" t="inlineStr">
        <is>
          <t>סריקת אתרי מפיצים</t>
        </is>
      </c>
      <c r="AG950" t="inlineStr"/>
      <c r="AH950" t="inlineStr"/>
      <c r="AJ950" t="inlineStr"/>
      <c r="AP950" t="inlineStr">
        <is>
          <t>https://www.quartzy.com/suppliers | https://www.thomassci.com/browse-by/suppliers/omega-bio-tek</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Y951" t="inlineStr">
        <is>
          <t>unknown</t>
        </is>
      </c>
      <c r="Z951" t="inlineStr"/>
      <c r="AA951" t="inlineStr"/>
      <c r="AB951" t="inlineStr"/>
      <c r="AC951" t="inlineStr"/>
      <c r="AD951" t="inlineStr">
        <is>
          <t>לא נמצא בסריקת המפיצים</t>
        </is>
      </c>
      <c r="AE951" t="inlineStr">
        <is>
          <t>סריקת אתרי מפיצים</t>
        </is>
      </c>
      <c r="AG951" t="inlineStr"/>
      <c r="AH951" t="inlineStr"/>
      <c r="AJ951" t="inlineStr"/>
      <c r="AP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Y952" t="inlineStr">
        <is>
          <t>unknown</t>
        </is>
      </c>
      <c r="Z952" t="inlineStr"/>
      <c r="AA952" t="inlineStr"/>
      <c r="AB952" t="inlineStr"/>
      <c r="AC952" t="inlineStr"/>
      <c r="AD952" t="inlineStr">
        <is>
          <t>לא נמצא בסריקת המפיצים</t>
        </is>
      </c>
      <c r="AE952" t="inlineStr">
        <is>
          <t>סריקת אתרי מפיצים</t>
        </is>
      </c>
      <c r="AG952" t="inlineStr"/>
      <c r="AH952" t="inlineStr"/>
      <c r="AJ952" t="inlineStr"/>
      <c r="AP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t>
        </is>
      </c>
      <c r="J953" t="inlineStr"/>
      <c r="Y953" t="inlineStr">
        <is>
          <t>unknown</t>
        </is>
      </c>
      <c r="Z953" t="inlineStr"/>
      <c r="AA953" t="inlineStr"/>
      <c r="AB953" t="inlineStr"/>
      <c r="AC953" t="inlineStr"/>
      <c r="AD953" t="inlineStr">
        <is>
          <t>לא נמצא בסריקת המפיצים</t>
        </is>
      </c>
      <c r="AE953" t="inlineStr">
        <is>
          <t>סריקת אתרי מפיצים</t>
        </is>
      </c>
      <c r="AG953" t="inlineStr"/>
      <c r="AH953" t="inlineStr"/>
      <c r="AJ953" t="inlineStr"/>
      <c r="AP953" t="inlineStr">
        <is>
          <t>https://www.thomassci.com/browse-by/suppliers/omron-healthcare</t>
        </is>
      </c>
    </row>
    <row r="954">
      <c r="A954" t="n">
        <v>953</v>
      </c>
      <c r="B954" t="inlineStr">
        <is>
          <t>Oncodia AB</t>
        </is>
      </c>
      <c r="C954" t="inlineStr">
        <is>
          <t>T</t>
        </is>
      </c>
      <c r="E954" t="inlineStr">
        <is>
          <t>https://www.thomassci.com/browse-by/suppliers/oncodia-ab</t>
        </is>
      </c>
      <c r="F954" t="inlineStr"/>
      <c r="H954" t="inlineStr">
        <is>
          <t>https://oncodia.com</t>
        </is>
      </c>
      <c r="I954" t="inlineStr">
        <is>
          <t>clearbit</t>
        </is>
      </c>
      <c r="J954" t="inlineStr"/>
      <c r="Y954" t="inlineStr">
        <is>
          <t>unknown</t>
        </is>
      </c>
      <c r="Z954" t="inlineStr"/>
      <c r="AA954" t="inlineStr"/>
      <c r="AB954" t="inlineStr"/>
      <c r="AC954" t="inlineStr"/>
      <c r="AD954" t="inlineStr">
        <is>
          <t>לא נמצא בסריקת המפיצים</t>
        </is>
      </c>
      <c r="AE954" t="inlineStr">
        <is>
          <t>סריקת אתרי מפיצים</t>
        </is>
      </c>
      <c r="AG954" t="inlineStr"/>
      <c r="AH954" t="inlineStr"/>
      <c r="AJ954" t="inlineStr"/>
      <c r="AP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Y955" t="inlineStr">
        <is>
          <t>unknown</t>
        </is>
      </c>
      <c r="Z955" t="inlineStr"/>
      <c r="AA955" t="inlineStr"/>
      <c r="AB955" t="inlineStr"/>
      <c r="AC955" t="inlineStr"/>
      <c r="AD955" t="inlineStr">
        <is>
          <t>לא נמצא בסריקת המפיצים</t>
        </is>
      </c>
      <c r="AE955" t="inlineStr">
        <is>
          <t>סריקת אתרי מפיצים</t>
        </is>
      </c>
      <c r="AG955" t="inlineStr"/>
      <c r="AH955" t="inlineStr"/>
      <c r="AJ955" t="inlineStr"/>
      <c r="AP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https://optikaicourtage.fr</t>
        </is>
      </c>
      <c r="I956" t="inlineStr">
        <is>
          <t>clearbit</t>
        </is>
      </c>
      <c r="J956" t="inlineStr"/>
      <c r="Y956" t="inlineStr">
        <is>
          <t>unknown</t>
        </is>
      </c>
      <c r="Z956" t="inlineStr"/>
      <c r="AA956" t="inlineStr"/>
      <c r="AB956" t="inlineStr"/>
      <c r="AC956" t="inlineStr"/>
      <c r="AD956" t="inlineStr">
        <is>
          <t>לא נמצא בסריקת המפיצים</t>
        </is>
      </c>
      <c r="AE956" t="inlineStr">
        <is>
          <t>סריקת אתרי מפיצים</t>
        </is>
      </c>
      <c r="AG956" t="inlineStr"/>
      <c r="AH956" t="inlineStr"/>
      <c r="AJ956" t="inlineStr"/>
      <c r="AP956" t="inlineStr">
        <is>
          <t>https://www.dutscher.com/search?initialFilters=brand:Optika</t>
        </is>
      </c>
    </row>
    <row r="957">
      <c r="A957" t="n">
        <v>956</v>
      </c>
      <c r="B957" t="inlineStr">
        <is>
          <t>Optimize Technologies</t>
        </is>
      </c>
      <c r="C957" t="inlineStr">
        <is>
          <t>Q</t>
        </is>
      </c>
      <c r="F957" t="inlineStr">
        <is>
          <t>yes</t>
        </is>
      </c>
      <c r="H957" t="inlineStr">
        <is>
          <t>https://optimizetech.com</t>
        </is>
      </c>
      <c r="I957" t="inlineStr">
        <is>
          <t>clearbit</t>
        </is>
      </c>
      <c r="J957" t="inlineStr"/>
      <c r="Y957" t="inlineStr">
        <is>
          <t>unknown</t>
        </is>
      </c>
      <c r="Z957" t="inlineStr"/>
      <c r="AA957" t="inlineStr"/>
      <c r="AB957" t="inlineStr"/>
      <c r="AC957" t="inlineStr"/>
      <c r="AD957" t="inlineStr">
        <is>
          <t>לא נמצא בסריקת המפיצים</t>
        </is>
      </c>
      <c r="AE957" t="inlineStr">
        <is>
          <t>סריקת אתרי מפיצים</t>
        </is>
      </c>
      <c r="AG957" t="inlineStr"/>
      <c r="AH957" t="inlineStr"/>
      <c r="AJ957" t="inlineStr"/>
      <c r="AP957" t="inlineStr">
        <is>
          <t>https://www.quartzy.com/suppliers</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t>
        </is>
      </c>
      <c r="J958" t="inlineStr"/>
      <c r="Y958" t="inlineStr">
        <is>
          <t>unknown</t>
        </is>
      </c>
      <c r="Z958" t="inlineStr"/>
      <c r="AA958" t="inlineStr"/>
      <c r="AB958" t="inlineStr"/>
      <c r="AC958" t="inlineStr"/>
      <c r="AD958" t="inlineStr">
        <is>
          <t>לא נמצא בסריקת המפיצים</t>
        </is>
      </c>
      <c r="AE958" t="inlineStr">
        <is>
          <t>סריקת אתרי מפיצים</t>
        </is>
      </c>
      <c r="AG958" t="inlineStr"/>
      <c r="AH958" t="inlineStr"/>
      <c r="AJ958" t="inlineStr"/>
      <c r="AP958" t="inlineStr">
        <is>
          <t>https://www.thomassci.com/browse-by/suppliers/organomation</t>
        </is>
      </c>
    </row>
    <row r="959">
      <c r="A959" t="n">
        <v>958</v>
      </c>
      <c r="B959" t="inlineStr">
        <is>
          <t>OriGene</t>
        </is>
      </c>
      <c r="C959" t="inlineStr">
        <is>
          <t>Q</t>
        </is>
      </c>
      <c r="F959" t="inlineStr">
        <is>
          <t>yes</t>
        </is>
      </c>
      <c r="H959" t="inlineStr">
        <is>
          <t>https://origene.com</t>
        </is>
      </c>
      <c r="I959" t="inlineStr">
        <is>
          <t>clearbit</t>
        </is>
      </c>
      <c r="J959" t="inlineStr"/>
      <c r="Y959" t="inlineStr">
        <is>
          <t>unknown</t>
        </is>
      </c>
      <c r="Z959" t="inlineStr"/>
      <c r="AA959" t="inlineStr"/>
      <c r="AB959" t="inlineStr"/>
      <c r="AC959" t="inlineStr"/>
      <c r="AD959" t="inlineStr">
        <is>
          <t>לא נמצא בסריקת המפיצים</t>
        </is>
      </c>
      <c r="AE959" t="inlineStr">
        <is>
          <t>סריקת אתרי מפיצים</t>
        </is>
      </c>
      <c r="AG959" t="inlineStr"/>
      <c r="AH959" t="inlineStr"/>
      <c r="AJ959" t="inlineStr"/>
      <c r="AP959" t="inlineStr">
        <is>
          <t>https://www.quartzy.com/suppliers</t>
        </is>
      </c>
    </row>
    <row r="960">
      <c r="A960" t="n">
        <v>959</v>
      </c>
      <c r="B960" t="inlineStr">
        <is>
          <t>ORS Nasco</t>
        </is>
      </c>
      <c r="C960" t="inlineStr">
        <is>
          <t>T+Q</t>
        </is>
      </c>
      <c r="E960" t="inlineStr">
        <is>
          <t>https://www.thomassci.com/browse-by/suppliers/ors-nasco</t>
        </is>
      </c>
      <c r="F960" t="inlineStr">
        <is>
          <t>yes</t>
        </is>
      </c>
      <c r="H960" t="inlineStr">
        <is>
          <t>https://orsnasco.com</t>
        </is>
      </c>
      <c r="I960" t="inlineStr">
        <is>
          <t>clearbit</t>
        </is>
      </c>
      <c r="J960" t="inlineStr"/>
      <c r="Y960" t="inlineStr">
        <is>
          <t>unknown</t>
        </is>
      </c>
      <c r="Z960" t="inlineStr"/>
      <c r="AA960" t="inlineStr"/>
      <c r="AB960" t="inlineStr"/>
      <c r="AC960" t="inlineStr"/>
      <c r="AD960" t="inlineStr">
        <is>
          <t>לא נמצא בסריקת המפיצים</t>
        </is>
      </c>
      <c r="AE960" t="inlineStr">
        <is>
          <t>סריקת אתרי מפיצים</t>
        </is>
      </c>
      <c r="AG960" t="inlineStr"/>
      <c r="AH960" t="inlineStr"/>
      <c r="AJ960" t="inlineStr"/>
      <c r="AP960" t="inlineStr">
        <is>
          <t>https://www.quartzy.com/suppliers | https://www.thomassci.com/browse-by/suppliers/ors-nasco</t>
        </is>
      </c>
    </row>
    <row r="961">
      <c r="A961" t="n">
        <v>960</v>
      </c>
      <c r="B961" t="inlineStr">
        <is>
          <t>OSANG Healthcare</t>
        </is>
      </c>
      <c r="C961" t="inlineStr">
        <is>
          <t>T</t>
        </is>
      </c>
      <c r="E961" t="inlineStr">
        <is>
          <t>https://www.thomassci.com/browse-by/suppliers/osang-healthcare</t>
        </is>
      </c>
      <c r="F961" t="inlineStr"/>
      <c r="J961" t="inlineStr"/>
      <c r="Y961" t="inlineStr">
        <is>
          <t>unknown</t>
        </is>
      </c>
      <c r="Z961" t="inlineStr"/>
      <c r="AA961" t="inlineStr"/>
      <c r="AB961" t="inlineStr"/>
      <c r="AC961" t="inlineStr"/>
      <c r="AD961" t="inlineStr">
        <is>
          <t>לא נמצא בסריקת המפיצים</t>
        </is>
      </c>
      <c r="AE961" t="inlineStr">
        <is>
          <t>סריקת אתרי מפיצים</t>
        </is>
      </c>
      <c r="AG961" t="inlineStr"/>
      <c r="AH961" t="inlineStr"/>
      <c r="AJ961" t="inlineStr"/>
      <c r="AP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Y962" t="inlineStr">
        <is>
          <t>unknown</t>
        </is>
      </c>
      <c r="Z962" t="inlineStr"/>
      <c r="AA962" t="inlineStr"/>
      <c r="AB962" t="inlineStr"/>
      <c r="AC962" t="inlineStr"/>
      <c r="AD962" t="inlineStr">
        <is>
          <t>לא נמצא בסריקת המפיצים</t>
        </is>
      </c>
      <c r="AE962" t="inlineStr">
        <is>
          <t>סריקת אתרי מפיצים</t>
        </is>
      </c>
      <c r="AG962" t="inlineStr"/>
      <c r="AH962" t="inlineStr"/>
      <c r="AJ962" t="inlineStr"/>
      <c r="AP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t>
        </is>
      </c>
      <c r="J963" t="inlineStr"/>
      <c r="Y963" t="inlineStr">
        <is>
          <t>unknown</t>
        </is>
      </c>
      <c r="Z963" t="inlineStr"/>
      <c r="AA963" t="inlineStr"/>
      <c r="AB963" t="inlineStr"/>
      <c r="AC963" t="inlineStr"/>
      <c r="AD963" t="inlineStr">
        <is>
          <t>לא נמצא בסריקת המפיצים</t>
        </is>
      </c>
      <c r="AE963" t="inlineStr">
        <is>
          <t>סריקת אתרי מפיצים</t>
        </is>
      </c>
      <c r="AG963" t="inlineStr"/>
      <c r="AH963" t="inlineStr"/>
      <c r="AJ963" t="inlineStr"/>
      <c r="AP963" t="inlineStr">
        <is>
          <t>https://www.thomassci.com/browse-by/suppliers/ousia-labs</t>
        </is>
      </c>
    </row>
    <row r="964">
      <c r="A964" t="n">
        <v>963</v>
      </c>
      <c r="B964" t="inlineStr">
        <is>
          <t>Owibio</t>
        </is>
      </c>
      <c r="C964" t="inlineStr">
        <is>
          <t>D</t>
        </is>
      </c>
      <c r="D964" t="inlineStr">
        <is>
          <t>https://www.dutscher.com/search?initialFilters=brand:Owibio</t>
        </is>
      </c>
      <c r="F964" t="inlineStr"/>
      <c r="J964" t="inlineStr"/>
      <c r="Y964" t="inlineStr">
        <is>
          <t>unknown</t>
        </is>
      </c>
      <c r="Z964" t="inlineStr"/>
      <c r="AA964" t="inlineStr"/>
      <c r="AB964" t="inlineStr"/>
      <c r="AC964" t="inlineStr"/>
      <c r="AD964" t="inlineStr">
        <is>
          <t>לא נמצא בסריקת המפיצים</t>
        </is>
      </c>
      <c r="AE964" t="inlineStr">
        <is>
          <t>סריקת אתרי מפיצים</t>
        </is>
      </c>
      <c r="AG964" t="inlineStr"/>
      <c r="AH964" t="inlineStr"/>
      <c r="AJ964" t="inlineStr"/>
      <c r="AP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Y965" t="inlineStr">
        <is>
          <t>unknown</t>
        </is>
      </c>
      <c r="Z965" t="inlineStr"/>
      <c r="AA965" t="inlineStr"/>
      <c r="AB965" t="inlineStr"/>
      <c r="AC965" t="inlineStr"/>
      <c r="AD965" t="inlineStr">
        <is>
          <t>לא נמצא בסריקת המפיצים</t>
        </is>
      </c>
      <c r="AE965" t="inlineStr">
        <is>
          <t>סריקת אתרי מפיצים</t>
        </is>
      </c>
      <c r="AG965" t="inlineStr"/>
      <c r="AH965" t="inlineStr"/>
      <c r="AJ965" t="inlineStr"/>
      <c r="AP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P966" t="n">
        <v>2200</v>
      </c>
      <c r="Q966" t="n">
        <v>2025</v>
      </c>
      <c r="R966" t="inlineStr">
        <is>
          <t>company</t>
        </is>
      </c>
      <c r="S966" t="inlineStr">
        <is>
          <t>prior</t>
        </is>
      </c>
      <c r="T966" t="n">
        <v>550</v>
      </c>
      <c r="U966" t="inlineStr">
        <is>
          <t>GBP 423.2 million</t>
        </is>
      </c>
      <c r="V966" t="inlineStr">
        <is>
          <t>FY ended Mar-2026</t>
        </is>
      </c>
      <c r="W966" t="inlineStr">
        <is>
          <t>company</t>
        </is>
      </c>
      <c r="X966" t="inlineStr">
        <is>
          <t>prior</t>
        </is>
      </c>
      <c r="Y966" t="inlineStr">
        <is>
          <t>reported</t>
        </is>
      </c>
      <c r="Z966" t="inlineStr">
        <is>
          <t>AZtec with Ultim Max (NanoAnalysis)</t>
        </is>
      </c>
      <c r="AA966" t="inlineStr">
        <is>
          <t>Andor iXon / Sona / Dragonfly</t>
        </is>
      </c>
      <c r="AB966" t="inlineStr">
        <is>
          <t>PlasmaPro 100 (Plasma Technology)</t>
        </is>
      </c>
      <c r="AC966" t="inlineStr">
        <is>
          <t>prior</t>
        </is>
      </c>
      <c r="AD966" t="inlineStr">
        <is>
          <t>לא ברור</t>
        </is>
      </c>
      <c r="AE966" t="inlineStr">
        <is>
          <t>חיפוש חלקי</t>
        </is>
      </c>
      <c r="AF966" t="n">
        <v>2026</v>
      </c>
      <c r="AG966" t="inlineStr">
        <is>
          <t>Advanced Technological Solutions Ltd. (ATSL); Quantum Design s.r.l. (Italy and Israel branch office, Rome) / Quantum Design Israel site</t>
        </is>
      </c>
      <c r="AH966" t="inlineStr">
        <is>
          <t>Advanced Technological Solutions Ltd. (ATSL):; Quantum Design s.r.l. (Italy and Israel branch office, Rome) / Quantum Design Israel site:</t>
        </is>
      </c>
      <c r="AI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J966" t="inlineStr">
        <is>
          <t>+44 1865 393200</t>
        </is>
      </c>
      <c r="AL966" t="inlineStr">
        <is>
          <t>Tubney Woods, Abingdon, Oxfordshire OX13 5QX, UK</t>
        </is>
      </c>
      <c r="AN966" t="inlineStr">
        <is>
          <t>https://www.sharecast.com/scroll_3/equity/Oxford_Instruments/profile</t>
        </is>
      </c>
      <c r="AP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H967" t="inlineStr">
        <is>
          <t>https://oxfordlp.com</t>
        </is>
      </c>
      <c r="I967" t="inlineStr">
        <is>
          <t>clearbit</t>
        </is>
      </c>
      <c r="J967" t="inlineStr"/>
      <c r="Y967" t="inlineStr">
        <is>
          <t>unknown</t>
        </is>
      </c>
      <c r="Z967" t="inlineStr"/>
      <c r="AA967" t="inlineStr"/>
      <c r="AB967" t="inlineStr"/>
      <c r="AC967" t="inlineStr"/>
      <c r="AD967" t="inlineStr">
        <is>
          <t>לא נמצא בסריקת המפיצים</t>
        </is>
      </c>
      <c r="AE967" t="inlineStr">
        <is>
          <t>סריקת אתרי מפיצים</t>
        </is>
      </c>
      <c r="AG967" t="inlineStr"/>
      <c r="AH967" t="inlineStr"/>
      <c r="AJ967" t="inlineStr"/>
      <c r="AP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t>
        </is>
      </c>
      <c r="J968" t="inlineStr"/>
      <c r="Y968" t="inlineStr">
        <is>
          <t>unknown</t>
        </is>
      </c>
      <c r="Z968" t="inlineStr"/>
      <c r="AA968" t="inlineStr"/>
      <c r="AB968" t="inlineStr"/>
      <c r="AC968" t="inlineStr"/>
      <c r="AD968" t="inlineStr">
        <is>
          <t>מפיץ/נציג בישראל</t>
        </is>
      </c>
      <c r="AE968" t="inlineStr">
        <is>
          <t>סריקת אתרי מפיצים</t>
        </is>
      </c>
      <c r="AG968" t="inlineStr">
        <is>
          <t>Tivan Biotech</t>
        </is>
      </c>
      <c r="AH968" t="inlineStr">
        <is>
          <t>Tivan Biotech:  customerservice@tivanbiotech.com</t>
        </is>
      </c>
      <c r="AJ968" t="inlineStr"/>
      <c r="AP968" t="inlineStr">
        <is>
          <t>https://www.dutscher.com/search?initialFilters=brand:OZ+Biosciences | https://www.quartzy.com/suppliers | https://www.thomassci.com/browse-by/suppliers/oz-biosciences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Y969" t="inlineStr">
        <is>
          <t>unknown</t>
        </is>
      </c>
      <c r="Z969" t="inlineStr"/>
      <c r="AA969" t="inlineStr"/>
      <c r="AB969" t="inlineStr"/>
      <c r="AC969" t="inlineStr"/>
      <c r="AD969" t="inlineStr">
        <is>
          <t>לא נמצא בסריקת המפיצים</t>
        </is>
      </c>
      <c r="AE969" t="inlineStr">
        <is>
          <t>סריקת אתרי מפיצים</t>
        </is>
      </c>
      <c r="AG969" t="inlineStr"/>
      <c r="AH969" t="inlineStr"/>
      <c r="AJ969" t="inlineStr"/>
      <c r="AP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Y970" t="inlineStr">
        <is>
          <t>unknown</t>
        </is>
      </c>
      <c r="Z970" t="inlineStr"/>
      <c r="AA970" t="inlineStr"/>
      <c r="AB970" t="inlineStr"/>
      <c r="AC970" t="inlineStr"/>
      <c r="AD970" t="inlineStr">
        <is>
          <t>לא נמצא בסריקת המפיצים</t>
        </is>
      </c>
      <c r="AE970" t="inlineStr">
        <is>
          <t>סריקת אתרי מפיצים</t>
        </is>
      </c>
      <c r="AG970" t="inlineStr"/>
      <c r="AH970" t="inlineStr"/>
      <c r="AJ970" t="inlineStr"/>
      <c r="AP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t>
        </is>
      </c>
      <c r="J971" t="inlineStr"/>
      <c r="Y971" t="inlineStr">
        <is>
          <t>unknown</t>
        </is>
      </c>
      <c r="Z971" t="inlineStr"/>
      <c r="AA971" t="inlineStr"/>
      <c r="AB971" t="inlineStr"/>
      <c r="AC971" t="inlineStr"/>
      <c r="AD971" t="inlineStr">
        <is>
          <t>לא נמצא בסריקת המפיצים</t>
        </is>
      </c>
      <c r="AE971" t="inlineStr">
        <is>
          <t>סריקת אתרי מפיצים</t>
        </is>
      </c>
      <c r="AG971" t="inlineStr"/>
      <c r="AH971" t="inlineStr"/>
      <c r="AJ971" t="inlineStr"/>
      <c r="AP971" t="inlineStr">
        <is>
          <t>https://www.thomassci.com/browse-by/suppliers/palmero-health-care</t>
        </is>
      </c>
    </row>
    <row r="972">
      <c r="A972" t="n">
        <v>971</v>
      </c>
      <c r="B972" t="inlineStr">
        <is>
          <t>Pan biotech</t>
        </is>
      </c>
      <c r="C972" t="inlineStr">
        <is>
          <t>D</t>
        </is>
      </c>
      <c r="D972" t="inlineStr">
        <is>
          <t>https://www.dutscher.com/search?initialFilters=brand:Pan+biotech</t>
        </is>
      </c>
      <c r="F972" t="inlineStr"/>
      <c r="H972" t="inlineStr">
        <is>
          <t>https://pan-biotech.de</t>
        </is>
      </c>
      <c r="I972" t="inlineStr">
        <is>
          <t>clearbit</t>
        </is>
      </c>
      <c r="J972" t="inlineStr"/>
      <c r="Y972" t="inlineStr">
        <is>
          <t>unknown</t>
        </is>
      </c>
      <c r="Z972" t="inlineStr"/>
      <c r="AA972" t="inlineStr"/>
      <c r="AB972" t="inlineStr"/>
      <c r="AC972" t="inlineStr"/>
      <c r="AD972" t="inlineStr">
        <is>
          <t>לא נמצא בסריקת המפיצים</t>
        </is>
      </c>
      <c r="AE972" t="inlineStr">
        <is>
          <t>סריקת אתרי מפיצים</t>
        </is>
      </c>
      <c r="AG972" t="inlineStr"/>
      <c r="AH972" t="inlineStr"/>
      <c r="AJ972" t="inlineStr"/>
      <c r="AP972" t="inlineStr">
        <is>
          <t>https://www.dutscher.com/search?initialFilters=brand:Pan+biotech</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Y973" t="inlineStr">
        <is>
          <t>unknown</t>
        </is>
      </c>
      <c r="Z973" t="inlineStr"/>
      <c r="AA973" t="inlineStr"/>
      <c r="AB973" t="inlineStr"/>
      <c r="AC973" t="inlineStr"/>
      <c r="AD973" t="inlineStr">
        <is>
          <t>לא נמצא בסריקת המפיצים</t>
        </is>
      </c>
      <c r="AE973" t="inlineStr">
        <is>
          <t>סריקת אתרי מפיצים</t>
        </is>
      </c>
      <c r="AG973" t="inlineStr"/>
      <c r="AH973" t="inlineStr"/>
      <c r="AJ973" t="inlineStr"/>
      <c r="AP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t>
        </is>
      </c>
      <c r="J974" t="inlineStr"/>
      <c r="Y974" t="inlineStr">
        <is>
          <t>unknown</t>
        </is>
      </c>
      <c r="Z974" t="inlineStr"/>
      <c r="AA974" t="inlineStr"/>
      <c r="AB974" t="inlineStr"/>
      <c r="AC974" t="inlineStr"/>
      <c r="AD974" t="inlineStr">
        <is>
          <t>לא נמצא בסריקת המפיצים</t>
        </is>
      </c>
      <c r="AE974" t="inlineStr">
        <is>
          <t>סריקת אתרי מפיצים</t>
        </is>
      </c>
      <c r="AG974" t="inlineStr"/>
      <c r="AH974" t="inlineStr"/>
      <c r="AJ974" t="inlineStr"/>
      <c r="AP974" t="inlineStr">
        <is>
          <t>https://www.thomassci.com/browse-by/suppliers/parter-medical-products</t>
        </is>
      </c>
    </row>
    <row r="975">
      <c r="A975" t="n">
        <v>974</v>
      </c>
      <c r="B975" t="inlineStr">
        <is>
          <t>PAW BioScience</t>
        </is>
      </c>
      <c r="C975" t="inlineStr">
        <is>
          <t>T</t>
        </is>
      </c>
      <c r="E975" t="inlineStr">
        <is>
          <t>https://www.thomassci.com/browse-by/suppliers/paw-bioscience</t>
        </is>
      </c>
      <c r="F975" t="inlineStr"/>
      <c r="J975" t="inlineStr"/>
      <c r="Y975" t="inlineStr">
        <is>
          <t>unknown</t>
        </is>
      </c>
      <c r="Z975" t="inlineStr"/>
      <c r="AA975" t="inlineStr"/>
      <c r="AB975" t="inlineStr"/>
      <c r="AC975" t="inlineStr"/>
      <c r="AD975" t="inlineStr">
        <is>
          <t>לא נמצא בסריקת המפיצים</t>
        </is>
      </c>
      <c r="AE975" t="inlineStr">
        <is>
          <t>סריקת אתרי מפיצים</t>
        </is>
      </c>
      <c r="AG975" t="inlineStr"/>
      <c r="AH975" t="inlineStr"/>
      <c r="AJ975" t="inlineStr"/>
      <c r="AP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t>
        </is>
      </c>
      <c r="J976" t="inlineStr"/>
      <c r="Y976" t="inlineStr">
        <is>
          <t>unknown</t>
        </is>
      </c>
      <c r="Z976" t="inlineStr"/>
      <c r="AA976" t="inlineStr"/>
      <c r="AB976" t="inlineStr"/>
      <c r="AC976" t="inlineStr"/>
      <c r="AD976" t="inlineStr">
        <is>
          <t>לא נמצא בסריקת המפיצים</t>
        </is>
      </c>
      <c r="AE976" t="inlineStr">
        <is>
          <t>סריקת אתרי מפיצים</t>
        </is>
      </c>
      <c r="AG976" t="inlineStr"/>
      <c r="AH976" t="inlineStr"/>
      <c r="AJ976" t="inlineStr"/>
      <c r="AP976" t="inlineStr">
        <is>
          <t>https://www.thomassci.com/browse-by/suppliers/pcr-biosystems</t>
        </is>
      </c>
    </row>
    <row r="977">
      <c r="A977" t="n">
        <v>976</v>
      </c>
      <c r="B977" t="inlineStr">
        <is>
          <t>PCT</t>
        </is>
      </c>
      <c r="C977" t="inlineStr">
        <is>
          <t>Q+</t>
        </is>
      </c>
      <c r="F977" t="inlineStr">
        <is>
          <t xml:space="preserve"> +new</t>
        </is>
      </c>
      <c r="H977" t="inlineStr">
        <is>
          <t>https://pctuning.cz</t>
        </is>
      </c>
      <c r="I977" t="inlineStr">
        <is>
          <t>clearbit</t>
        </is>
      </c>
      <c r="J977" t="inlineStr"/>
      <c r="O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Y977" t="inlineStr">
        <is>
          <t>unknown</t>
        </is>
      </c>
      <c r="Z977" t="inlineStr"/>
      <c r="AA977" t="inlineStr"/>
      <c r="AB977" t="inlineStr"/>
      <c r="AC977" t="inlineStr"/>
      <c r="AD977" t="inlineStr">
        <is>
          <t>לא נמצא בסריקת המפיצים</t>
        </is>
      </c>
      <c r="AE977" t="inlineStr">
        <is>
          <t>סריקת אתרי מפיצים</t>
        </is>
      </c>
      <c r="AG977" t="inlineStr"/>
      <c r="AH977" t="inlineStr"/>
      <c r="AJ977" t="inlineStr"/>
      <c r="AP977" t="inlineStr">
        <is>
          <t>https://info.quartzy.com/new-suppliers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t>
        </is>
      </c>
      <c r="J978" t="inlineStr"/>
      <c r="Y978" t="inlineStr">
        <is>
          <t>unknown</t>
        </is>
      </c>
      <c r="Z978" t="inlineStr"/>
      <c r="AA978" t="inlineStr"/>
      <c r="AB978" t="inlineStr"/>
      <c r="AC978" t="inlineStr"/>
      <c r="AD978" t="inlineStr">
        <is>
          <t>לא נמצא בסריקת המפיצים</t>
        </is>
      </c>
      <c r="AE978" t="inlineStr">
        <is>
          <t>סריקת אתרי מפיצים</t>
        </is>
      </c>
      <c r="AG978" t="inlineStr"/>
      <c r="AH978" t="inlineStr"/>
      <c r="AJ978" t="inlineStr"/>
      <c r="AP978" t="inlineStr">
        <is>
          <t>https://www.thomassci.com/browse-by/suppliers/pdi-healthcare</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t>
        </is>
      </c>
      <c r="J979" t="inlineStr"/>
      <c r="Y979" t="inlineStr">
        <is>
          <t>unknown</t>
        </is>
      </c>
      <c r="Z979" t="inlineStr"/>
      <c r="AA979" t="inlineStr"/>
      <c r="AB979" t="inlineStr"/>
      <c r="AC979" t="inlineStr"/>
      <c r="AD979" t="inlineStr">
        <is>
          <t>לא נמצא בסריקת המפיצים</t>
        </is>
      </c>
      <c r="AE979" t="inlineStr">
        <is>
          <t>סריקת אתרי מפיצים</t>
        </is>
      </c>
      <c r="AG979" t="inlineStr"/>
      <c r="AH979" t="inlineStr"/>
      <c r="AJ979" t="inlineStr"/>
      <c r="AP979" t="inlineStr">
        <is>
          <t>https://www.thomassci.com/browse-by/suppliers/peak-scientific</t>
        </is>
      </c>
    </row>
    <row r="980">
      <c r="A980" t="n">
        <v>979</v>
      </c>
      <c r="B980" t="inlineStr">
        <is>
          <t>Peak Serum</t>
        </is>
      </c>
      <c r="C980" t="inlineStr">
        <is>
          <t>Q</t>
        </is>
      </c>
      <c r="F980" t="inlineStr">
        <is>
          <t>yes</t>
        </is>
      </c>
      <c r="H980" t="inlineStr">
        <is>
          <t>https://peakfbs.com</t>
        </is>
      </c>
      <c r="I980" t="inlineStr">
        <is>
          <t>clearbit</t>
        </is>
      </c>
      <c r="J980" t="inlineStr"/>
      <c r="Y980" t="inlineStr">
        <is>
          <t>unknown</t>
        </is>
      </c>
      <c r="Z980" t="inlineStr"/>
      <c r="AA980" t="inlineStr"/>
      <c r="AB980" t="inlineStr"/>
      <c r="AC980" t="inlineStr"/>
      <c r="AD980" t="inlineStr">
        <is>
          <t>לא נמצא בסריקת המפיצים</t>
        </is>
      </c>
      <c r="AE980" t="inlineStr">
        <is>
          <t>סריקת אתרי מפיצים</t>
        </is>
      </c>
      <c r="AG980" t="inlineStr"/>
      <c r="AH980" t="inlineStr"/>
      <c r="AJ980" t="inlineStr"/>
      <c r="AP980" t="inlineStr">
        <is>
          <t>https://www.quartzy.com/suppliers</t>
        </is>
      </c>
    </row>
    <row r="981">
      <c r="A981" t="n">
        <v>980</v>
      </c>
      <c r="B981" t="inlineStr">
        <is>
          <t>Pechiney Plastic Packaging</t>
        </is>
      </c>
      <c r="C981" t="inlineStr">
        <is>
          <t>T</t>
        </is>
      </c>
      <c r="E981" t="inlineStr">
        <is>
          <t>https://www.thomassci.com/browse-by/suppliers/pechiney-plastic-packaging</t>
        </is>
      </c>
      <c r="F981" t="inlineStr"/>
      <c r="J981" t="inlineStr"/>
      <c r="Y981" t="inlineStr">
        <is>
          <t>unknown</t>
        </is>
      </c>
      <c r="Z981" t="inlineStr"/>
      <c r="AA981" t="inlineStr"/>
      <c r="AB981" t="inlineStr"/>
      <c r="AC981" t="inlineStr"/>
      <c r="AD981" t="inlineStr">
        <is>
          <t>לא נמצא בסריקת המפיצים</t>
        </is>
      </c>
      <c r="AE981" t="inlineStr">
        <is>
          <t>סריקת אתרי מפיצים</t>
        </is>
      </c>
      <c r="AG981" t="inlineStr"/>
      <c r="AH981" t="inlineStr"/>
      <c r="AJ981" t="inlineStr"/>
      <c r="AP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Y982" t="inlineStr">
        <is>
          <t>unknown</t>
        </is>
      </c>
      <c r="Z982" t="inlineStr"/>
      <c r="AA982" t="inlineStr"/>
      <c r="AB982" t="inlineStr"/>
      <c r="AC982" t="inlineStr"/>
      <c r="AD982" t="inlineStr">
        <is>
          <t>לא נמצא בסריקת המפיצים</t>
        </is>
      </c>
      <c r="AE982" t="inlineStr">
        <is>
          <t>סריקת אתרי מפיצים</t>
        </is>
      </c>
      <c r="AG982" t="inlineStr"/>
      <c r="AH982" t="inlineStr"/>
      <c r="AJ982" t="inlineStr"/>
      <c r="AP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t>
        </is>
      </c>
      <c r="J983" t="inlineStr"/>
      <c r="Y983" t="inlineStr">
        <is>
          <t>unknown</t>
        </is>
      </c>
      <c r="Z983" t="inlineStr"/>
      <c r="AA983" t="inlineStr"/>
      <c r="AB983" t="inlineStr"/>
      <c r="AC983" t="inlineStr"/>
      <c r="AD983" t="inlineStr">
        <is>
          <t>לא נמצא בסריקת המפיצים</t>
        </is>
      </c>
      <c r="AE983" t="inlineStr">
        <is>
          <t>סריקת אתרי מפיצים</t>
        </is>
      </c>
      <c r="AG983" t="inlineStr"/>
      <c r="AH983" t="inlineStr"/>
      <c r="AJ983" t="inlineStr"/>
      <c r="AP983" t="inlineStr">
        <is>
          <t>https://www.quartzy.com/suppliers</t>
        </is>
      </c>
    </row>
    <row r="984">
      <c r="A984" t="n">
        <v>983</v>
      </c>
      <c r="B984" t="inlineStr">
        <is>
          <t>PeptiGrowth</t>
        </is>
      </c>
      <c r="C984" t="inlineStr">
        <is>
          <t>T</t>
        </is>
      </c>
      <c r="E984" t="inlineStr">
        <is>
          <t>https://www.thomassci.com/browse-by/suppliers/peptigrowth</t>
        </is>
      </c>
      <c r="F984" t="inlineStr"/>
      <c r="J984" t="inlineStr"/>
      <c r="Y984" t="inlineStr">
        <is>
          <t>unknown</t>
        </is>
      </c>
      <c r="Z984" t="inlineStr"/>
      <c r="AA984" t="inlineStr"/>
      <c r="AB984" t="inlineStr"/>
      <c r="AC984" t="inlineStr"/>
      <c r="AD984" t="inlineStr">
        <is>
          <t>לא נמצא בסריקת המפיצים</t>
        </is>
      </c>
      <c r="AE984" t="inlineStr">
        <is>
          <t>סריקת אתרי מפיצים</t>
        </is>
      </c>
      <c r="AG984" t="inlineStr"/>
      <c r="AH984" t="inlineStr"/>
      <c r="AJ984" t="inlineStr"/>
      <c r="AP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t>
        </is>
      </c>
      <c r="J985" t="inlineStr"/>
      <c r="Y985" t="inlineStr">
        <is>
          <t>unknown</t>
        </is>
      </c>
      <c r="Z985" t="inlineStr"/>
      <c r="AA985" t="inlineStr"/>
      <c r="AB985" t="inlineStr"/>
      <c r="AC985" t="inlineStr"/>
      <c r="AD985" t="inlineStr">
        <is>
          <t>לא נמצא בסריקת המפיצים</t>
        </is>
      </c>
      <c r="AE985" t="inlineStr">
        <is>
          <t>סריקת אתרי מפיצים</t>
        </is>
      </c>
      <c r="AG985" t="inlineStr"/>
      <c r="AH985" t="inlineStr"/>
      <c r="AJ985" t="inlineStr"/>
      <c r="AP985" t="inlineStr">
        <is>
          <t>https://www.thomassci.com/browse-by/suppliers/perfex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P986" t="n">
        <v>6000</v>
      </c>
      <c r="Q986" t="n">
        <v>2022</v>
      </c>
      <c r="R986" t="inlineStr">
        <is>
          <t>company</t>
        </is>
      </c>
      <c r="S986" t="inlineStr">
        <is>
          <t>prior</t>
        </is>
      </c>
      <c r="T986" t="n">
        <v>1300</v>
      </c>
      <c r="U986" t="inlineStr">
        <is>
          <t>USD 1.3 billion (estimate)</t>
        </is>
      </c>
      <c r="V986" t="inlineStr">
        <is>
          <t>FY2022 (at carve-out)</t>
        </is>
      </c>
      <c r="W986" t="inlineStr">
        <is>
          <t>estimate</t>
        </is>
      </c>
      <c r="X986" t="inlineStr">
        <is>
          <t>prior</t>
        </is>
      </c>
      <c r="Y986" t="inlineStr">
        <is>
          <t>mixed</t>
        </is>
      </c>
      <c r="Z986" t="inlineStr">
        <is>
          <t>NexION ICP-MS</t>
        </is>
      </c>
      <c r="AA986" t="inlineStr">
        <is>
          <t>Avio ICP-OES</t>
        </is>
      </c>
      <c r="AB986" t="inlineStr">
        <is>
          <t>Spectrum 3 / Lambda / Pyris</t>
        </is>
      </c>
      <c r="AC986" t="inlineStr">
        <is>
          <t>prior</t>
        </is>
      </c>
      <c r="AD986" t="inlineStr">
        <is>
          <t>חברה-בת בישראל</t>
        </is>
      </c>
      <c r="AE986" t="inlineStr">
        <is>
          <t>אומת</t>
        </is>
      </c>
      <c r="AF986" t="n">
        <v>2026</v>
      </c>
      <c r="AG986" t="inlineStr">
        <is>
          <t>PerkinElmer Israel Ltd.; ISI Israel Scientific Instruments Ltd.</t>
        </is>
      </c>
      <c r="AH986" t="inlineStr">
        <is>
          <t>PerkinElmer Israel Ltd.: 1-700-500-512 cc.israel@perkinelmer.com; ISI Israel Scientific Instruments Ltd.: +972-3-9232202 info@isil.co.il</t>
        </is>
      </c>
      <c r="AI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986" t="inlineStr">
        <is>
          <t>1700-500-512 (Israel domestic number)</t>
        </is>
      </c>
      <c r="AK986" t="inlineStr">
        <is>
          <t>cc.israel@perkinelmer.com</t>
        </is>
      </c>
      <c r="AL986" t="inlineStr">
        <is>
          <t>Shelton, Connecticut</t>
        </is>
      </c>
      <c r="AN986" t="inlineStr">
        <is>
          <t>https://ir.revvity.com/news/investor-news/news-details/2013/PerkinElmer-Establishes-Direct-Operations-in-Israel-08-01-2013/default.aspx</t>
        </is>
      </c>
      <c r="AP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987">
      <c r="A987" t="n">
        <v>986</v>
      </c>
      <c r="B987" t="inlineStr">
        <is>
          <t>Permagen</t>
        </is>
      </c>
      <c r="C987" t="inlineStr">
        <is>
          <t>T</t>
        </is>
      </c>
      <c r="E987" t="inlineStr">
        <is>
          <t>https://www.thomassci.com/browse-by/suppliers/permagen</t>
        </is>
      </c>
      <c r="F987" t="inlineStr"/>
      <c r="H987" t="inlineStr">
        <is>
          <t>https://permagen.com.au</t>
        </is>
      </c>
      <c r="I987" t="inlineStr">
        <is>
          <t>clearbit</t>
        </is>
      </c>
      <c r="J987" t="inlineStr"/>
      <c r="Y987" t="inlineStr">
        <is>
          <t>unknown</t>
        </is>
      </c>
      <c r="Z987" t="inlineStr"/>
      <c r="AA987" t="inlineStr"/>
      <c r="AB987" t="inlineStr"/>
      <c r="AC987" t="inlineStr"/>
      <c r="AD987" t="inlineStr">
        <is>
          <t>לא נמצא בסריקת המפיצים</t>
        </is>
      </c>
      <c r="AE987" t="inlineStr">
        <is>
          <t>סריקת אתרי מפיצים</t>
        </is>
      </c>
      <c r="AG987" t="inlineStr"/>
      <c r="AH987" t="inlineStr"/>
      <c r="AJ987" t="inlineStr"/>
      <c r="AP987" t="inlineStr">
        <is>
          <t>https://www.thomassci.com/browse-by/suppliers/permagen</t>
        </is>
      </c>
    </row>
    <row r="988">
      <c r="A988" t="n">
        <v>987</v>
      </c>
      <c r="B988" t="inlineStr">
        <is>
          <t>Phagogene</t>
        </is>
      </c>
      <c r="C988" t="inlineStr">
        <is>
          <t>D</t>
        </is>
      </c>
      <c r="D988" t="inlineStr">
        <is>
          <t>https://www.dutscher.com/search?initialFilters=brand:Phagogene</t>
        </is>
      </c>
      <c r="F988" t="inlineStr"/>
      <c r="J988" t="inlineStr"/>
      <c r="Y988" t="inlineStr">
        <is>
          <t>unknown</t>
        </is>
      </c>
      <c r="Z988" t="inlineStr"/>
      <c r="AA988" t="inlineStr"/>
      <c r="AB988" t="inlineStr"/>
      <c r="AC988" t="inlineStr"/>
      <c r="AD988" t="inlineStr">
        <is>
          <t>לא נמצא בסריקת המפיצים</t>
        </is>
      </c>
      <c r="AE988" t="inlineStr">
        <is>
          <t>סריקת אתרי מפיצים</t>
        </is>
      </c>
      <c r="AG988" t="inlineStr"/>
      <c r="AH988" t="inlineStr"/>
      <c r="AJ988" t="inlineStr"/>
      <c r="AP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P989" t="n">
        <v>8647</v>
      </c>
      <c r="Q989" t="n">
        <v>2026</v>
      </c>
      <c r="R989" t="inlineStr">
        <is>
          <t>company</t>
        </is>
      </c>
      <c r="S989" t="inlineStr">
        <is>
          <t>prior</t>
        </is>
      </c>
      <c r="T989" t="n">
        <v>2442</v>
      </c>
      <c r="U989" t="inlineStr">
        <is>
          <t>JPY 364,403 million</t>
        </is>
      </c>
      <c r="V989" t="inlineStr">
        <is>
          <t>FY Mar-2026</t>
        </is>
      </c>
      <c r="W989" t="inlineStr">
        <is>
          <t>company</t>
        </is>
      </c>
      <c r="X989" t="inlineStr">
        <is>
          <t>prior</t>
        </is>
      </c>
      <c r="Y989" t="inlineStr">
        <is>
          <t>reported</t>
        </is>
      </c>
      <c r="Z989" t="inlineStr">
        <is>
          <t>MDF-DU702VH VIP ECO</t>
        </is>
      </c>
      <c r="AA989" t="inlineStr">
        <is>
          <t>MCO-170AIC / MCO-230AIC IncuSafe</t>
        </is>
      </c>
      <c r="AB989" t="inlineStr">
        <is>
          <t>MPR / MBR series</t>
        </is>
      </c>
      <c r="AC989" t="inlineStr">
        <is>
          <t>prior</t>
        </is>
      </c>
      <c r="AD989" t="inlineStr">
        <is>
          <t>מפיץ/נציג בישראל</t>
        </is>
      </c>
      <c r="AE989" t="inlineStr">
        <is>
          <t>אומת</t>
        </is>
      </c>
      <c r="AF989" t="n">
        <v>2026</v>
      </c>
      <c r="AG989" t="inlineStr">
        <is>
          <t>Eldan Electronic Instruments; Lumitron Ltd.</t>
        </is>
      </c>
      <c r="AH989" t="inlineStr">
        <is>
          <t>Eldan Electronic Instruments: +972-3-937-1111 info@eldan.biz; Lumitron Ltd.: +972 52-525-6287</t>
        </is>
      </c>
      <c r="AI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89" t="inlineStr">
        <is>
          <t>+81 3 5408 7280</t>
        </is>
      </c>
      <c r="AL989" t="inlineStr">
        <is>
          <t>15F Dai-ichi Life Hibiya First, 1-13-2 Yurakucho, Chiyoda-ku, Tokyo 100-8403, Japan</t>
        </is>
      </c>
      <c r="AN989" t="inlineStr">
        <is>
          <t>https://www.phchd.com/global/news/2024/0315</t>
        </is>
      </c>
      <c r="AP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0">
      <c r="A990" t="n">
        <v>989</v>
      </c>
      <c r="B990" t="inlineStr">
        <is>
          <t>PHCBI</t>
        </is>
      </c>
      <c r="C990" t="inlineStr">
        <is>
          <t>D</t>
        </is>
      </c>
      <c r="D990" t="inlineStr">
        <is>
          <t>https://www.dutscher.com/search?initialFilters=brand:PHCBI</t>
        </is>
      </c>
      <c r="F990" t="inlineStr"/>
      <c r="H990" t="inlineStr">
        <is>
          <t>https://www.phchd.com</t>
        </is>
      </c>
      <c r="I990" t="inlineStr">
        <is>
          <t>prior</t>
        </is>
      </c>
      <c r="J990" t="inlineStr">
        <is>
          <t>יפן</t>
        </is>
      </c>
      <c r="K990" t="inlineStr">
        <is>
          <t>Tokyo (Minato-ku)</t>
        </is>
      </c>
      <c r="M990" t="n">
        <v>1969</v>
      </c>
      <c r="N990" t="inlineStr">
        <is>
          <t>Lab refrigeration &amp; cold storage</t>
        </is>
      </c>
      <c r="P990" t="n">
        <v>8647</v>
      </c>
      <c r="Q990" t="n">
        <v>2026</v>
      </c>
      <c r="R990" t="inlineStr">
        <is>
          <t>company</t>
        </is>
      </c>
      <c r="S990" t="inlineStr">
        <is>
          <t>prior</t>
        </is>
      </c>
      <c r="T990" t="n">
        <v>2442</v>
      </c>
      <c r="U990" t="inlineStr">
        <is>
          <t>JPY 364,403 million</t>
        </is>
      </c>
      <c r="V990" t="inlineStr">
        <is>
          <t>FY Mar-2026</t>
        </is>
      </c>
      <c r="W990" t="inlineStr">
        <is>
          <t>company</t>
        </is>
      </c>
      <c r="X990" t="inlineStr">
        <is>
          <t>prior</t>
        </is>
      </c>
      <c r="Y990" t="inlineStr">
        <is>
          <t>reported</t>
        </is>
      </c>
      <c r="Z990" t="inlineStr">
        <is>
          <t>MDF-DU702VH VIP ECO</t>
        </is>
      </c>
      <c r="AA990" t="inlineStr">
        <is>
          <t>MCO-170AIC / MCO-230AIC IncuSafe</t>
        </is>
      </c>
      <c r="AB990" t="inlineStr">
        <is>
          <t>MPR / MBR series</t>
        </is>
      </c>
      <c r="AC990" t="inlineStr">
        <is>
          <t>prior</t>
        </is>
      </c>
      <c r="AD990" t="inlineStr">
        <is>
          <t>מפיץ/נציג בישראל</t>
        </is>
      </c>
      <c r="AE990" t="inlineStr">
        <is>
          <t>אומת</t>
        </is>
      </c>
      <c r="AF990" t="n">
        <v>2026</v>
      </c>
      <c r="AG990" t="inlineStr">
        <is>
          <t>Eldan Electronic Instruments; Lumitron Ltd.</t>
        </is>
      </c>
      <c r="AH990" t="inlineStr">
        <is>
          <t>Eldan Electronic Instruments: +972-3-937-1111 info@eldan.biz; Lumitron Ltd.: +972 52-525-6287</t>
        </is>
      </c>
      <c r="AI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90" t="inlineStr">
        <is>
          <t>+81 3 5408 7280</t>
        </is>
      </c>
      <c r="AL990" t="inlineStr">
        <is>
          <t>15F Dai-ichi Life Hibiya First, 1-13-2 Yurakucho, Chiyoda-ku, Tokyo 100-8403, Japan</t>
        </is>
      </c>
      <c r="AN990" t="inlineStr">
        <is>
          <t>https://www.phchd.com/global/news/2024/0315</t>
        </is>
      </c>
      <c r="AP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1">
      <c r="A991" t="n">
        <v>990</v>
      </c>
      <c r="B991" t="inlineStr">
        <is>
          <t>Phenix Research Products</t>
        </is>
      </c>
      <c r="C991" t="inlineStr">
        <is>
          <t>T</t>
        </is>
      </c>
      <c r="E991" t="inlineStr">
        <is>
          <t>https://www.thomassci.com/browse-by/suppliers/phenix-research-products</t>
        </is>
      </c>
      <c r="F991" t="inlineStr"/>
      <c r="J991" t="inlineStr"/>
      <c r="Y991" t="inlineStr">
        <is>
          <t>unknown</t>
        </is>
      </c>
      <c r="Z991" t="inlineStr"/>
      <c r="AA991" t="inlineStr"/>
      <c r="AB991" t="inlineStr"/>
      <c r="AC991" t="inlineStr"/>
      <c r="AD991" t="inlineStr">
        <is>
          <t>לא נמצא בסריקת המפיצים</t>
        </is>
      </c>
      <c r="AE991" t="inlineStr">
        <is>
          <t>סריקת אתרי מפיצים</t>
        </is>
      </c>
      <c r="AG991" t="inlineStr"/>
      <c r="AH991" t="inlineStr"/>
      <c r="AJ991" t="inlineStr"/>
      <c r="AP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t>
        </is>
      </c>
      <c r="J992" t="inlineStr"/>
      <c r="Y992" t="inlineStr">
        <is>
          <t>unknown</t>
        </is>
      </c>
      <c r="Z992" t="inlineStr"/>
      <c r="AA992" t="inlineStr"/>
      <c r="AB992" t="inlineStr"/>
      <c r="AC992" t="inlineStr"/>
      <c r="AD992" t="inlineStr">
        <is>
          <t>לא נמצא בסריקת המפיצים</t>
        </is>
      </c>
      <c r="AE992" t="inlineStr">
        <is>
          <t>סריקת אתרי מפיצים</t>
        </is>
      </c>
      <c r="AG992" t="inlineStr"/>
      <c r="AH992" t="inlineStr"/>
      <c r="AJ992" t="inlineStr"/>
      <c r="AP992" t="inlineStr">
        <is>
          <t>https://www.quartzy.com/suppliers</t>
        </is>
      </c>
    </row>
    <row r="993">
      <c r="A993" t="n">
        <v>992</v>
      </c>
      <c r="B993" t="inlineStr">
        <is>
          <t>Phipps &amp; Bird</t>
        </is>
      </c>
      <c r="C993" t="inlineStr">
        <is>
          <t>T</t>
        </is>
      </c>
      <c r="E993" t="inlineStr">
        <is>
          <t>https://www.thomassci.com/browse-by/suppliers/phipps-and-bird</t>
        </is>
      </c>
      <c r="F993" t="inlineStr"/>
      <c r="J993" t="inlineStr"/>
      <c r="Y993" t="inlineStr">
        <is>
          <t>unknown</t>
        </is>
      </c>
      <c r="Z993" t="inlineStr"/>
      <c r="AA993" t="inlineStr"/>
      <c r="AB993" t="inlineStr"/>
      <c r="AC993" t="inlineStr"/>
      <c r="AD993" t="inlineStr">
        <is>
          <t>לא נמצא בסריקת המפיצים</t>
        </is>
      </c>
      <c r="AE993" t="inlineStr">
        <is>
          <t>סריקת אתרי מפיצים</t>
        </is>
      </c>
      <c r="AG993" t="inlineStr"/>
      <c r="AH993" t="inlineStr"/>
      <c r="AJ993" t="inlineStr"/>
      <c r="AP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Y994" t="inlineStr">
        <is>
          <t>unknown</t>
        </is>
      </c>
      <c r="Z994" t="inlineStr"/>
      <c r="AA994" t="inlineStr"/>
      <c r="AB994" t="inlineStr"/>
      <c r="AC994" t="inlineStr"/>
      <c r="AD994" t="inlineStr">
        <is>
          <t>לא נמצא בסריקת המפיצים</t>
        </is>
      </c>
      <c r="AE994" t="inlineStr">
        <is>
          <t>סריקת אתרי מפיצים</t>
        </is>
      </c>
      <c r="AG994" t="inlineStr"/>
      <c r="AH994" t="inlineStr"/>
      <c r="AJ994" t="inlineStr"/>
      <c r="AP994" t="inlineStr">
        <is>
          <t>https://www.thomassci.com/browse-by/suppliers/pip-safety</t>
        </is>
      </c>
    </row>
    <row r="995">
      <c r="A995" t="n">
        <v>994</v>
      </c>
      <c r="B995" t="inlineStr">
        <is>
          <t>Pipette.com</t>
        </is>
      </c>
      <c r="C995" t="inlineStr">
        <is>
          <t>Q</t>
        </is>
      </c>
      <c r="F995" t="inlineStr">
        <is>
          <t>yes</t>
        </is>
      </c>
      <c r="J995" t="inlineStr"/>
      <c r="Y995" t="inlineStr">
        <is>
          <t>unknown</t>
        </is>
      </c>
      <c r="Z995" t="inlineStr"/>
      <c r="AA995" t="inlineStr"/>
      <c r="AB995" t="inlineStr"/>
      <c r="AC995" t="inlineStr"/>
      <c r="AD995" t="inlineStr">
        <is>
          <t>לא נמצא בסריקת המפיצים</t>
        </is>
      </c>
      <c r="AE995" t="inlineStr">
        <is>
          <t>סריקת אתרי מפיצים</t>
        </is>
      </c>
      <c r="AG995" t="inlineStr"/>
      <c r="AH995" t="inlineStr"/>
      <c r="AJ995" t="inlineStr"/>
      <c r="AP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t>
        </is>
      </c>
      <c r="J996" t="inlineStr"/>
      <c r="Y996" t="inlineStr">
        <is>
          <t>unknown</t>
        </is>
      </c>
      <c r="Z996" t="inlineStr"/>
      <c r="AA996" t="inlineStr"/>
      <c r="AB996" t="inlineStr"/>
      <c r="AC996" t="inlineStr"/>
      <c r="AD996" t="inlineStr">
        <is>
          <t>לא נמצא בסריקת המפיצים</t>
        </is>
      </c>
      <c r="AE996" t="inlineStr">
        <is>
          <t>סריקת אתרי מפיצים</t>
        </is>
      </c>
      <c r="AG996" t="inlineStr"/>
      <c r="AH996" t="inlineStr"/>
      <c r="AJ996" t="inlineStr"/>
      <c r="AP996" t="inlineStr">
        <is>
          <t>https://www.thomassci.com/browse-by/suppliers/plant-cell-technology</t>
        </is>
      </c>
    </row>
    <row r="997">
      <c r="A997" t="n">
        <v>996</v>
      </c>
      <c r="B997" t="inlineStr">
        <is>
          <t>PlantCell Technology</t>
        </is>
      </c>
      <c r="C997" t="inlineStr">
        <is>
          <t>Q</t>
        </is>
      </c>
      <c r="F997" t="inlineStr">
        <is>
          <t>yes</t>
        </is>
      </c>
      <c r="H997" t="inlineStr">
        <is>
          <t>https://plantcelltechnology.com</t>
        </is>
      </c>
      <c r="I997" t="inlineStr">
        <is>
          <t>clearbit</t>
        </is>
      </c>
      <c r="J997" t="inlineStr"/>
      <c r="Y997" t="inlineStr">
        <is>
          <t>unknown</t>
        </is>
      </c>
      <c r="Z997" t="inlineStr"/>
      <c r="AA997" t="inlineStr"/>
      <c r="AB997" t="inlineStr"/>
      <c r="AC997" t="inlineStr"/>
      <c r="AD997" t="inlineStr">
        <is>
          <t>לא נמצא בסריקת המפיצים</t>
        </is>
      </c>
      <c r="AE997" t="inlineStr">
        <is>
          <t>סריקת אתרי מפיצים</t>
        </is>
      </c>
      <c r="AG997" t="inlineStr"/>
      <c r="AH997" t="inlineStr"/>
      <c r="AJ997" t="inlineStr"/>
      <c r="AP997" t="inlineStr">
        <is>
          <t>https://www.quartzy.com/suppliers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t>
        </is>
      </c>
      <c r="J998" t="inlineStr"/>
      <c r="Y998" t="inlineStr">
        <is>
          <t>unknown</t>
        </is>
      </c>
      <c r="Z998" t="inlineStr"/>
      <c r="AA998" t="inlineStr"/>
      <c r="AB998" t="inlineStr"/>
      <c r="AC998" t="inlineStr"/>
      <c r="AD998" t="inlineStr">
        <is>
          <t>לא נמצא בסריקת המפיצים</t>
        </is>
      </c>
      <c r="AE998" t="inlineStr">
        <is>
          <t>סריקת אתרי מפיצים</t>
        </is>
      </c>
      <c r="AG998" t="inlineStr"/>
      <c r="AH998" t="inlineStr"/>
      <c r="AJ998" t="inlineStr"/>
      <c r="AP998" t="inlineStr">
        <is>
          <t>https://www.thomassci.com/browse-by/suppliers/plas-labs</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Y999" t="inlineStr">
        <is>
          <t>unknown</t>
        </is>
      </c>
      <c r="Z999" t="inlineStr"/>
      <c r="AA999" t="inlineStr"/>
      <c r="AB999" t="inlineStr"/>
      <c r="AC999" t="inlineStr"/>
      <c r="AD999" t="inlineStr">
        <is>
          <t>לא נמצא בסריקת המפיצים</t>
        </is>
      </c>
      <c r="AE999" t="inlineStr">
        <is>
          <t>סריקת אתרי מפיצים</t>
        </is>
      </c>
      <c r="AG999" t="inlineStr"/>
      <c r="AH999" t="inlineStr"/>
      <c r="AJ999" t="inlineStr"/>
      <c r="AP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t>
        </is>
      </c>
      <c r="J1000" t="inlineStr"/>
      <c r="Y1000" t="inlineStr">
        <is>
          <t>unknown</t>
        </is>
      </c>
      <c r="Z1000" t="inlineStr"/>
      <c r="AA1000" t="inlineStr"/>
      <c r="AB1000" t="inlineStr"/>
      <c r="AC1000" t="inlineStr"/>
      <c r="AD1000" t="inlineStr">
        <is>
          <t>לא נמצא בסריקת המפיצים</t>
        </is>
      </c>
      <c r="AE1000" t="inlineStr">
        <is>
          <t>סריקת אתרי מפיצים</t>
        </is>
      </c>
      <c r="AG1000" t="inlineStr"/>
      <c r="AH1000" t="inlineStr"/>
      <c r="AJ1000" t="inlineStr"/>
      <c r="AP1000" t="inlineStr">
        <is>
          <t>https://www.thomassci.com/browse-by/suppliers/plasticoid</t>
        </is>
      </c>
    </row>
    <row r="1001">
      <c r="A1001" t="n">
        <v>1000</v>
      </c>
      <c r="B1001" t="inlineStr">
        <is>
          <t>Plenty (brought to you by Omeat)</t>
        </is>
      </c>
      <c r="C1001" t="inlineStr">
        <is>
          <t>T</t>
        </is>
      </c>
      <c r="E1001" t="inlineStr">
        <is>
          <t>https://www.thomassci.com/browse-by/suppliers/plenty-brought-to-you-by-omeat</t>
        </is>
      </c>
      <c r="F1001" t="inlineStr"/>
      <c r="J1001" t="inlineStr"/>
      <c r="Y1001" t="inlineStr">
        <is>
          <t>unknown</t>
        </is>
      </c>
      <c r="Z1001" t="inlineStr"/>
      <c r="AA1001" t="inlineStr"/>
      <c r="AB1001" t="inlineStr"/>
      <c r="AC1001" t="inlineStr"/>
      <c r="AD1001" t="inlineStr">
        <is>
          <t>לא נמצא בסריקת המפיצים</t>
        </is>
      </c>
      <c r="AE1001" t="inlineStr">
        <is>
          <t>סריקת אתרי מפיצים</t>
        </is>
      </c>
      <c r="AG1001" t="inlineStr"/>
      <c r="AH1001" t="inlineStr"/>
      <c r="AJ1001" t="inlineStr"/>
      <c r="AP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H1002" t="inlineStr">
        <is>
          <t>https://plugtrack.com</t>
        </is>
      </c>
      <c r="I1002" t="inlineStr">
        <is>
          <t>clearbit</t>
        </is>
      </c>
      <c r="J1002" t="inlineStr"/>
      <c r="Y1002" t="inlineStr">
        <is>
          <t>unknown</t>
        </is>
      </c>
      <c r="Z1002" t="inlineStr"/>
      <c r="AA1002" t="inlineStr"/>
      <c r="AB1002" t="inlineStr"/>
      <c r="AC1002" t="inlineStr"/>
      <c r="AD1002" t="inlineStr">
        <is>
          <t>לא נמצא בסריקת המפיצים</t>
        </is>
      </c>
      <c r="AE1002" t="inlineStr">
        <is>
          <t>סריקת אתרי מפיצים</t>
        </is>
      </c>
      <c r="AG1002" t="inlineStr"/>
      <c r="AH1002" t="inlineStr"/>
      <c r="AJ1002" t="inlineStr"/>
      <c r="AP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t>
        </is>
      </c>
      <c r="J1003" t="inlineStr"/>
      <c r="Y1003" t="inlineStr">
        <is>
          <t>unknown</t>
        </is>
      </c>
      <c r="Z1003" t="inlineStr"/>
      <c r="AA1003" t="inlineStr"/>
      <c r="AB1003" t="inlineStr"/>
      <c r="AC1003" t="inlineStr"/>
      <c r="AD1003" t="inlineStr">
        <is>
          <t>לא נמצא בסריקת המפיצים</t>
        </is>
      </c>
      <c r="AE1003" t="inlineStr">
        <is>
          <t>סריקת אתרי מפיצים</t>
        </is>
      </c>
      <c r="AG1003" t="inlineStr"/>
      <c r="AH1003" t="inlineStr"/>
      <c r="AJ1003" t="inlineStr"/>
      <c r="AP1003" t="inlineStr">
        <is>
          <t>https://www.thomassci.com/browse-by/suppliers/polar-tech</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t>
        </is>
      </c>
      <c r="J1004" t="inlineStr"/>
      <c r="Y1004" t="inlineStr">
        <is>
          <t>unknown</t>
        </is>
      </c>
      <c r="Z1004" t="inlineStr"/>
      <c r="AA1004" t="inlineStr"/>
      <c r="AB1004" t="inlineStr"/>
      <c r="AC1004" t="inlineStr"/>
      <c r="AD1004" t="inlineStr">
        <is>
          <t>לא נמצא בסריקת המפיצים</t>
        </is>
      </c>
      <c r="AE1004" t="inlineStr">
        <is>
          <t>סריקת אתרי מפיצים</t>
        </is>
      </c>
      <c r="AG1004" t="inlineStr"/>
      <c r="AH1004" t="inlineStr"/>
      <c r="AJ1004" t="inlineStr"/>
      <c r="AP1004" t="inlineStr">
        <is>
          <t>https://www.thomassci.com/browse-by/suppliers/polarseal</t>
        </is>
      </c>
    </row>
    <row r="1005">
      <c r="A1005" t="n">
        <v>1004</v>
      </c>
      <c r="B1005" t="inlineStr">
        <is>
          <t>Polarware Company</t>
        </is>
      </c>
      <c r="C1005" t="inlineStr">
        <is>
          <t>T</t>
        </is>
      </c>
      <c r="E1005" t="inlineStr">
        <is>
          <t>https://www.thomassci.com/browse-by/suppliers/polarware-company</t>
        </is>
      </c>
      <c r="F1005" t="inlineStr"/>
      <c r="J1005" t="inlineStr"/>
      <c r="Y1005" t="inlineStr">
        <is>
          <t>unknown</t>
        </is>
      </c>
      <c r="Z1005" t="inlineStr"/>
      <c r="AA1005" t="inlineStr"/>
      <c r="AB1005" t="inlineStr"/>
      <c r="AC1005" t="inlineStr"/>
      <c r="AD1005" t="inlineStr">
        <is>
          <t>לא נמצא בסריקת המפיצים</t>
        </is>
      </c>
      <c r="AE1005" t="inlineStr">
        <is>
          <t>סריקת אתרי מפיצים</t>
        </is>
      </c>
      <c r="AG1005" t="inlineStr"/>
      <c r="AH1005" t="inlineStr"/>
      <c r="AJ1005" t="inlineStr"/>
      <c r="AP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t>
        </is>
      </c>
      <c r="J1006" t="inlineStr"/>
      <c r="Y1006" t="inlineStr">
        <is>
          <t>unknown</t>
        </is>
      </c>
      <c r="Z1006" t="inlineStr"/>
      <c r="AA1006" t="inlineStr"/>
      <c r="AB1006" t="inlineStr"/>
      <c r="AC1006" t="inlineStr"/>
      <c r="AD1006" t="inlineStr">
        <is>
          <t>לא נמצא בסריקת המפיצים</t>
        </is>
      </c>
      <c r="AE1006" t="inlineStr">
        <is>
          <t>סריקת אתרי מפיצים</t>
        </is>
      </c>
      <c r="AG1006" t="inlineStr"/>
      <c r="AH1006" t="inlineStr"/>
      <c r="AJ1006" t="inlineStr"/>
      <c r="AP1006" t="inlineStr">
        <is>
          <t>https://www.quartzy.com/suppliers</t>
        </is>
      </c>
    </row>
    <row r="1007">
      <c r="A1007" t="n">
        <v>1006</v>
      </c>
      <c r="B1007" t="inlineStr">
        <is>
          <t>Poly Tack</t>
        </is>
      </c>
      <c r="C1007" t="inlineStr">
        <is>
          <t>T</t>
        </is>
      </c>
      <c r="E1007" t="inlineStr">
        <is>
          <t>https://www.thomassci.com/browse-by/suppliers/poly-tack</t>
        </is>
      </c>
      <c r="F1007" t="inlineStr"/>
      <c r="J1007" t="inlineStr"/>
      <c r="Y1007" t="inlineStr">
        <is>
          <t>unknown</t>
        </is>
      </c>
      <c r="Z1007" t="inlineStr"/>
      <c r="AA1007" t="inlineStr"/>
      <c r="AB1007" t="inlineStr"/>
      <c r="AC1007" t="inlineStr"/>
      <c r="AD1007" t="inlineStr">
        <is>
          <t>לא נמצא בסריקת המפיצים</t>
        </is>
      </c>
      <c r="AE1007" t="inlineStr">
        <is>
          <t>סריקת אתרי מפיצים</t>
        </is>
      </c>
      <c r="AG1007" t="inlineStr"/>
      <c r="AH1007" t="inlineStr"/>
      <c r="AJ1007" t="inlineStr"/>
      <c r="AP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t>
        </is>
      </c>
      <c r="J1008" t="inlineStr"/>
      <c r="Y1008" t="inlineStr">
        <is>
          <t>unknown</t>
        </is>
      </c>
      <c r="Z1008" t="inlineStr"/>
      <c r="AA1008" t="inlineStr"/>
      <c r="AB1008" t="inlineStr"/>
      <c r="AC1008" t="inlineStr"/>
      <c r="AD1008" t="inlineStr">
        <is>
          <t>לא נמצא בסריקת המפיצים</t>
        </is>
      </c>
      <c r="AE1008" t="inlineStr">
        <is>
          <t>סריקת אתרי מפיצים</t>
        </is>
      </c>
      <c r="AG1008" t="inlineStr"/>
      <c r="AH1008" t="inlineStr"/>
      <c r="AJ1008" t="inlineStr"/>
      <c r="AP1008" t="inlineStr">
        <is>
          <t>https://www.quartzy.com/suppliers</t>
        </is>
      </c>
    </row>
    <row r="1009">
      <c r="A1009" t="n">
        <v>1008</v>
      </c>
      <c r="B1009" t="inlineStr">
        <is>
          <t>PolyConversions</t>
        </is>
      </c>
      <c r="C1009" t="inlineStr">
        <is>
          <t>T</t>
        </is>
      </c>
      <c r="E1009" t="inlineStr">
        <is>
          <t>https://www.thomassci.com/browse-by/suppliers/polyconversions</t>
        </is>
      </c>
      <c r="F1009" t="inlineStr"/>
      <c r="J1009" t="inlineStr"/>
      <c r="Y1009" t="inlineStr">
        <is>
          <t>unknown</t>
        </is>
      </c>
      <c r="Z1009" t="inlineStr"/>
      <c r="AA1009" t="inlineStr"/>
      <c r="AB1009" t="inlineStr"/>
      <c r="AC1009" t="inlineStr"/>
      <c r="AD1009" t="inlineStr">
        <is>
          <t>לא נמצא בסריקת המפיצים</t>
        </is>
      </c>
      <c r="AE1009" t="inlineStr">
        <is>
          <t>סריקת אתרי מפיצים</t>
        </is>
      </c>
      <c r="AG1009" t="inlineStr"/>
      <c r="AH1009" t="inlineStr"/>
      <c r="AJ1009" t="inlineStr"/>
      <c r="AP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t>
        </is>
      </c>
      <c r="J1010" t="inlineStr"/>
      <c r="Y1010" t="inlineStr">
        <is>
          <t>unknown</t>
        </is>
      </c>
      <c r="Z1010" t="inlineStr"/>
      <c r="AA1010" t="inlineStr"/>
      <c r="AB1010" t="inlineStr"/>
      <c r="AC1010" t="inlineStr"/>
      <c r="AD1010" t="inlineStr">
        <is>
          <t>לא נמצא בסריקת המפיצים</t>
        </is>
      </c>
      <c r="AE1010" t="inlineStr">
        <is>
          <t>סריקת אתרי מפיצים</t>
        </is>
      </c>
      <c r="AG1010" t="inlineStr"/>
      <c r="AH1010" t="inlineStr"/>
      <c r="AJ1010" t="inlineStr"/>
      <c r="AP1010" t="inlineStr">
        <is>
          <t>https://www.thomassci.com/browse-by/suppliers/polymer-shapes</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t>
        </is>
      </c>
      <c r="J1011" t="inlineStr"/>
      <c r="Y1011" t="inlineStr">
        <is>
          <t>unknown</t>
        </is>
      </c>
      <c r="Z1011" t="inlineStr"/>
      <c r="AA1011" t="inlineStr"/>
      <c r="AB1011" t="inlineStr"/>
      <c r="AC1011" t="inlineStr"/>
      <c r="AD1011" t="inlineStr">
        <is>
          <t>לא נמצא בסריקת המפיצים</t>
        </is>
      </c>
      <c r="AE1011" t="inlineStr">
        <is>
          <t>סריקת אתרי מפיצים</t>
        </is>
      </c>
      <c r="AG1011" t="inlineStr"/>
      <c r="AH1011" t="inlineStr"/>
      <c r="AJ1011" t="inlineStr"/>
      <c r="AP1011" t="inlineStr">
        <is>
          <t>https://www.dutscher.com/search?initialFilters=brand:Polyscience | https://www.quartzy.com/suppliers | https://www.thomassci.com/browse-by/suppliers/polyscience</t>
        </is>
      </c>
    </row>
    <row r="1012">
      <c r="A1012" t="n">
        <v>1011</v>
      </c>
      <c r="B1012" t="inlineStr">
        <is>
          <t>Polysciences</t>
        </is>
      </c>
      <c r="C1012" t="inlineStr">
        <is>
          <t>Q</t>
        </is>
      </c>
      <c r="F1012" t="inlineStr">
        <is>
          <t>yes</t>
        </is>
      </c>
      <c r="H1012" t="inlineStr">
        <is>
          <t>https://polysciences.com</t>
        </is>
      </c>
      <c r="I1012" t="inlineStr">
        <is>
          <t>clearbit</t>
        </is>
      </c>
      <c r="J1012" t="inlineStr"/>
      <c r="Y1012" t="inlineStr">
        <is>
          <t>unknown</t>
        </is>
      </c>
      <c r="Z1012" t="inlineStr"/>
      <c r="AA1012" t="inlineStr"/>
      <c r="AB1012" t="inlineStr"/>
      <c r="AC1012" t="inlineStr"/>
      <c r="AD1012" t="inlineStr">
        <is>
          <t>לא נמצא בסריקת המפיצים</t>
        </is>
      </c>
      <c r="AE1012" t="inlineStr">
        <is>
          <t>סריקת אתרי מפיצים</t>
        </is>
      </c>
      <c r="AG1012" t="inlineStr"/>
      <c r="AH1012" t="inlineStr"/>
      <c r="AJ1012" t="inlineStr"/>
      <c r="AP1012" t="inlineStr">
        <is>
          <t>https://www.quartzy.com/suppliers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t>
        </is>
      </c>
      <c r="J1013" t="inlineStr"/>
      <c r="Y1013" t="inlineStr">
        <is>
          <t>unknown</t>
        </is>
      </c>
      <c r="Z1013" t="inlineStr"/>
      <c r="AA1013" t="inlineStr"/>
      <c r="AB1013" t="inlineStr"/>
      <c r="AC1013" t="inlineStr"/>
      <c r="AD1013" t="inlineStr">
        <is>
          <t>לא נמצא בסריקת המפיצים</t>
        </is>
      </c>
      <c r="AE1013" t="inlineStr">
        <is>
          <t>סריקת אתרי מפיצים</t>
        </is>
      </c>
      <c r="AG1013" t="inlineStr"/>
      <c r="AH1013" t="inlineStr"/>
      <c r="AJ1013" t="inlineStr"/>
      <c r="AP1013" t="inlineStr">
        <is>
          <t>https://www.thomassci.com/browse-by/suppliers/pope-scientific</t>
        </is>
      </c>
    </row>
    <row r="1014">
      <c r="A1014" t="n">
        <v>1013</v>
      </c>
      <c r="B1014" t="inlineStr">
        <is>
          <t>Portagas</t>
        </is>
      </c>
      <c r="C1014" t="inlineStr">
        <is>
          <t>T</t>
        </is>
      </c>
      <c r="E1014" t="inlineStr">
        <is>
          <t>https://www.thomassci.com/browse-by/suppliers/portagas</t>
        </is>
      </c>
      <c r="F1014" t="inlineStr"/>
      <c r="J1014" t="inlineStr"/>
      <c r="Y1014" t="inlineStr">
        <is>
          <t>unknown</t>
        </is>
      </c>
      <c r="Z1014" t="inlineStr"/>
      <c r="AA1014" t="inlineStr"/>
      <c r="AB1014" t="inlineStr"/>
      <c r="AC1014" t="inlineStr"/>
      <c r="AD1014" t="inlineStr">
        <is>
          <t>לא נמצא בסריקת המפיצים</t>
        </is>
      </c>
      <c r="AE1014" t="inlineStr">
        <is>
          <t>סריקת אתרי מפיצים</t>
        </is>
      </c>
      <c r="AG1014" t="inlineStr"/>
      <c r="AH1014" t="inlineStr"/>
      <c r="AJ1014" t="inlineStr"/>
      <c r="AP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O1015" t="inlineStr">
        <is>
          <t>company based in Kings Lynn, United Kingdom</t>
        </is>
      </c>
      <c r="Y1015" t="inlineStr">
        <is>
          <t>unknown</t>
        </is>
      </c>
      <c r="Z1015" t="inlineStr"/>
      <c r="AA1015" t="inlineStr"/>
      <c r="AB1015" t="inlineStr"/>
      <c r="AC1015" t="inlineStr"/>
      <c r="AD1015" t="inlineStr">
        <is>
          <t>לא נמצא בסריקת המפיצים</t>
        </is>
      </c>
      <c r="AE1015" t="inlineStr">
        <is>
          <t>סריקת אתרי מפיצים</t>
        </is>
      </c>
      <c r="AG1015" t="inlineStr"/>
      <c r="AH1015" t="inlineStr"/>
      <c r="AJ1015" t="inlineStr"/>
      <c r="AO1015" t="inlineStr">
        <is>
          <t>Q59537154</t>
        </is>
      </c>
      <c r="AP1015" t="inlineStr">
        <is>
          <t>https://www.dutscher.com/search?initialFilters=brand:Porvair | https://www.thomassci.com/browse-by/suppliers/porvair | https://www.wikidata.org/wiki/Q59537154</t>
        </is>
      </c>
    </row>
    <row r="1016">
      <c r="A1016" t="n">
        <v>1015</v>
      </c>
      <c r="B1016" t="inlineStr">
        <is>
          <t>POSDATA Group Inc</t>
        </is>
      </c>
      <c r="C1016" t="inlineStr">
        <is>
          <t>T</t>
        </is>
      </c>
      <c r="E1016" t="inlineStr">
        <is>
          <t>https://www.thomassci.com/browse-by/suppliers/posdata-group-inc</t>
        </is>
      </c>
      <c r="F1016" t="inlineStr"/>
      <c r="J1016" t="inlineStr"/>
      <c r="Y1016" t="inlineStr">
        <is>
          <t>unknown</t>
        </is>
      </c>
      <c r="Z1016" t="inlineStr"/>
      <c r="AA1016" t="inlineStr"/>
      <c r="AB1016" t="inlineStr"/>
      <c r="AC1016" t="inlineStr"/>
      <c r="AD1016" t="inlineStr">
        <is>
          <t>לא נמצא בסריקת המפיצים</t>
        </is>
      </c>
      <c r="AE1016" t="inlineStr">
        <is>
          <t>סריקת אתרי מפיצים</t>
        </is>
      </c>
      <c r="AG1016" t="inlineStr"/>
      <c r="AH1016" t="inlineStr"/>
      <c r="AJ1016" t="inlineStr"/>
      <c r="AP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Y1017" t="inlineStr">
        <is>
          <t>unknown</t>
        </is>
      </c>
      <c r="Z1017" t="inlineStr"/>
      <c r="AA1017" t="inlineStr"/>
      <c r="AB1017" t="inlineStr"/>
      <c r="AC1017" t="inlineStr"/>
      <c r="AD1017" t="inlineStr">
        <is>
          <t>לא נמצא בסריקת המפיצים</t>
        </is>
      </c>
      <c r="AE1017" t="inlineStr">
        <is>
          <t>סריקת אתרי מפיצים</t>
        </is>
      </c>
      <c r="AG1017" t="inlineStr"/>
      <c r="AH1017" t="inlineStr"/>
      <c r="AJ1017" t="inlineStr"/>
      <c r="AP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Y1018" t="inlineStr">
        <is>
          <t>unknown</t>
        </is>
      </c>
      <c r="Z1018" t="inlineStr"/>
      <c r="AA1018" t="inlineStr"/>
      <c r="AB1018" t="inlineStr"/>
      <c r="AC1018" t="inlineStr"/>
      <c r="AD1018" t="inlineStr">
        <is>
          <t>לא נמצא בסריקת המפיצים</t>
        </is>
      </c>
      <c r="AE1018" t="inlineStr">
        <is>
          <t>סריקת אתרי מפיצים</t>
        </is>
      </c>
      <c r="AG1018" t="inlineStr"/>
      <c r="AH1018" t="inlineStr"/>
      <c r="AJ1018" t="inlineStr"/>
      <c r="AP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t>
        </is>
      </c>
      <c r="J1019" t="inlineStr"/>
      <c r="Y1019" t="inlineStr">
        <is>
          <t>unknown</t>
        </is>
      </c>
      <c r="Z1019" t="inlineStr"/>
      <c r="AA1019" t="inlineStr"/>
      <c r="AB1019" t="inlineStr"/>
      <c r="AC1019" t="inlineStr"/>
      <c r="AD1019" t="inlineStr">
        <is>
          <t>לא נמצא בסריקת המפיצים</t>
        </is>
      </c>
      <c r="AE1019" t="inlineStr">
        <is>
          <t>סריקת אתרי מפיצים</t>
        </is>
      </c>
      <c r="AG1019" t="inlineStr"/>
      <c r="AH1019" t="inlineStr"/>
      <c r="AJ1019" t="inlineStr"/>
      <c r="AP1019" t="inlineStr">
        <is>
          <t>https://www.quartzy.com/suppliers</t>
        </is>
      </c>
    </row>
    <row r="1020">
      <c r="A1020" t="n">
        <v>1019</v>
      </c>
      <c r="B1020" t="inlineStr">
        <is>
          <t>PowerGrab™ by PIP Global Safety</t>
        </is>
      </c>
      <c r="C1020" t="inlineStr">
        <is>
          <t>T</t>
        </is>
      </c>
      <c r="E1020" t="inlineStr">
        <is>
          <t>https://www.thomassci.com/browse-by/suppliers/powergrab-by-pip-global-safety</t>
        </is>
      </c>
      <c r="F1020" t="inlineStr"/>
      <c r="J1020" t="inlineStr"/>
      <c r="Y1020" t="inlineStr">
        <is>
          <t>unknown</t>
        </is>
      </c>
      <c r="Z1020" t="inlineStr"/>
      <c r="AA1020" t="inlineStr"/>
      <c r="AB1020" t="inlineStr"/>
      <c r="AC1020" t="inlineStr"/>
      <c r="AD1020" t="inlineStr">
        <is>
          <t>לא נמצא בסריקת המפיצים</t>
        </is>
      </c>
      <c r="AE1020" t="inlineStr">
        <is>
          <t>סריקת אתרי מפיצים</t>
        </is>
      </c>
      <c r="AG1020" t="inlineStr"/>
      <c r="AH1020" t="inlineStr"/>
      <c r="AJ1020" t="inlineStr"/>
      <c r="AP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t>
        </is>
      </c>
      <c r="J1021" t="inlineStr"/>
      <c r="Y1021" t="inlineStr">
        <is>
          <t>unknown</t>
        </is>
      </c>
      <c r="Z1021" t="inlineStr"/>
      <c r="AA1021" t="inlineStr"/>
      <c r="AB1021" t="inlineStr"/>
      <c r="AC1021" t="inlineStr"/>
      <c r="AD1021" t="inlineStr">
        <is>
          <t>לא נמצא בסריקת המפיצים</t>
        </is>
      </c>
      <c r="AE1021" t="inlineStr">
        <is>
          <t>סריקת אתרי מפיצים</t>
        </is>
      </c>
      <c r="AG1021" t="inlineStr"/>
      <c r="AH1021" t="inlineStr"/>
      <c r="AJ1021" t="inlineStr"/>
      <c r="AP1021" t="inlineStr">
        <is>
          <t>https://www.thomassci.com/browse-by/suppliers/ppc-flexible-packaging</t>
        </is>
      </c>
    </row>
    <row r="1022">
      <c r="A1022" t="n">
        <v>1021</v>
      </c>
      <c r="B1022" t="inlineStr">
        <is>
          <t>Precision System Science</t>
        </is>
      </c>
      <c r="C1022" t="inlineStr">
        <is>
          <t>T</t>
        </is>
      </c>
      <c r="E1022" t="inlineStr">
        <is>
          <t>https://www.thomassci.com/browse-by/suppliers/precision-system-science</t>
        </is>
      </c>
      <c r="F1022" t="inlineStr"/>
      <c r="H1022" t="inlineStr">
        <is>
          <t>https://pss.co.jp</t>
        </is>
      </c>
      <c r="I1022" t="inlineStr">
        <is>
          <t>clearbit</t>
        </is>
      </c>
      <c r="J1022" t="inlineStr"/>
      <c r="Y1022" t="inlineStr">
        <is>
          <t>unknown</t>
        </is>
      </c>
      <c r="Z1022" t="inlineStr"/>
      <c r="AA1022" t="inlineStr"/>
      <c r="AB1022" t="inlineStr"/>
      <c r="AC1022" t="inlineStr"/>
      <c r="AD1022" t="inlineStr">
        <is>
          <t>לא נמצא בסריקת המפיצים</t>
        </is>
      </c>
      <c r="AE1022" t="inlineStr">
        <is>
          <t>סריקת אתרי מפיצים</t>
        </is>
      </c>
      <c r="AG1022" t="inlineStr"/>
      <c r="AH1022" t="inlineStr"/>
      <c r="AJ1022" t="inlineStr"/>
      <c r="AP1022" t="inlineStr">
        <is>
          <t>https://www.thomassci.com/browse-by/suppliers/precision-system-science</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t>
        </is>
      </c>
      <c r="J1023" t="inlineStr"/>
      <c r="Y1023" t="inlineStr">
        <is>
          <t>unknown</t>
        </is>
      </c>
      <c r="Z1023" t="inlineStr"/>
      <c r="AA1023" t="inlineStr"/>
      <c r="AB1023" t="inlineStr"/>
      <c r="AC1023" t="inlineStr"/>
      <c r="AD1023" t="inlineStr">
        <is>
          <t>לא נמצא בסריקת המפיצים</t>
        </is>
      </c>
      <c r="AE1023" t="inlineStr">
        <is>
          <t>סריקת אתרי מפיצים</t>
        </is>
      </c>
      <c r="AG1023" t="inlineStr"/>
      <c r="AH1023" t="inlineStr"/>
      <c r="AJ1023" t="inlineStr"/>
      <c r="AP1023" t="inlineStr">
        <is>
          <t>https://www.thomassci.com/browse-by/suppliers/precision-systems</t>
        </is>
      </c>
    </row>
    <row r="1024">
      <c r="A1024" t="n">
        <v>1023</v>
      </c>
      <c r="B1024" t="inlineStr">
        <is>
          <t>Premier Handling</t>
        </is>
      </c>
      <c r="C1024" t="inlineStr">
        <is>
          <t>T</t>
        </is>
      </c>
      <c r="E1024" t="inlineStr">
        <is>
          <t>https://www.thomassci.com/browse-by/suppliers/premier-handling</t>
        </is>
      </c>
      <c r="F1024" t="inlineStr"/>
      <c r="J1024" t="inlineStr"/>
      <c r="Y1024" t="inlineStr">
        <is>
          <t>unknown</t>
        </is>
      </c>
      <c r="Z1024" t="inlineStr"/>
      <c r="AA1024" t="inlineStr"/>
      <c r="AB1024" t="inlineStr"/>
      <c r="AC1024" t="inlineStr"/>
      <c r="AD1024" t="inlineStr">
        <is>
          <t>לא נמצא בסריקת המפיצים</t>
        </is>
      </c>
      <c r="AE1024" t="inlineStr">
        <is>
          <t>סריקת אתרי מפיצים</t>
        </is>
      </c>
      <c r="AG1024" t="inlineStr"/>
      <c r="AH1024" t="inlineStr"/>
      <c r="AJ1024" t="inlineStr"/>
      <c r="AP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t>
        </is>
      </c>
      <c r="J1025" t="inlineStr"/>
      <c r="Y1025" t="inlineStr">
        <is>
          <t>unknown</t>
        </is>
      </c>
      <c r="Z1025" t="inlineStr"/>
      <c r="AA1025" t="inlineStr"/>
      <c r="AB1025" t="inlineStr"/>
      <c r="AC1025" t="inlineStr"/>
      <c r="AD1025" t="inlineStr">
        <is>
          <t>לא נמצא בסריקת המפיצים</t>
        </is>
      </c>
      <c r="AE1025" t="inlineStr">
        <is>
          <t>סריקת אתרי מפיצים</t>
        </is>
      </c>
      <c r="AG1025" t="inlineStr"/>
      <c r="AH1025" t="inlineStr"/>
      <c r="AJ1025" t="inlineStr"/>
      <c r="AP1025" t="inlineStr">
        <is>
          <t>https://www.thomassci.com/browse-by/suppliers/prestige-ameritech</t>
        </is>
      </c>
    </row>
    <row r="1026">
      <c r="A1026" t="n">
        <v>1025</v>
      </c>
      <c r="B1026" t="inlineStr">
        <is>
          <t>Princeton Chromatography</t>
        </is>
      </c>
      <c r="C1026" t="inlineStr">
        <is>
          <t>Q</t>
        </is>
      </c>
      <c r="F1026" t="inlineStr">
        <is>
          <t>yes</t>
        </is>
      </c>
      <c r="H1026" t="inlineStr">
        <is>
          <t>https://pci-hplc.com</t>
        </is>
      </c>
      <c r="I1026" t="inlineStr">
        <is>
          <t>clearbit</t>
        </is>
      </c>
      <c r="J1026" t="inlineStr"/>
      <c r="Y1026" t="inlineStr">
        <is>
          <t>unknown</t>
        </is>
      </c>
      <c r="Z1026" t="inlineStr"/>
      <c r="AA1026" t="inlineStr"/>
      <c r="AB1026" t="inlineStr"/>
      <c r="AC1026" t="inlineStr"/>
      <c r="AD1026" t="inlineStr">
        <is>
          <t>לא נמצא בסריקת המפיצים</t>
        </is>
      </c>
      <c r="AE1026" t="inlineStr">
        <is>
          <t>סריקת אתרי מפיצים</t>
        </is>
      </c>
      <c r="AG1026" t="inlineStr"/>
      <c r="AH1026" t="inlineStr"/>
      <c r="AJ1026" t="inlineStr"/>
      <c r="AP1026" t="inlineStr">
        <is>
          <t>https://www.quartzy.com/suppliers</t>
        </is>
      </c>
    </row>
    <row r="1027">
      <c r="A1027" t="n">
        <v>1026</v>
      </c>
      <c r="B1027" t="inlineStr">
        <is>
          <t>Pro Advantage</t>
        </is>
      </c>
      <c r="C1027" t="inlineStr">
        <is>
          <t>T</t>
        </is>
      </c>
      <c r="E1027" t="inlineStr">
        <is>
          <t>https://www.thomassci.com/browse-by/suppliers/pro-advantage</t>
        </is>
      </c>
      <c r="F1027" t="inlineStr"/>
      <c r="H1027" t="inlineStr">
        <is>
          <t>https://proadvantage.net</t>
        </is>
      </c>
      <c r="I1027" t="inlineStr">
        <is>
          <t>clearbit</t>
        </is>
      </c>
      <c r="J1027" t="inlineStr"/>
      <c r="Y1027" t="inlineStr">
        <is>
          <t>unknown</t>
        </is>
      </c>
      <c r="Z1027" t="inlineStr"/>
      <c r="AA1027" t="inlineStr"/>
      <c r="AB1027" t="inlineStr"/>
      <c r="AC1027" t="inlineStr"/>
      <c r="AD1027" t="inlineStr">
        <is>
          <t>לא נמצא בסריקת המפיצים</t>
        </is>
      </c>
      <c r="AE1027" t="inlineStr">
        <is>
          <t>סריקת אתרי מפיצים</t>
        </is>
      </c>
      <c r="AG1027" t="inlineStr"/>
      <c r="AH1027" t="inlineStr"/>
      <c r="AJ1027" t="inlineStr"/>
      <c r="AP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t>
        </is>
      </c>
      <c r="J1028" t="inlineStr"/>
      <c r="O1028" t="inlineStr">
        <is>
          <t>PRO Scientific is a global leader in the manufacturing of homogenizers for both laboratory and industrial labs. PRO homogenizer are able to homogenize various types of material, such as tissue, plant, food, soil, cosmetics and many others.</t>
        </is>
      </c>
      <c r="Y1028" t="inlineStr">
        <is>
          <t>unknown</t>
        </is>
      </c>
      <c r="Z1028" t="inlineStr"/>
      <c r="AA1028" t="inlineStr"/>
      <c r="AB1028" t="inlineStr"/>
      <c r="AC1028" t="inlineStr"/>
      <c r="AD1028" t="inlineStr">
        <is>
          <t>לא נמצא בסריקת המפיצים</t>
        </is>
      </c>
      <c r="AE1028" t="inlineStr">
        <is>
          <t>סריקת אתרי מפיצים</t>
        </is>
      </c>
      <c r="AG1028" t="inlineStr"/>
      <c r="AH1028" t="inlineStr"/>
      <c r="AJ1028" t="inlineStr"/>
      <c r="AP1028" t="inlineStr">
        <is>
          <t>https://www.quartzy.com/suppliers | https://info.quartzy.com/new-suppliers | https://www.thomassci.com/browse-by/suppliers/pro-scientific</t>
        </is>
      </c>
    </row>
    <row r="1029">
      <c r="A1029" t="n">
        <v>1028</v>
      </c>
      <c r="B1029" t="inlineStr">
        <is>
          <t>Proctor &amp; Gamble</t>
        </is>
      </c>
      <c r="C1029" t="inlineStr">
        <is>
          <t>T</t>
        </is>
      </c>
      <c r="E1029" t="inlineStr">
        <is>
          <t>https://www.thomassci.com/browse-by/suppliers/proctor-and-gamble</t>
        </is>
      </c>
      <c r="F1029" t="inlineStr"/>
      <c r="J1029" t="inlineStr"/>
      <c r="Y1029" t="inlineStr">
        <is>
          <t>unknown</t>
        </is>
      </c>
      <c r="Z1029" t="inlineStr"/>
      <c r="AA1029" t="inlineStr"/>
      <c r="AB1029" t="inlineStr"/>
      <c r="AC1029" t="inlineStr"/>
      <c r="AD1029" t="inlineStr">
        <is>
          <t>לא נמצא בסריקת המפיצים</t>
        </is>
      </c>
      <c r="AE1029" t="inlineStr">
        <is>
          <t>סריקת אתרי מפיצים</t>
        </is>
      </c>
      <c r="AG1029" t="inlineStr"/>
      <c r="AH1029" t="inlineStr"/>
      <c r="AJ1029" t="inlineStr"/>
      <c r="AP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P1030" t="n">
        <v>2000</v>
      </c>
      <c r="Q1030" t="n">
        <v>2024</v>
      </c>
      <c r="R1030" t="inlineStr">
        <is>
          <t>company</t>
        </is>
      </c>
      <c r="S1030" t="inlineStr">
        <is>
          <t>prior</t>
        </is>
      </c>
      <c r="T1030" t="n">
        <v>650</v>
      </c>
      <c r="U1030" t="inlineStr">
        <is>
          <t>USD ~650 million (trade estimate; private)</t>
        </is>
      </c>
      <c r="V1030" t="inlineStr">
        <is>
          <t>2024 (estimate)</t>
        </is>
      </c>
      <c r="W1030" t="inlineStr">
        <is>
          <t>estimate</t>
        </is>
      </c>
      <c r="X1030" t="inlineStr">
        <is>
          <t>prior</t>
        </is>
      </c>
      <c r="Y1030" t="inlineStr">
        <is>
          <t>estimate</t>
        </is>
      </c>
      <c r="Z1030" t="inlineStr">
        <is>
          <t>Maxwell RSC</t>
        </is>
      </c>
      <c r="AA1030" t="inlineStr">
        <is>
          <t>GloMax</t>
        </is>
      </c>
      <c r="AB1030" t="inlineStr">
        <is>
          <t>CellTiter-Glo / Dual-Luciferase</t>
        </is>
      </c>
      <c r="AC1030" t="inlineStr">
        <is>
          <t>prior</t>
        </is>
      </c>
      <c r="AD1030" t="inlineStr">
        <is>
          <t>מפיץ/נציג בישראל</t>
        </is>
      </c>
      <c r="AE1030" t="inlineStr">
        <is>
          <t>אומת</t>
        </is>
      </c>
      <c r="AF1030" t="n">
        <v>2026</v>
      </c>
      <c r="AG1030" t="inlineStr">
        <is>
          <t>IM Beit HaEmek (Beit HaEmek Industries)</t>
        </is>
      </c>
      <c r="AH1030" t="inlineStr">
        <is>
          <t>IM Beit HaEmek (Beit HaEmek Industries): +972 4-868-9015 info@bemek.co.il</t>
        </is>
      </c>
      <c r="AI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J1030" t="inlineStr">
        <is>
          <t>+1 608-274-4330</t>
        </is>
      </c>
      <c r="AL1030" t="inlineStr">
        <is>
          <t>2800 Woods Hollow Road, Madison, WI 53711, USA</t>
        </is>
      </c>
      <c r="AM1030" t="inlineStr">
        <is>
          <t>https://ita.promega.com/en/support/contact-promega/</t>
        </is>
      </c>
      <c r="AN1030" t="inlineStr">
        <is>
          <t>https://ita.promega.com/en/support/contact-promega/</t>
        </is>
      </c>
      <c r="AP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t>
        </is>
      </c>
    </row>
    <row r="1031">
      <c r="A1031" t="n">
        <v>1030</v>
      </c>
      <c r="B1031" t="inlineStr">
        <is>
          <t>PromoCell</t>
        </is>
      </c>
      <c r="C1031" t="inlineStr">
        <is>
          <t>Q</t>
        </is>
      </c>
      <c r="F1031" t="inlineStr">
        <is>
          <t>yes</t>
        </is>
      </c>
      <c r="H1031" t="inlineStr">
        <is>
          <t>https://promocell.com</t>
        </is>
      </c>
      <c r="I1031" t="inlineStr">
        <is>
          <t>clearbit</t>
        </is>
      </c>
      <c r="J1031" t="inlineStr"/>
      <c r="Y1031" t="inlineStr">
        <is>
          <t>unknown</t>
        </is>
      </c>
      <c r="Z1031" t="inlineStr"/>
      <c r="AA1031" t="inlineStr"/>
      <c r="AB1031" t="inlineStr"/>
      <c r="AC1031" t="inlineStr"/>
      <c r="AD1031" t="inlineStr">
        <is>
          <t>לא נמצא בסריקת המפיצים</t>
        </is>
      </c>
      <c r="AE1031" t="inlineStr">
        <is>
          <t>סריקת אתרי מפיצים</t>
        </is>
      </c>
      <c r="AG1031" t="inlineStr"/>
      <c r="AH1031" t="inlineStr"/>
      <c r="AJ1031" t="inlineStr"/>
      <c r="AP1031" t="inlineStr">
        <is>
          <t>https://www.quartzy.com/suppliers</t>
        </is>
      </c>
    </row>
    <row r="1032">
      <c r="A1032" t="n">
        <v>1031</v>
      </c>
      <c r="B1032" t="inlineStr">
        <is>
          <t>Propper Manufacturing</t>
        </is>
      </c>
      <c r="C1032" t="inlineStr">
        <is>
          <t>T</t>
        </is>
      </c>
      <c r="E1032" t="inlineStr">
        <is>
          <t>https://www.thomassci.com/browse-by/suppliers/propper-manufacturing</t>
        </is>
      </c>
      <c r="F1032" t="inlineStr"/>
      <c r="J1032" t="inlineStr"/>
      <c r="Y1032" t="inlineStr">
        <is>
          <t>unknown</t>
        </is>
      </c>
      <c r="Z1032" t="inlineStr"/>
      <c r="AA1032" t="inlineStr"/>
      <c r="AB1032" t="inlineStr"/>
      <c r="AC1032" t="inlineStr"/>
      <c r="AD1032" t="inlineStr">
        <is>
          <t>לא נמצא בסריקת המפיצים</t>
        </is>
      </c>
      <c r="AE1032" t="inlineStr">
        <is>
          <t>סריקת אתרי מפיצים</t>
        </is>
      </c>
      <c r="AG1032" t="inlineStr"/>
      <c r="AH1032" t="inlineStr"/>
      <c r="AJ1032" t="inlineStr"/>
      <c r="AP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t>
        </is>
      </c>
      <c r="J1033" t="inlineStr"/>
      <c r="Y1033" t="inlineStr">
        <is>
          <t>unknown</t>
        </is>
      </c>
      <c r="Z1033" t="inlineStr"/>
      <c r="AA1033" t="inlineStr"/>
      <c r="AB1033" t="inlineStr"/>
      <c r="AC1033" t="inlineStr"/>
      <c r="AD1033" t="inlineStr">
        <is>
          <t>לא נמצא בסריקת המפיצים</t>
        </is>
      </c>
      <c r="AE1033" t="inlineStr">
        <is>
          <t>סריקת אתרי מפיצים</t>
        </is>
      </c>
      <c r="AG1033" t="inlineStr"/>
      <c r="AH1033" t="inlineStr"/>
      <c r="AJ1033" t="inlineStr"/>
      <c r="AP1033" t="inlineStr">
        <is>
          <t>https://www.quartzy.com/suppliers | https://www.thomassci.com/browse-by/suppliers/prosci</t>
        </is>
      </c>
    </row>
    <row r="1034">
      <c r="A1034" t="n">
        <v>1033</v>
      </c>
      <c r="B1034" t="inlineStr">
        <is>
          <t>ProSpec</t>
        </is>
      </c>
      <c r="C1034" t="inlineStr">
        <is>
          <t>Q</t>
        </is>
      </c>
      <c r="F1034" t="inlineStr">
        <is>
          <t>yes</t>
        </is>
      </c>
      <c r="J1034" t="inlineStr"/>
      <c r="Y1034" t="inlineStr">
        <is>
          <t>unknown</t>
        </is>
      </c>
      <c r="Z1034" t="inlineStr"/>
      <c r="AA1034" t="inlineStr"/>
      <c r="AB1034" t="inlineStr"/>
      <c r="AC1034" t="inlineStr"/>
      <c r="AD1034" t="inlineStr">
        <is>
          <t>לא נמצא בסריקת המפיצים</t>
        </is>
      </c>
      <c r="AE1034" t="inlineStr">
        <is>
          <t>סריקת אתרי מפיצים</t>
        </is>
      </c>
      <c r="AG1034" t="inlineStr"/>
      <c r="AH1034" t="inlineStr"/>
      <c r="AJ1034" t="inlineStr"/>
      <c r="AP1034" t="inlineStr">
        <is>
          <t>https://www.quartzy.com/suppliers</t>
        </is>
      </c>
    </row>
    <row r="1035">
      <c r="A1035" t="n">
        <v>1034</v>
      </c>
      <c r="B1035" t="inlineStr">
        <is>
          <t>Prospec-tany Technogene</t>
        </is>
      </c>
      <c r="C1035" t="inlineStr">
        <is>
          <t>T</t>
        </is>
      </c>
      <c r="E1035" t="inlineStr">
        <is>
          <t>https://www.thomassci.com/browse-by/suppliers/prospec-tany-technogene</t>
        </is>
      </c>
      <c r="F1035" t="inlineStr"/>
      <c r="J1035" t="inlineStr"/>
      <c r="Y1035" t="inlineStr">
        <is>
          <t>unknown</t>
        </is>
      </c>
      <c r="Z1035" t="inlineStr"/>
      <c r="AA1035" t="inlineStr"/>
      <c r="AB1035" t="inlineStr"/>
      <c r="AC1035" t="inlineStr"/>
      <c r="AD1035" t="inlineStr">
        <is>
          <t>לא נמצא בסריקת המפיצים</t>
        </is>
      </c>
      <c r="AE1035" t="inlineStr">
        <is>
          <t>סריקת אתרי מפיצים</t>
        </is>
      </c>
      <c r="AG1035" t="inlineStr"/>
      <c r="AH1035" t="inlineStr"/>
      <c r="AJ1035" t="inlineStr"/>
      <c r="AP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Y1036" t="inlineStr">
        <is>
          <t>unknown</t>
        </is>
      </c>
      <c r="Z1036" t="inlineStr"/>
      <c r="AA1036" t="inlineStr"/>
      <c r="AB1036" t="inlineStr"/>
      <c r="AC1036" t="inlineStr"/>
      <c r="AD1036" t="inlineStr">
        <is>
          <t>לא נמצא בסריקת המפיצים</t>
        </is>
      </c>
      <c r="AE1036" t="inlineStr">
        <is>
          <t>סריקת אתרי מפיצים</t>
        </is>
      </c>
      <c r="AG1036" t="inlineStr"/>
      <c r="AH1036" t="inlineStr"/>
      <c r="AJ1036" t="inlineStr"/>
      <c r="AP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Y1037" t="inlineStr">
        <is>
          <t>unknown</t>
        </is>
      </c>
      <c r="Z1037" t="inlineStr"/>
      <c r="AA1037" t="inlineStr"/>
      <c r="AB1037" t="inlineStr"/>
      <c r="AC1037" t="inlineStr"/>
      <c r="AD1037" t="inlineStr">
        <is>
          <t>לא נמצא בסריקת המפיצים</t>
        </is>
      </c>
      <c r="AE1037" t="inlineStr">
        <is>
          <t>סריקת אתרי מפיצים</t>
        </is>
      </c>
      <c r="AG1037" t="inlineStr"/>
      <c r="AH1037" t="inlineStr"/>
      <c r="AJ1037" t="inlineStr"/>
      <c r="AP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t>
        </is>
      </c>
      <c r="J1038" t="inlineStr"/>
      <c r="Y1038" t="inlineStr">
        <is>
          <t>unknown</t>
        </is>
      </c>
      <c r="Z1038" t="inlineStr"/>
      <c r="AA1038" t="inlineStr"/>
      <c r="AB1038" t="inlineStr"/>
      <c r="AC1038" t="inlineStr"/>
      <c r="AD1038" t="inlineStr">
        <is>
          <t>לא נמצא בסריקת המפיצים</t>
        </is>
      </c>
      <c r="AE1038" t="inlineStr">
        <is>
          <t>סריקת אתרי מפיצים</t>
        </is>
      </c>
      <c r="AG1038" t="inlineStr"/>
      <c r="AH1038" t="inlineStr"/>
      <c r="AJ1038" t="inlineStr"/>
      <c r="AP1038" t="inlineStr">
        <is>
          <t>https://www.dutscher.com/search?initialFilters=brand:Proteogenix</t>
        </is>
      </c>
    </row>
    <row r="1039">
      <c r="A1039" t="n">
        <v>1038</v>
      </c>
      <c r="B1039" t="inlineStr">
        <is>
          <t>Pulp Fixin</t>
        </is>
      </c>
      <c r="C1039" t="inlineStr">
        <is>
          <t>T</t>
        </is>
      </c>
      <c r="E1039" t="inlineStr">
        <is>
          <t>https://www.thomassci.com/browse-by/suppliers/pulp-fixin</t>
        </is>
      </c>
      <c r="F1039" t="inlineStr"/>
      <c r="J1039" t="inlineStr"/>
      <c r="Y1039" t="inlineStr">
        <is>
          <t>unknown</t>
        </is>
      </c>
      <c r="Z1039" t="inlineStr"/>
      <c r="AA1039" t="inlineStr"/>
      <c r="AB1039" t="inlineStr"/>
      <c r="AC1039" t="inlineStr"/>
      <c r="AD1039" t="inlineStr">
        <is>
          <t>לא נמצא בסריקת המפיצים</t>
        </is>
      </c>
      <c r="AE1039" t="inlineStr">
        <is>
          <t>סריקת אתרי מפיצים</t>
        </is>
      </c>
      <c r="AG1039" t="inlineStr"/>
      <c r="AH1039" t="inlineStr"/>
      <c r="AJ1039" t="inlineStr"/>
      <c r="AP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Y1040" t="inlineStr">
        <is>
          <t>unknown</t>
        </is>
      </c>
      <c r="Z1040" t="inlineStr"/>
      <c r="AA1040" t="inlineStr"/>
      <c r="AB1040" t="inlineStr"/>
      <c r="AC1040" t="inlineStr"/>
      <c r="AD1040" t="inlineStr">
        <is>
          <t>לא נמצא בסריקת המפיצים</t>
        </is>
      </c>
      <c r="AE1040" t="inlineStr">
        <is>
          <t>סריקת אתרי מפיצים</t>
        </is>
      </c>
      <c r="AG1040" t="inlineStr"/>
      <c r="AH1040" t="inlineStr"/>
      <c r="AJ1040" t="inlineStr"/>
      <c r="AP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Y1041" t="inlineStr">
        <is>
          <t>unknown</t>
        </is>
      </c>
      <c r="Z1041" t="inlineStr"/>
      <c r="AA1041" t="inlineStr"/>
      <c r="AB1041" t="inlineStr"/>
      <c r="AC1041" t="inlineStr"/>
      <c r="AD1041" t="inlineStr">
        <is>
          <t>לא נמצא בסריקת המפיצים</t>
        </is>
      </c>
      <c r="AE1041" t="inlineStr">
        <is>
          <t>סריקת אתרי מפיצים</t>
        </is>
      </c>
      <c r="AG1041" t="inlineStr"/>
      <c r="AH1041" t="inlineStr"/>
      <c r="AJ1041" t="inlineStr"/>
      <c r="AP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https://puritan.com.au</t>
        </is>
      </c>
      <c r="I1042" t="inlineStr">
        <is>
          <t>clearbit</t>
        </is>
      </c>
      <c r="J1042" t="inlineStr"/>
      <c r="Y1042" t="inlineStr">
        <is>
          <t>unknown</t>
        </is>
      </c>
      <c r="Z1042" t="inlineStr"/>
      <c r="AA1042" t="inlineStr"/>
      <c r="AB1042" t="inlineStr"/>
      <c r="AC1042" t="inlineStr"/>
      <c r="AD1042" t="inlineStr">
        <is>
          <t>לא נמצא בסריקת המפיצים</t>
        </is>
      </c>
      <c r="AE1042" t="inlineStr">
        <is>
          <t>סריקת אתרי מפיצים</t>
        </is>
      </c>
      <c r="AG1042" t="inlineStr"/>
      <c r="AH1042" t="inlineStr"/>
      <c r="AJ1042" t="inlineStr"/>
      <c r="AP1042" t="inlineStr">
        <is>
          <t>https://www.dutscher.com/search?initialFilters=brand:Puritan</t>
        </is>
      </c>
    </row>
    <row r="1043">
      <c r="A1043" t="n">
        <v>1042</v>
      </c>
      <c r="B1043" t="inlineStr">
        <is>
          <t>Puritan Medical</t>
        </is>
      </c>
      <c r="C1043" t="inlineStr">
        <is>
          <t>Q</t>
        </is>
      </c>
      <c r="F1043" t="inlineStr">
        <is>
          <t>yes</t>
        </is>
      </c>
      <c r="J1043" t="inlineStr"/>
      <c r="Y1043" t="inlineStr">
        <is>
          <t>unknown</t>
        </is>
      </c>
      <c r="Z1043" t="inlineStr"/>
      <c r="AA1043" t="inlineStr"/>
      <c r="AB1043" t="inlineStr"/>
      <c r="AC1043" t="inlineStr"/>
      <c r="AD1043" t="inlineStr">
        <is>
          <t>לא נמצא בסריקת המפיצים</t>
        </is>
      </c>
      <c r="AE1043" t="inlineStr">
        <is>
          <t>סריקת אתרי מפיצים</t>
        </is>
      </c>
      <c r="AG1043" t="inlineStr"/>
      <c r="AH1043" t="inlineStr"/>
      <c r="AJ1043" t="inlineStr"/>
      <c r="AP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t>
        </is>
      </c>
      <c r="J1044" t="inlineStr"/>
      <c r="Y1044" t="inlineStr">
        <is>
          <t>unknown</t>
        </is>
      </c>
      <c r="Z1044" t="inlineStr"/>
      <c r="AA1044" t="inlineStr"/>
      <c r="AB1044" t="inlineStr"/>
      <c r="AC1044" t="inlineStr"/>
      <c r="AD1044" t="inlineStr">
        <is>
          <t>לא נמצא בסריקת המפיצים</t>
        </is>
      </c>
      <c r="AE1044" t="inlineStr">
        <is>
          <t>סריקת אתרי מפיצים</t>
        </is>
      </c>
      <c r="AG1044" t="inlineStr"/>
      <c r="AH1044" t="inlineStr"/>
      <c r="AJ1044" t="inlineStr"/>
      <c r="AP1044" t="inlineStr">
        <is>
          <t>https://www.thomassci.com/browse-by/suppliers/puritan-medical-products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Y1045" t="inlineStr">
        <is>
          <t>unknown</t>
        </is>
      </c>
      <c r="Z1045" t="inlineStr"/>
      <c r="AA1045" t="inlineStr"/>
      <c r="AB1045" t="inlineStr"/>
      <c r="AC1045" t="inlineStr"/>
      <c r="AD1045" t="inlineStr">
        <is>
          <t>לא נמצא בסריקת המפיצים</t>
        </is>
      </c>
      <c r="AE1045" t="inlineStr">
        <is>
          <t>סריקת אתרי מפיצים</t>
        </is>
      </c>
      <c r="AG1045" t="inlineStr"/>
      <c r="AH1045" t="inlineStr"/>
      <c r="AJ1045" t="inlineStr"/>
      <c r="AP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Y1046" t="inlineStr">
        <is>
          <t>unknown</t>
        </is>
      </c>
      <c r="Z1046" t="inlineStr"/>
      <c r="AA1046" t="inlineStr"/>
      <c r="AB1046" t="inlineStr"/>
      <c r="AC1046" t="inlineStr"/>
      <c r="AD1046" t="inlineStr">
        <is>
          <t>לא נמצא בסריקת המפיצים</t>
        </is>
      </c>
      <c r="AE1046" t="inlineStr">
        <is>
          <t>סריקת אתרי מפיצים</t>
        </is>
      </c>
      <c r="AG1046" t="inlineStr"/>
      <c r="AH1046" t="inlineStr"/>
      <c r="AJ1046" t="inlineStr"/>
      <c r="AP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Y1047" t="inlineStr">
        <is>
          <t>unknown</t>
        </is>
      </c>
      <c r="Z1047" t="inlineStr"/>
      <c r="AA1047" t="inlineStr"/>
      <c r="AB1047" t="inlineStr"/>
      <c r="AC1047" t="inlineStr"/>
      <c r="AD1047" t="inlineStr">
        <is>
          <t>לא נמצא בסריקת המפיצים</t>
        </is>
      </c>
      <c r="AE1047" t="inlineStr">
        <is>
          <t>סריקת אתרי מפיצים</t>
        </is>
      </c>
      <c r="AG1047" t="inlineStr"/>
      <c r="AH1047" t="inlineStr"/>
      <c r="AJ1047" t="inlineStr"/>
      <c r="AP1047" t="inlineStr">
        <is>
          <t>https://www.thomassci.com/browse-by/suppliers/pyramid-brand</t>
        </is>
      </c>
    </row>
    <row r="1048">
      <c r="A1048" t="n">
        <v>1047</v>
      </c>
      <c r="B1048" t="inlineStr">
        <is>
          <t>Q-Leap</t>
        </is>
      </c>
      <c r="C1048" t="inlineStr">
        <is>
          <t>T</t>
        </is>
      </c>
      <c r="E1048" t="inlineStr">
        <is>
          <t>https://www.thomassci.com/browse-by/suppliers/q-leap</t>
        </is>
      </c>
      <c r="F1048" t="inlineStr"/>
      <c r="H1048" t="inlineStr">
        <is>
          <t>https://q-leap.eu</t>
        </is>
      </c>
      <c r="I1048" t="inlineStr">
        <is>
          <t>clearbit</t>
        </is>
      </c>
      <c r="J1048" t="inlineStr"/>
      <c r="Y1048" t="inlineStr">
        <is>
          <t>unknown</t>
        </is>
      </c>
      <c r="Z1048" t="inlineStr"/>
      <c r="AA1048" t="inlineStr"/>
      <c r="AB1048" t="inlineStr"/>
      <c r="AC1048" t="inlineStr"/>
      <c r="AD1048" t="inlineStr">
        <is>
          <t>לא נמצא בסריקת המפיצים</t>
        </is>
      </c>
      <c r="AE1048" t="inlineStr">
        <is>
          <t>סריקת אתרי מפיצים</t>
        </is>
      </c>
      <c r="AG1048" t="inlineStr"/>
      <c r="AH1048" t="inlineStr"/>
      <c r="AJ1048" t="inlineStr"/>
      <c r="AP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P1049" t="n">
        <v>5654</v>
      </c>
      <c r="Q1049" t="n">
        <v>2025</v>
      </c>
      <c r="R1049" t="inlineStr">
        <is>
          <t>company</t>
        </is>
      </c>
      <c r="S1049" t="inlineStr">
        <is>
          <t>prior</t>
        </is>
      </c>
      <c r="T1049" t="n">
        <v>2090</v>
      </c>
      <c r="U1049" t="inlineStr">
        <is>
          <t>USD 2,090.0 million</t>
        </is>
      </c>
      <c r="V1049" t="inlineStr">
        <is>
          <t>FY2025</t>
        </is>
      </c>
      <c r="W1049" t="inlineStr">
        <is>
          <t>company</t>
        </is>
      </c>
      <c r="X1049" t="inlineStr">
        <is>
          <t>prior</t>
        </is>
      </c>
      <c r="Y1049" t="inlineStr">
        <is>
          <t>reported</t>
        </is>
      </c>
      <c r="Z1049" t="inlineStr">
        <is>
          <t>QIAcube Connect</t>
        </is>
      </c>
      <c r="AA1049" t="inlineStr">
        <is>
          <t>QIAstat-Dx</t>
        </is>
      </c>
      <c r="AB1049" t="inlineStr">
        <is>
          <t>QuantiFERON-TB Gold Plus</t>
        </is>
      </c>
      <c r="AC1049" t="inlineStr">
        <is>
          <t>prior</t>
        </is>
      </c>
      <c r="AD1049" t="inlineStr">
        <is>
          <t>מפיץ/נציג בישראל</t>
        </is>
      </c>
      <c r="AE1049" t="inlineStr">
        <is>
          <t>אומת</t>
        </is>
      </c>
      <c r="AF1049" t="n">
        <v>2026</v>
      </c>
      <c r="AG1049" t="inlineStr">
        <is>
          <t>Ilex Medical Ltd.; Eldan Electronic Instruments (Neopharm group); Lifegene Ltd.</t>
        </is>
      </c>
      <c r="AH1049" t="inlineStr">
        <is>
          <t>Ilex Medical Ltd.: +972-3-9385500; Eldan Electronic Instruments (Neopharm group): +972-3-937-1111 info@eldan.biz; Lifegene Ltd.: +972 8-644-4314 info@lifegene.co.il</t>
        </is>
      </c>
      <c r="AI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J1049" t="inlineStr">
        <is>
          <t>+49 2103 29 12000</t>
        </is>
      </c>
      <c r="AL1049" t="inlineStr">
        <is>
          <t>QIAGEN Str. 1, 40724 Hilden, Germany (operational HQ)</t>
        </is>
      </c>
      <c r="AM1049" t="inlineStr">
        <is>
          <t>https://qiagen.com/ch/knowledge-and-support/contact-customer-support</t>
        </is>
      </c>
      <c r="AN1049" t="inlineStr">
        <is>
          <t>https://www.biocompare.com/100425-QIAGEN/</t>
        </is>
      </c>
      <c r="AP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t>
        </is>
      </c>
    </row>
    <row r="1050">
      <c r="A1050" t="n">
        <v>1049</v>
      </c>
      <c r="B1050" t="inlineStr">
        <is>
          <t>Qkine Ltd.</t>
        </is>
      </c>
      <c r="C1050" t="inlineStr">
        <is>
          <t>T</t>
        </is>
      </c>
      <c r="E1050" t="inlineStr">
        <is>
          <t>https://www.thomassci.com/browse-by/suppliers/qkine-ltd-</t>
        </is>
      </c>
      <c r="F1050" t="inlineStr"/>
      <c r="J1050" t="inlineStr"/>
      <c r="Y1050" t="inlineStr">
        <is>
          <t>unknown</t>
        </is>
      </c>
      <c r="Z1050" t="inlineStr"/>
      <c r="AA1050" t="inlineStr"/>
      <c r="AB1050" t="inlineStr"/>
      <c r="AC1050" t="inlineStr"/>
      <c r="AD1050" t="inlineStr">
        <is>
          <t>לא נמצא בסריקת המפיצים</t>
        </is>
      </c>
      <c r="AE1050" t="inlineStr">
        <is>
          <t>סריקת אתרי מפיצים</t>
        </is>
      </c>
      <c r="AG1050" t="inlineStr"/>
      <c r="AH1050" t="inlineStr"/>
      <c r="AJ1050" t="inlineStr"/>
      <c r="AP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https://qorpak.com</t>
        </is>
      </c>
      <c r="I1051" t="inlineStr">
        <is>
          <t>clearbit</t>
        </is>
      </c>
      <c r="J1051" t="inlineStr"/>
      <c r="Y1051" t="inlineStr">
        <is>
          <t>unknown</t>
        </is>
      </c>
      <c r="Z1051" t="inlineStr"/>
      <c r="AA1051" t="inlineStr"/>
      <c r="AB1051" t="inlineStr"/>
      <c r="AC1051" t="inlineStr"/>
      <c r="AD1051" t="inlineStr">
        <is>
          <t>לא נמצא בסריקת המפיצים</t>
        </is>
      </c>
      <c r="AE1051" t="inlineStr">
        <is>
          <t>סריקת אתרי מפיצים</t>
        </is>
      </c>
      <c r="AG1051" t="inlineStr"/>
      <c r="AH1051" t="inlineStr"/>
      <c r="AJ1051" t="inlineStr"/>
      <c r="AP1051" t="inlineStr">
        <is>
          <t>https://www.quartzy.com/suppliers | https://www.thomassci.com/browse-by/suppliers/qorpak</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t>
        </is>
      </c>
      <c r="J1052" t="inlineStr"/>
      <c r="Y1052" t="inlineStr">
        <is>
          <t>unknown</t>
        </is>
      </c>
      <c r="Z1052" t="inlineStr"/>
      <c r="AA1052" t="inlineStr"/>
      <c r="AB1052" t="inlineStr"/>
      <c r="AC1052" t="inlineStr"/>
      <c r="AD1052" t="inlineStr">
        <is>
          <t>לא נמצא בסריקת המפיצים</t>
        </is>
      </c>
      <c r="AE1052" t="inlineStr">
        <is>
          <t>סריקת אתרי מפיצים</t>
        </is>
      </c>
      <c r="AG1052" t="inlineStr"/>
      <c r="AH1052" t="inlineStr"/>
      <c r="AJ1052" t="inlineStr"/>
      <c r="AP1052" t="inlineStr">
        <is>
          <t>https://www.thomassci.com/browse-by/suppliers/qosina</t>
        </is>
      </c>
    </row>
    <row r="1053">
      <c r="A1053" t="n">
        <v>1052</v>
      </c>
      <c r="B1053" t="inlineStr">
        <is>
          <t>QRP® by PIP Global Safety</t>
        </is>
      </c>
      <c r="C1053" t="inlineStr">
        <is>
          <t>T</t>
        </is>
      </c>
      <c r="E1053" t="inlineStr">
        <is>
          <t>https://www.thomassci.com/browse-by/suppliers/qrp-by-pip-global-safety</t>
        </is>
      </c>
      <c r="F1053" t="inlineStr"/>
      <c r="J1053" t="inlineStr"/>
      <c r="Y1053" t="inlineStr">
        <is>
          <t>unknown</t>
        </is>
      </c>
      <c r="Z1053" t="inlineStr"/>
      <c r="AA1053" t="inlineStr"/>
      <c r="AB1053" t="inlineStr"/>
      <c r="AC1053" t="inlineStr"/>
      <c r="AD1053" t="inlineStr">
        <is>
          <t>לא נמצא בסריקת המפיצים</t>
        </is>
      </c>
      <c r="AE1053" t="inlineStr">
        <is>
          <t>סריקת אתרי מפיצים</t>
        </is>
      </c>
      <c r="AG1053" t="inlineStr"/>
      <c r="AH1053" t="inlineStr"/>
      <c r="AJ1053" t="inlineStr"/>
      <c r="AP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t>
        </is>
      </c>
      <c r="J1054" t="inlineStr"/>
      <c r="Y1054" t="inlineStr">
        <is>
          <t>unknown</t>
        </is>
      </c>
      <c r="Z1054" t="inlineStr"/>
      <c r="AA1054" t="inlineStr"/>
      <c r="AB1054" t="inlineStr"/>
      <c r="AC1054" t="inlineStr"/>
      <c r="AD1054" t="inlineStr">
        <is>
          <t>לא נמצא בסריקת המפיצים</t>
        </is>
      </c>
      <c r="AE1054" t="inlineStr">
        <is>
          <t>סריקת אתרי מפיצים</t>
        </is>
      </c>
      <c r="AG1054" t="inlineStr"/>
      <c r="AH1054" t="inlineStr"/>
      <c r="AJ1054" t="inlineStr"/>
      <c r="AP1054" t="inlineStr">
        <is>
          <t>https://www.thomassci.com/browse-by/suppliers/qsonica</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Y1055" t="inlineStr">
        <is>
          <t>unknown</t>
        </is>
      </c>
      <c r="Z1055" t="inlineStr"/>
      <c r="AA1055" t="inlineStr"/>
      <c r="AB1055" t="inlineStr"/>
      <c r="AC1055" t="inlineStr"/>
      <c r="AD1055" t="inlineStr">
        <is>
          <t>לא נמצא בסריקת המפיצים</t>
        </is>
      </c>
      <c r="AE1055" t="inlineStr">
        <is>
          <t>סריקת אתרי מפיצים</t>
        </is>
      </c>
      <c r="AG1055" t="inlineStr"/>
      <c r="AH1055" t="inlineStr"/>
      <c r="AJ1055" t="inlineStr"/>
      <c r="AP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Y1056" t="inlineStr">
        <is>
          <t>unknown</t>
        </is>
      </c>
      <c r="Z1056" t="inlineStr"/>
      <c r="AA1056" t="inlineStr"/>
      <c r="AB1056" t="inlineStr"/>
      <c r="AC1056" t="inlineStr"/>
      <c r="AD1056" t="inlineStr">
        <is>
          <t>לא נמצא בסריקת המפיצים</t>
        </is>
      </c>
      <c r="AE1056" t="inlineStr">
        <is>
          <t>סריקת אתרי מפיצים</t>
        </is>
      </c>
      <c r="AG1056" t="inlineStr"/>
      <c r="AH1056" t="inlineStr"/>
      <c r="AJ1056" t="inlineStr"/>
      <c r="AP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t>
        </is>
      </c>
      <c r="J1057" t="inlineStr"/>
      <c r="Y1057" t="inlineStr">
        <is>
          <t>unknown</t>
        </is>
      </c>
      <c r="Z1057" t="inlineStr"/>
      <c r="AA1057" t="inlineStr"/>
      <c r="AB1057" t="inlineStr"/>
      <c r="AC1057" t="inlineStr"/>
      <c r="AD1057" t="inlineStr">
        <is>
          <t>לא נמצא בסריקת המפיצים</t>
        </is>
      </c>
      <c r="AE1057" t="inlineStr">
        <is>
          <t>סריקת אתרי מפיצים</t>
        </is>
      </c>
      <c r="AG1057" t="inlineStr"/>
      <c r="AH1057" t="inlineStr"/>
      <c r="AJ1057" t="inlineStr"/>
      <c r="AP1057" t="inlineStr">
        <is>
          <t>https://www.thomassci.com/browse-by/suppliers/quantum-storage-systems</t>
        </is>
      </c>
    </row>
    <row r="1058">
      <c r="A1058" t="n">
        <v>1057</v>
      </c>
      <c r="B1058" t="inlineStr">
        <is>
          <t>Quidel Corporation</t>
        </is>
      </c>
      <c r="C1058" t="inlineStr">
        <is>
          <t>T</t>
        </is>
      </c>
      <c r="E1058" t="inlineStr">
        <is>
          <t>https://www.thomassci.com/browse-by/suppliers/quidel-corporation</t>
        </is>
      </c>
      <c r="F1058" t="inlineStr"/>
      <c r="J1058" t="inlineStr"/>
      <c r="Y1058" t="inlineStr">
        <is>
          <t>unknown</t>
        </is>
      </c>
      <c r="Z1058" t="inlineStr"/>
      <c r="AA1058" t="inlineStr"/>
      <c r="AB1058" t="inlineStr"/>
      <c r="AC1058" t="inlineStr"/>
      <c r="AD1058" t="inlineStr">
        <is>
          <t>לא נמצא בסריקת המפיצים</t>
        </is>
      </c>
      <c r="AE1058" t="inlineStr">
        <is>
          <t>סריקת אתרי מפיצים</t>
        </is>
      </c>
      <c r="AG1058" t="inlineStr"/>
      <c r="AH1058" t="inlineStr"/>
      <c r="AJ1058" t="inlineStr"/>
      <c r="AP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t>
        </is>
      </c>
      <c r="J1059" t="inlineStr"/>
      <c r="Y1059" t="inlineStr">
        <is>
          <t>unknown</t>
        </is>
      </c>
      <c r="Z1059" t="inlineStr"/>
      <c r="AA1059" t="inlineStr"/>
      <c r="AB1059" t="inlineStr"/>
      <c r="AC1059" t="inlineStr"/>
      <c r="AD1059" t="inlineStr">
        <is>
          <t>לא נמצא בסריקת המפיצים</t>
        </is>
      </c>
      <c r="AE1059" t="inlineStr">
        <is>
          <t>סריקת אתרי מפיצים</t>
        </is>
      </c>
      <c r="AG1059" t="inlineStr"/>
      <c r="AH1059" t="inlineStr"/>
      <c r="AJ1059" t="inlineStr"/>
      <c r="AP1059" t="inlineStr">
        <is>
          <t>https://www.thomassci.com/browse-by/suppliers/quincy-lab</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Y1060" t="inlineStr">
        <is>
          <t>unknown</t>
        </is>
      </c>
      <c r="Z1060" t="inlineStr"/>
      <c r="AA1060" t="inlineStr"/>
      <c r="AB1060" t="inlineStr"/>
      <c r="AC1060" t="inlineStr"/>
      <c r="AD1060" t="inlineStr">
        <is>
          <t>לא נמצא בסריקת המפיצים</t>
        </is>
      </c>
      <c r="AE1060" t="inlineStr">
        <is>
          <t>סריקת אתרי מפיצים</t>
        </is>
      </c>
      <c r="AG1060" t="inlineStr"/>
      <c r="AH1060" t="inlineStr"/>
      <c r="AJ1060" t="inlineStr"/>
      <c r="AP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P1061" t="n">
        <v>3100</v>
      </c>
      <c r="Q1061" t="n">
        <v>2025</v>
      </c>
      <c r="R1061" t="inlineStr">
        <is>
          <t>company</t>
        </is>
      </c>
      <c r="S1061" t="inlineStr">
        <is>
          <t>prior</t>
        </is>
      </c>
      <c r="T1061" t="n">
        <v>1220</v>
      </c>
      <c r="U1061" t="inlineStr">
        <is>
          <t>USD 1.2 billion (approx.; flat vs FY2025 USD 1,219.6 million)</t>
        </is>
      </c>
      <c r="V1061" t="inlineStr">
        <is>
          <t>FY Jun-2026</t>
        </is>
      </c>
      <c r="W1061" t="inlineStr">
        <is>
          <t>company</t>
        </is>
      </c>
      <c r="X1061" t="inlineStr">
        <is>
          <t>prior</t>
        </is>
      </c>
      <c r="Y1061" t="inlineStr">
        <is>
          <t>reported</t>
        </is>
      </c>
      <c r="Z1061" t="inlineStr">
        <is>
          <t>ProteinSimple Jess / Simple Western</t>
        </is>
      </c>
      <c r="AA1061" t="inlineStr">
        <is>
          <t>R&amp;D Systems proteins, antibodies &amp; Quantikine ELISAs</t>
        </is>
      </c>
      <c r="AB1061" t="inlineStr">
        <is>
          <t>RNAscope (ACD)</t>
        </is>
      </c>
      <c r="AC1061" t="inlineStr">
        <is>
          <t>prior</t>
        </is>
      </c>
      <c r="AD1061" t="inlineStr">
        <is>
          <t>מפיץ/נציג בישראל</t>
        </is>
      </c>
      <c r="AE1061" t="inlineStr">
        <is>
          <t>חיפוש חלקי</t>
        </is>
      </c>
      <c r="AF1061" t="n">
        <v>2026</v>
      </c>
      <c r="AG1061" t="inlineStr">
        <is>
          <t>Getter Bio-Med (Getter Group); Biotest</t>
        </is>
      </c>
      <c r="AH1061" t="inlineStr">
        <is>
          <t>Getter Bio-Med (Getter Group): +972 3-576-1555 (Getter Group switchboard); Biotest:</t>
        </is>
      </c>
      <c r="AI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061" t="inlineStr">
        <is>
          <t>+1 800-343-7475</t>
        </is>
      </c>
      <c r="AK1061" t="inlineStr">
        <is>
          <t>techsupport@bio-techne.com</t>
        </is>
      </c>
      <c r="AL1061" t="inlineStr">
        <is>
          <t>614 McKinley Place NE, Minneapolis, MN 55413, USA</t>
        </is>
      </c>
      <c r="AM1061" t="inlineStr">
        <is>
          <t>https://rndsystems.com/node/64566</t>
        </is>
      </c>
      <c r="AN1061" t="inlineStr">
        <is>
          <t>https://rndsystems.com/node/64566</t>
        </is>
      </c>
      <c r="AP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t>
        </is>
      </c>
      <c r="J1062" t="inlineStr"/>
      <c r="Y1062" t="inlineStr">
        <is>
          <t>unknown</t>
        </is>
      </c>
      <c r="Z1062" t="inlineStr"/>
      <c r="AA1062" t="inlineStr"/>
      <c r="AB1062" t="inlineStr"/>
      <c r="AC1062" t="inlineStr"/>
      <c r="AD1062" t="inlineStr">
        <is>
          <t>לא נמצא בסריקת המפיצים</t>
        </is>
      </c>
      <c r="AE1062" t="inlineStr">
        <is>
          <t>סריקת אתרי מפיצים</t>
        </is>
      </c>
      <c r="AG1062" t="inlineStr"/>
      <c r="AH1062" t="inlineStr"/>
      <c r="AJ1062" t="inlineStr"/>
      <c r="AP1062" t="inlineStr">
        <is>
          <t>https://www.thomassci.com/browse-by/suppliers/r-and-r-lotion</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Y1063" t="inlineStr">
        <is>
          <t>unknown</t>
        </is>
      </c>
      <c r="Z1063" t="inlineStr"/>
      <c r="AA1063" t="inlineStr"/>
      <c r="AB1063" t="inlineStr"/>
      <c r="AC1063" t="inlineStr"/>
      <c r="AD1063" t="inlineStr">
        <is>
          <t>לא נמצא בסריקת המפיצים</t>
        </is>
      </c>
      <c r="AE1063" t="inlineStr">
        <is>
          <t>סריקת אתרי מפיצים</t>
        </is>
      </c>
      <c r="AG1063" t="inlineStr"/>
      <c r="AH1063" t="inlineStr"/>
      <c r="AJ1063" t="inlineStr"/>
      <c r="AP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t>
        </is>
      </c>
      <c r="J1064" t="inlineStr"/>
      <c r="Y1064" t="inlineStr">
        <is>
          <t>unknown</t>
        </is>
      </c>
      <c r="Z1064" t="inlineStr"/>
      <c r="AA1064" t="inlineStr"/>
      <c r="AB1064" t="inlineStr"/>
      <c r="AC1064" t="inlineStr"/>
      <c r="AD1064" t="inlineStr">
        <is>
          <t>לא נמצא בסריקת המפיצים</t>
        </is>
      </c>
      <c r="AE1064" t="inlineStr">
        <is>
          <t>סריקת אתרי מפיצים</t>
        </is>
      </c>
      <c r="AG1064" t="inlineStr"/>
      <c r="AH1064" t="inlineStr"/>
      <c r="AJ1064" t="inlineStr"/>
      <c r="AP1064" t="inlineStr">
        <is>
          <t>https://www.thomassci.com/browse-by/suppliers/radians</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P1065" t="n">
        <v>18100</v>
      </c>
      <c r="Q1065" t="n">
        <v>2025</v>
      </c>
      <c r="R1065" t="inlineStr">
        <is>
          <t>company</t>
        </is>
      </c>
      <c r="S1065" t="inlineStr">
        <is>
          <t>prior</t>
        </is>
      </c>
      <c r="T1065" t="n">
        <v>4026</v>
      </c>
      <c r="U1065" t="inlineStr">
        <is>
          <t>USD 4.026 billion</t>
        </is>
      </c>
      <c r="V1065" t="inlineStr">
        <is>
          <t>FY2025</t>
        </is>
      </c>
      <c r="W1065" t="inlineStr">
        <is>
          <t>company</t>
        </is>
      </c>
      <c r="X1065" t="inlineStr">
        <is>
          <t>prior</t>
        </is>
      </c>
      <c r="Y1065" t="inlineStr">
        <is>
          <t>reported</t>
        </is>
      </c>
      <c r="Z1065" t="inlineStr">
        <is>
          <t>XPR analytical &amp; micro balances</t>
        </is>
      </c>
      <c r="AA1065" t="inlineStr">
        <is>
          <t>Rainin Pipet-Lite XLS / E4 XLS</t>
        </is>
      </c>
      <c r="AB1065" t="inlineStr">
        <is>
          <t>Excellence Titrators &amp; SevenExcellence meters</t>
        </is>
      </c>
      <c r="AC1065" t="inlineStr">
        <is>
          <t>prior</t>
        </is>
      </c>
      <c r="AD1065" t="inlineStr">
        <is>
          <t>מפיץ/נציג בישראל</t>
        </is>
      </c>
      <c r="AE1065" t="inlineStr">
        <is>
          <t>אומת</t>
        </is>
      </c>
      <c r="AF1065" t="n">
        <v>2026</v>
      </c>
      <c r="AG1065" t="inlineStr">
        <is>
          <t>Agentek (1987) Ltd.; Modcon Systems Ltd.; Dinco Ltd.</t>
        </is>
      </c>
      <c r="AH1065" t="inlineStr">
        <is>
          <t>Agentek (1987) Ltd.: +972 9-965-7000; Modcon Systems Ltd.: +972-4-9553955; Dinco Ltd.:</t>
        </is>
      </c>
      <c r="AI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1065" t="inlineStr">
        <is>
          <t>+1 614-438-4511</t>
        </is>
      </c>
      <c r="AL1065" t="inlineStr">
        <is>
          <t>1900 Polaris Parkway, Columbus, OH 43240, USA</t>
        </is>
      </c>
      <c r="AN1065" t="inlineStr">
        <is>
          <t>https://s202.q4cdn.com/258391627/files/doc_financials/2014-Annual-Report.pdf</t>
        </is>
      </c>
      <c r="AP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Y1066" t="inlineStr">
        <is>
          <t>unknown</t>
        </is>
      </c>
      <c r="Z1066" t="inlineStr"/>
      <c r="AA1066" t="inlineStr"/>
      <c r="AB1066" t="inlineStr"/>
      <c r="AC1066" t="inlineStr"/>
      <c r="AD1066" t="inlineStr">
        <is>
          <t>לא נמצא בסריקת המפיצים</t>
        </is>
      </c>
      <c r="AE1066" t="inlineStr">
        <is>
          <t>סריקת אתרי מפיצים</t>
        </is>
      </c>
      <c r="AG1066" t="inlineStr"/>
      <c r="AH1066" t="inlineStr"/>
      <c r="AJ1066" t="inlineStr"/>
      <c r="AP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t>
        </is>
      </c>
      <c r="J1067" t="inlineStr"/>
      <c r="Y1067" t="inlineStr">
        <is>
          <t>unknown</t>
        </is>
      </c>
      <c r="Z1067" t="inlineStr"/>
      <c r="AA1067" t="inlineStr"/>
      <c r="AB1067" t="inlineStr"/>
      <c r="AC1067" t="inlineStr"/>
      <c r="AD1067" t="inlineStr">
        <is>
          <t>לא נמצא בסריקת המפיצים</t>
        </is>
      </c>
      <c r="AE1067" t="inlineStr">
        <is>
          <t>סריקת אתרי מפיצים</t>
        </is>
      </c>
      <c r="AG1067" t="inlineStr"/>
      <c r="AH1067" t="inlineStr"/>
      <c r="AJ1067" t="inlineStr"/>
      <c r="AP1067" t="inlineStr">
        <is>
          <t>https://www.dutscher.com/search?initialFilters=brand:Ratiolab</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t>
        </is>
      </c>
      <c r="J1068" t="inlineStr"/>
      <c r="Y1068" t="inlineStr">
        <is>
          <t>unknown</t>
        </is>
      </c>
      <c r="Z1068" t="inlineStr"/>
      <c r="AA1068" t="inlineStr"/>
      <c r="AB1068" t="inlineStr"/>
      <c r="AC1068" t="inlineStr"/>
      <c r="AD1068" t="inlineStr">
        <is>
          <t>לא נמצא בסריקת המפיצים</t>
        </is>
      </c>
      <c r="AE1068" t="inlineStr">
        <is>
          <t>סריקת אתרי מפיצים</t>
        </is>
      </c>
      <c r="AG1068" t="inlineStr"/>
      <c r="AH1068" t="inlineStr"/>
      <c r="AJ1068" t="inlineStr"/>
      <c r="AP1068" t="inlineStr">
        <is>
          <t>https://www.quartzy.com/suppliers | https://www.thomassci.com/browse-by/suppliers/raybiotech</t>
        </is>
      </c>
    </row>
    <row r="1069">
      <c r="A1069" t="n">
        <v>1068</v>
      </c>
      <c r="B1069" t="inlineStr">
        <is>
          <t>Raylabcon</t>
        </is>
      </c>
      <c r="C1069" t="inlineStr">
        <is>
          <t>T</t>
        </is>
      </c>
      <c r="E1069" t="inlineStr">
        <is>
          <t>https://www.thomassci.com/browse-by/suppliers/raylabcon</t>
        </is>
      </c>
      <c r="F1069" t="inlineStr"/>
      <c r="J1069" t="inlineStr"/>
      <c r="Y1069" t="inlineStr">
        <is>
          <t>unknown</t>
        </is>
      </c>
      <c r="Z1069" t="inlineStr"/>
      <c r="AA1069" t="inlineStr"/>
      <c r="AB1069" t="inlineStr"/>
      <c r="AC1069" t="inlineStr"/>
      <c r="AD1069" t="inlineStr">
        <is>
          <t>לא נמצא בסריקת המפיצים</t>
        </is>
      </c>
      <c r="AE1069" t="inlineStr">
        <is>
          <t>סריקת אתרי מפיצים</t>
        </is>
      </c>
      <c r="AG1069" t="inlineStr"/>
      <c r="AH1069" t="inlineStr"/>
      <c r="AJ1069" t="inlineStr"/>
      <c r="AP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Y1070" t="inlineStr">
        <is>
          <t>unknown</t>
        </is>
      </c>
      <c r="Z1070" t="inlineStr"/>
      <c r="AA1070" t="inlineStr"/>
      <c r="AB1070" t="inlineStr"/>
      <c r="AC1070" t="inlineStr"/>
      <c r="AD1070" t="inlineStr">
        <is>
          <t>לא נמצא בסריקת המפיצים</t>
        </is>
      </c>
      <c r="AE1070" t="inlineStr">
        <is>
          <t>סריקת אתרי מפיצים</t>
        </is>
      </c>
      <c r="AG1070" t="inlineStr"/>
      <c r="AH1070" t="inlineStr"/>
      <c r="AJ1070" t="inlineStr"/>
      <c r="AP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t>
        </is>
      </c>
      <c r="J1071" t="inlineStr"/>
      <c r="Y1071" t="inlineStr">
        <is>
          <t>unknown</t>
        </is>
      </c>
      <c r="Z1071" t="inlineStr"/>
      <c r="AA1071" t="inlineStr"/>
      <c r="AB1071" t="inlineStr"/>
      <c r="AC1071" t="inlineStr"/>
      <c r="AD1071" t="inlineStr">
        <is>
          <t>לא נמצא בסריקת המפיצים</t>
        </is>
      </c>
      <c r="AE1071" t="inlineStr">
        <is>
          <t>סריקת אתרי מפיצים</t>
        </is>
      </c>
      <c r="AG1071" t="inlineStr"/>
      <c r="AH1071" t="inlineStr"/>
      <c r="AJ1071" t="inlineStr"/>
      <c r="AP1071" t="inlineStr">
        <is>
          <t>https://www.dutscher.com/search?initialFilters=brand:Reagecon</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Y1072" t="inlineStr">
        <is>
          <t>unknown</t>
        </is>
      </c>
      <c r="Z1072" t="inlineStr"/>
      <c r="AA1072" t="inlineStr"/>
      <c r="AB1072" t="inlineStr"/>
      <c r="AC1072" t="inlineStr"/>
      <c r="AD1072" t="inlineStr">
        <is>
          <t>לא נמצא בסריקת המפיצים</t>
        </is>
      </c>
      <c r="AE1072" t="inlineStr">
        <is>
          <t>סריקת אתרי מפיצים</t>
        </is>
      </c>
      <c r="AG1072" t="inlineStr"/>
      <c r="AH1072" t="inlineStr"/>
      <c r="AJ1072" t="inlineStr"/>
      <c r="AP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t>
        </is>
      </c>
      <c r="J1073" t="inlineStr"/>
      <c r="Y1073" t="inlineStr">
        <is>
          <t>unknown</t>
        </is>
      </c>
      <c r="Z1073" t="inlineStr"/>
      <c r="AA1073" t="inlineStr"/>
      <c r="AB1073" t="inlineStr"/>
      <c r="AC1073" t="inlineStr"/>
      <c r="AD1073" t="inlineStr">
        <is>
          <t>לא נמצא בסריקת המפיצים</t>
        </is>
      </c>
      <c r="AE1073" t="inlineStr">
        <is>
          <t>סריקת אתרי מפיצים</t>
        </is>
      </c>
      <c r="AG1073" t="inlineStr"/>
      <c r="AH1073" t="inlineStr"/>
      <c r="AJ1073" t="inlineStr"/>
      <c r="AP1073" t="inlineStr">
        <is>
          <t>https://www.quartzy.com/suppliers</t>
        </is>
      </c>
    </row>
    <row r="1074">
      <c r="A1074" t="n">
        <v>1073</v>
      </c>
      <c r="B1074" t="inlineStr">
        <is>
          <t>Reichert Technologies</t>
        </is>
      </c>
      <c r="C1074" t="inlineStr">
        <is>
          <t>T</t>
        </is>
      </c>
      <c r="E1074" t="inlineStr">
        <is>
          <t>https://www.thomassci.com/browse-by/suppliers/reichert-technologies</t>
        </is>
      </c>
      <c r="F1074" t="inlineStr"/>
      <c r="J1074" t="inlineStr"/>
      <c r="Y1074" t="inlineStr">
        <is>
          <t>unknown</t>
        </is>
      </c>
      <c r="Z1074" t="inlineStr"/>
      <c r="AA1074" t="inlineStr"/>
      <c r="AB1074" t="inlineStr"/>
      <c r="AC1074" t="inlineStr"/>
      <c r="AD1074" t="inlineStr">
        <is>
          <t>לא נמצא בסריקת המפיצים</t>
        </is>
      </c>
      <c r="AE1074" t="inlineStr">
        <is>
          <t>סריקת אתרי מפיצים</t>
        </is>
      </c>
      <c r="AG1074" t="inlineStr"/>
      <c r="AH1074" t="inlineStr"/>
      <c r="AJ1074" t="inlineStr"/>
      <c r="AP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https://remcoproducts.com</t>
        </is>
      </c>
      <c r="I1075" t="inlineStr">
        <is>
          <t>clearbit</t>
        </is>
      </c>
      <c r="J1075" t="inlineStr"/>
      <c r="Y1075" t="inlineStr">
        <is>
          <t>unknown</t>
        </is>
      </c>
      <c r="Z1075" t="inlineStr"/>
      <c r="AA1075" t="inlineStr"/>
      <c r="AB1075" t="inlineStr"/>
      <c r="AC1075" t="inlineStr"/>
      <c r="AD1075" t="inlineStr">
        <is>
          <t>לא נמצא בסריקת המפיצים</t>
        </is>
      </c>
      <c r="AE1075" t="inlineStr">
        <is>
          <t>סריקת אתרי מפיצים</t>
        </is>
      </c>
      <c r="AG1075" t="inlineStr"/>
      <c r="AH1075" t="inlineStr"/>
      <c r="AJ1075" t="inlineStr"/>
      <c r="AP1075" t="inlineStr">
        <is>
          <t>https://www.thomassci.com/browse-by/suppliers/remco-products</t>
        </is>
      </c>
    </row>
    <row r="1076">
      <c r="A1076" t="n">
        <v>1075</v>
      </c>
      <c r="B1076" t="inlineStr">
        <is>
          <t>Renco Corporation</t>
        </is>
      </c>
      <c r="C1076" t="inlineStr">
        <is>
          <t>T</t>
        </is>
      </c>
      <c r="E1076" t="inlineStr">
        <is>
          <t>https://www.thomassci.com/browse-by/suppliers/renco-corporation</t>
        </is>
      </c>
      <c r="F1076" t="inlineStr"/>
      <c r="J1076" t="inlineStr"/>
      <c r="Y1076" t="inlineStr">
        <is>
          <t>unknown</t>
        </is>
      </c>
      <c r="Z1076" t="inlineStr"/>
      <c r="AA1076" t="inlineStr"/>
      <c r="AB1076" t="inlineStr"/>
      <c r="AC1076" t="inlineStr"/>
      <c r="AD1076" t="inlineStr">
        <is>
          <t>לא נמצא בסריקת המפיצים</t>
        </is>
      </c>
      <c r="AE1076" t="inlineStr">
        <is>
          <t>סריקת אתרי מפיצים</t>
        </is>
      </c>
      <c r="AG1076" t="inlineStr"/>
      <c r="AH1076" t="inlineStr"/>
      <c r="AJ1076" t="inlineStr"/>
      <c r="AP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Y1077" t="inlineStr">
        <is>
          <t>unknown</t>
        </is>
      </c>
      <c r="Z1077" t="inlineStr"/>
      <c r="AA1077" t="inlineStr"/>
      <c r="AB1077" t="inlineStr"/>
      <c r="AC1077" t="inlineStr"/>
      <c r="AD1077" t="inlineStr">
        <is>
          <t>לא נמצא בסריקת המפיצים</t>
        </is>
      </c>
      <c r="AE1077" t="inlineStr">
        <is>
          <t>סריקת אתרי מפיצים</t>
        </is>
      </c>
      <c r="AG1077" t="inlineStr"/>
      <c r="AH1077" t="inlineStr"/>
      <c r="AJ1077" t="inlineStr"/>
      <c r="AP1077" t="inlineStr">
        <is>
          <t>https://www.thomassci.com/browse-by/suppliers/rephile</t>
        </is>
      </c>
    </row>
    <row r="1078">
      <c r="A1078" t="n">
        <v>1077</v>
      </c>
      <c r="B1078" t="inlineStr">
        <is>
          <t>Research Products International</t>
        </is>
      </c>
      <c r="C1078" t="inlineStr">
        <is>
          <t>Q</t>
        </is>
      </c>
      <c r="F1078" t="inlineStr">
        <is>
          <t>yes</t>
        </is>
      </c>
      <c r="J1078" t="inlineStr"/>
      <c r="Y1078" t="inlineStr">
        <is>
          <t>unknown</t>
        </is>
      </c>
      <c r="Z1078" t="inlineStr"/>
      <c r="AA1078" t="inlineStr"/>
      <c r="AB1078" t="inlineStr"/>
      <c r="AC1078" t="inlineStr"/>
      <c r="AD1078" t="inlineStr">
        <is>
          <t>לא נמצא בסריקת המפיצים</t>
        </is>
      </c>
      <c r="AE1078" t="inlineStr">
        <is>
          <t>סריקת אתרי מפיצים</t>
        </is>
      </c>
      <c r="AG1078" t="inlineStr"/>
      <c r="AH1078" t="inlineStr"/>
      <c r="AJ1078" t="inlineStr"/>
      <c r="AP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Y1079" t="inlineStr">
        <is>
          <t>unknown</t>
        </is>
      </c>
      <c r="Z1079" t="inlineStr"/>
      <c r="AA1079" t="inlineStr"/>
      <c r="AB1079" t="inlineStr"/>
      <c r="AC1079" t="inlineStr"/>
      <c r="AD1079" t="inlineStr">
        <is>
          <t>לא נמצא בסריקת המפיצים</t>
        </is>
      </c>
      <c r="AE1079" t="inlineStr">
        <is>
          <t>סריקת אתרי מפיצים</t>
        </is>
      </c>
      <c r="AG1079" t="inlineStr"/>
      <c r="AH1079" t="inlineStr"/>
      <c r="AJ1079" t="inlineStr"/>
      <c r="AP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t>
        </is>
      </c>
      <c r="J1080" t="inlineStr"/>
      <c r="Y1080" t="inlineStr">
        <is>
          <t>unknown</t>
        </is>
      </c>
      <c r="Z1080" t="inlineStr"/>
      <c r="AA1080" t="inlineStr"/>
      <c r="AB1080" t="inlineStr"/>
      <c r="AC1080" t="inlineStr"/>
      <c r="AD1080" t="inlineStr">
        <is>
          <t>לא נמצא בסריקת המפיצים</t>
        </is>
      </c>
      <c r="AE1080" t="inlineStr">
        <is>
          <t>סריקת אתרי מפיצים</t>
        </is>
      </c>
      <c r="AG1080" t="inlineStr"/>
      <c r="AH1080" t="inlineStr"/>
      <c r="AJ1080" t="inlineStr"/>
      <c r="AP1080" t="inlineStr">
        <is>
          <t>https://www.thomassci.com/browse-by/suppliers/retractable-technologies</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https://www.verder-scientific.com</t>
        </is>
      </c>
      <c r="I1081" t="inlineStr">
        <is>
          <t>prior</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P1081" t="n">
        <v>1300</v>
      </c>
      <c r="Q1081" t="n">
        <v>2025</v>
      </c>
      <c r="R1081" t="inlineStr">
        <is>
          <t>company</t>
        </is>
      </c>
      <c r="S1081" t="inlineStr">
        <is>
          <t>prior</t>
        </is>
      </c>
      <c r="T1081" t="n">
        <v>330</v>
      </c>
      <c r="U1081" t="inlineStr">
        <is>
          <t>EUR 300+ million</t>
        </is>
      </c>
      <c r="V1081" t="inlineStr">
        <is>
          <t>undated (company website, accessed 2026)</t>
        </is>
      </c>
      <c r="W1081" t="inlineStr">
        <is>
          <t>company</t>
        </is>
      </c>
      <c r="X1081" t="inlineStr">
        <is>
          <t>prior</t>
        </is>
      </c>
      <c r="Y1081" t="inlineStr">
        <is>
          <t>reported</t>
        </is>
      </c>
      <c r="Z1081" t="inlineStr">
        <is>
          <t>Retsch mills and sieve shakers</t>
        </is>
      </c>
      <c r="AA1081" t="inlineStr">
        <is>
          <t>Carbolite Gero furnaces</t>
        </is>
      </c>
      <c r="AB1081" t="inlineStr">
        <is>
          <t>Microtrac MRB particle analyzers</t>
        </is>
      </c>
      <c r="AC1081" t="inlineStr">
        <is>
          <t>prior</t>
        </is>
      </c>
      <c r="AD1081" t="inlineStr">
        <is>
          <t>מפיץ/נציג בישראל</t>
        </is>
      </c>
      <c r="AE1081" t="inlineStr">
        <is>
          <t>חיפוש חלקי</t>
        </is>
      </c>
      <c r="AF1081" t="n">
        <v>2026</v>
      </c>
      <c r="AG1081" t="inlineStr">
        <is>
          <t>MRC Laboratory Equipment &amp; Instruments</t>
        </is>
      </c>
      <c r="AH1081" t="inlineStr">
        <is>
          <t>MRC Laboratory Equipment &amp; Instruments: +972 3-559-5252</t>
        </is>
      </c>
      <c r="AI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J1081" t="inlineStr">
        <is>
          <t>+49 2104 2333-500</t>
        </is>
      </c>
      <c r="AK1081" t="inlineStr">
        <is>
          <t>info@verder-scientific.com</t>
        </is>
      </c>
      <c r="AL1081" t="inlineStr">
        <is>
          <t>Retsch-Allee 1-5, 42781 Haan, Germany</t>
        </is>
      </c>
      <c r="AM1081" t="inlineStr">
        <is>
          <t>https://www.verder-scientific.com/contact</t>
        </is>
      </c>
      <c r="AN1081" t="inlineStr">
        <is>
          <t>https://www.verder-scientific.com/contact</t>
        </is>
      </c>
      <c r="AP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https://www.perkinelmer.com</t>
        </is>
      </c>
      <c r="I1082" t="inlineStr">
        <is>
          <t>prior</t>
        </is>
      </c>
      <c r="J1082" t="inlineStr">
        <is>
          <t>ארה"ב</t>
        </is>
      </c>
      <c r="K1082" t="inlineStr">
        <is>
          <t>Shelton, Connecticut</t>
        </is>
      </c>
      <c r="L1082" t="inlineStr">
        <is>
          <t>New Mountain Capital</t>
        </is>
      </c>
      <c r="M1082" t="n">
        <v>1937</v>
      </c>
      <c r="N1082" t="inlineStr">
        <is>
          <t>Analytical instruments (chromatography / mass spectrometry / spectroscopy)</t>
        </is>
      </c>
      <c r="P1082" t="n">
        <v>6000</v>
      </c>
      <c r="Q1082" t="n">
        <v>2022</v>
      </c>
      <c r="R1082" t="inlineStr">
        <is>
          <t>company</t>
        </is>
      </c>
      <c r="S1082" t="inlineStr">
        <is>
          <t>prior</t>
        </is>
      </c>
      <c r="T1082" t="n">
        <v>1300</v>
      </c>
      <c r="U1082" t="inlineStr">
        <is>
          <t>USD 1.3 billion (estimate)</t>
        </is>
      </c>
      <c r="V1082" t="inlineStr">
        <is>
          <t>FY2022 (at carve-out)</t>
        </is>
      </c>
      <c r="W1082" t="inlineStr">
        <is>
          <t>estimate</t>
        </is>
      </c>
      <c r="X1082" t="inlineStr">
        <is>
          <t>prior</t>
        </is>
      </c>
      <c r="Y1082" t="inlineStr">
        <is>
          <t>mixed</t>
        </is>
      </c>
      <c r="Z1082" t="inlineStr">
        <is>
          <t>NexION ICP-MS</t>
        </is>
      </c>
      <c r="AA1082" t="inlineStr">
        <is>
          <t>Avio ICP-OES</t>
        </is>
      </c>
      <c r="AB1082" t="inlineStr">
        <is>
          <t>Spectrum 3 / Lambda / Pyris</t>
        </is>
      </c>
      <c r="AC1082" t="inlineStr">
        <is>
          <t>prior</t>
        </is>
      </c>
      <c r="AD1082" t="inlineStr">
        <is>
          <t>חברה-בת בישראל</t>
        </is>
      </c>
      <c r="AE1082" t="inlineStr">
        <is>
          <t>אומת</t>
        </is>
      </c>
      <c r="AF1082" t="n">
        <v>2026</v>
      </c>
      <c r="AG1082" t="inlineStr">
        <is>
          <t>PerkinElmer Israel Ltd.; ISI Israel Scientific Instruments Ltd.</t>
        </is>
      </c>
      <c r="AH1082" t="inlineStr">
        <is>
          <t>PerkinElmer Israel Ltd.: 1-700-500-512 cc.israel@perkinelmer.com; ISI Israel Scientific Instruments Ltd.: +972-3-9232202 info@isil.co.il</t>
        </is>
      </c>
      <c r="AI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1082" t="inlineStr">
        <is>
          <t>1700-500-512 (Israel domestic number)</t>
        </is>
      </c>
      <c r="AK1082" t="inlineStr">
        <is>
          <t>cc.israel@perkinelmer.com</t>
        </is>
      </c>
      <c r="AL1082" t="inlineStr">
        <is>
          <t>Shelton, Connecticut</t>
        </is>
      </c>
      <c r="AN1082" t="inlineStr">
        <is>
          <t>https://ir.revvity.com/news/investor-news/news-details/2013/PerkinElmer-Establishes-Direct-Operations-in-Israel-08-01-2013/default.aspx</t>
        </is>
      </c>
      <c r="AP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083">
      <c r="A1083" t="n">
        <v>1082</v>
      </c>
      <c r="B1083" t="inlineStr">
        <is>
          <t>Reytek Equipment</t>
        </is>
      </c>
      <c r="C1083" t="inlineStr">
        <is>
          <t>T</t>
        </is>
      </c>
      <c r="E1083" t="inlineStr">
        <is>
          <t>https://www.thomassci.com/browse-by/suppliers/reytek-equipment</t>
        </is>
      </c>
      <c r="F1083" t="inlineStr"/>
      <c r="J1083" t="inlineStr"/>
      <c r="Y1083" t="inlineStr">
        <is>
          <t>unknown</t>
        </is>
      </c>
      <c r="Z1083" t="inlineStr"/>
      <c r="AA1083" t="inlineStr"/>
      <c r="AB1083" t="inlineStr"/>
      <c r="AC1083" t="inlineStr"/>
      <c r="AD1083" t="inlineStr">
        <is>
          <t>לא נמצא בסריקת המפיצים</t>
        </is>
      </c>
      <c r="AE1083" t="inlineStr">
        <is>
          <t>סריקת אתרי מפיצים</t>
        </is>
      </c>
      <c r="AG1083" t="inlineStr"/>
      <c r="AH1083" t="inlineStr"/>
      <c r="AJ1083" t="inlineStr"/>
      <c r="AP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t>
        </is>
      </c>
      <c r="J1084" t="inlineStr"/>
      <c r="Y1084" t="inlineStr">
        <is>
          <t>unknown</t>
        </is>
      </c>
      <c r="Z1084" t="inlineStr"/>
      <c r="AA1084" t="inlineStr"/>
      <c r="AB1084" t="inlineStr"/>
      <c r="AC1084" t="inlineStr"/>
      <c r="AD1084" t="inlineStr">
        <is>
          <t>לא נמצא בסריקת המפיצים</t>
        </is>
      </c>
      <c r="AE1084" t="inlineStr">
        <is>
          <t>סריקת אתרי מפיצים</t>
        </is>
      </c>
      <c r="AG1084" t="inlineStr"/>
      <c r="AH1084" t="inlineStr"/>
      <c r="AJ1084" t="inlineStr"/>
      <c r="AP1084" t="inlineStr">
        <is>
          <t>https://www.quartzy.com/suppliers | https://www.thomassci.com/browse-by/suppliers/ricca-chemical</t>
        </is>
      </c>
    </row>
    <row r="1085">
      <c r="A1085" t="n">
        <v>1084</v>
      </c>
      <c r="B1085" t="inlineStr">
        <is>
          <t>Richard Allan Scientific</t>
        </is>
      </c>
      <c r="C1085" t="inlineStr">
        <is>
          <t>T</t>
        </is>
      </c>
      <c r="E1085" t="inlineStr">
        <is>
          <t>https://www.thomassci.com/browse-by/suppliers/richard-allan-scientific</t>
        </is>
      </c>
      <c r="F1085" t="inlineStr"/>
      <c r="J1085" t="inlineStr"/>
      <c r="Y1085" t="inlineStr">
        <is>
          <t>unknown</t>
        </is>
      </c>
      <c r="Z1085" t="inlineStr"/>
      <c r="AA1085" t="inlineStr"/>
      <c r="AB1085" t="inlineStr"/>
      <c r="AC1085" t="inlineStr"/>
      <c r="AD1085" t="inlineStr">
        <is>
          <t>לא נמצא בסריקת המפיצים</t>
        </is>
      </c>
      <c r="AE1085" t="inlineStr">
        <is>
          <t>סריקת אתרי מפיצים</t>
        </is>
      </c>
      <c r="AG1085" t="inlineStr"/>
      <c r="AH1085" t="inlineStr"/>
      <c r="AJ1085" t="inlineStr"/>
      <c r="AP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t>
        </is>
      </c>
      <c r="J1086" t="inlineStr"/>
      <c r="Y1086" t="inlineStr">
        <is>
          <t>unknown</t>
        </is>
      </c>
      <c r="Z1086" t="inlineStr"/>
      <c r="AA1086" t="inlineStr"/>
      <c r="AB1086" t="inlineStr"/>
      <c r="AC1086" t="inlineStr"/>
      <c r="AD1086" t="inlineStr">
        <is>
          <t>לא נמצא בסריקת המפיצים</t>
        </is>
      </c>
      <c r="AE1086" t="inlineStr">
        <is>
          <t>סריקת אתרי מפיצים</t>
        </is>
      </c>
      <c r="AG1086" t="inlineStr"/>
      <c r="AH1086" t="inlineStr"/>
      <c r="AJ1086" t="inlineStr"/>
      <c r="AP1086" t="inlineStr">
        <is>
          <t>https://www.thomassci.com/browse-by/suppliers/ridgid</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Y1087" t="inlineStr">
        <is>
          <t>unknown</t>
        </is>
      </c>
      <c r="Z1087" t="inlineStr"/>
      <c r="AA1087" t="inlineStr"/>
      <c r="AB1087" t="inlineStr"/>
      <c r="AC1087" t="inlineStr"/>
      <c r="AD1087" t="inlineStr">
        <is>
          <t>לא נמצא בסריקת המפיצים</t>
        </is>
      </c>
      <c r="AE1087" t="inlineStr">
        <is>
          <t>סריקת אתרי מפיצים</t>
        </is>
      </c>
      <c r="AG1087" t="inlineStr"/>
      <c r="AH1087" t="inlineStr"/>
      <c r="AJ1087" t="inlineStr"/>
      <c r="AP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Y1088" t="inlineStr">
        <is>
          <t>unknown</t>
        </is>
      </c>
      <c r="Z1088" t="inlineStr"/>
      <c r="AA1088" t="inlineStr"/>
      <c r="AB1088" t="inlineStr"/>
      <c r="AC1088" t="inlineStr"/>
      <c r="AD1088" t="inlineStr">
        <is>
          <t>לא נמצא בסריקת המפיצים</t>
        </is>
      </c>
      <c r="AE1088" t="inlineStr">
        <is>
          <t>סריקת אתרי מפיצים</t>
        </is>
      </c>
      <c r="AG1088" t="inlineStr"/>
      <c r="AH1088" t="inlineStr"/>
      <c r="AJ1088" t="inlineStr"/>
      <c r="AP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P1089" t="n">
        <v>103249</v>
      </c>
      <c r="Q1089" t="n">
        <v>2024</v>
      </c>
      <c r="R1089" t="inlineStr">
        <is>
          <t>parent</t>
        </is>
      </c>
      <c r="S1089" t="inlineStr">
        <is>
          <t>prior</t>
        </is>
      </c>
      <c r="T1089" t="n">
        <v>16205</v>
      </c>
      <c r="U1089" t="inlineStr">
        <is>
          <t>CHF 13.85 billion</t>
        </is>
      </c>
      <c r="V1089" t="inlineStr">
        <is>
          <t>FY2025</t>
        </is>
      </c>
      <c r="W1089" t="inlineStr">
        <is>
          <t>segment</t>
        </is>
      </c>
      <c r="X1089" t="inlineStr">
        <is>
          <t>prior</t>
        </is>
      </c>
      <c r="Y1089" t="inlineStr">
        <is>
          <t>reported</t>
        </is>
      </c>
      <c r="Z1089" t="inlineStr">
        <is>
          <t>cobas pro integrated solutions (c 503 / e 801)</t>
        </is>
      </c>
      <c r="AA1089" t="inlineStr">
        <is>
          <t>cobas 6800 / 8800 and cobas 5800 Systems</t>
        </is>
      </c>
      <c r="AB1089" t="inlineStr">
        <is>
          <t>LightCycler 480 / LightCycler PRO</t>
        </is>
      </c>
      <c r="AC1089" t="inlineStr">
        <is>
          <t>prior</t>
        </is>
      </c>
      <c r="AD1089" t="inlineStr">
        <is>
          <t>דרך חברת-האם בישראל</t>
        </is>
      </c>
      <c r="AE1089" t="inlineStr">
        <is>
          <t>אומת</t>
        </is>
      </c>
      <c r="AF1089" t="n">
        <v>2026</v>
      </c>
      <c r="AG1089" t="inlineStr">
        <is>
          <t>Roche Pharmaceuticals (Israel) Ltd. - Diagnostics division ("Roche Diagnostics Israel"); Gamidor Diagnostics; Dyn Diagnostics</t>
        </is>
      </c>
      <c r="AH1089" t="inlineStr">
        <is>
          <t>Roche Pharmaceuticals (Israel) Ltd. - Diagnostics division ("Roche Diagnostics Israel"): +972-9-9737777; Gamidor Diagnostics: +972-3-927-7277 info@gamidor.co.il; Dyn Diagnostics:</t>
        </is>
      </c>
      <c r="AI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89" t="inlineStr">
        <is>
          <t>+972 9 973 7777</t>
        </is>
      </c>
      <c r="AL1089" t="inlineStr">
        <is>
          <t>6 Hacharash Street, Hod Hasharon 4524079, Israel</t>
        </is>
      </c>
      <c r="AM1089" t="inlineStr">
        <is>
          <t>https://diagnostics.roche.com/me/en/contact-forms/contact-us-support.html</t>
        </is>
      </c>
      <c r="AN1089" t="inlineStr">
        <is>
          <t>https://ichgcp.net/pharma-list/office/84-roche</t>
        </is>
      </c>
      <c r="AP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P1090" t="n">
        <v>103249</v>
      </c>
      <c r="Q1090" t="n">
        <v>2024</v>
      </c>
      <c r="R1090" t="inlineStr">
        <is>
          <t>parent</t>
        </is>
      </c>
      <c r="S1090" t="inlineStr">
        <is>
          <t>prior</t>
        </is>
      </c>
      <c r="T1090" t="n">
        <v>16205</v>
      </c>
      <c r="U1090" t="inlineStr">
        <is>
          <t>CHF 13.85 billion</t>
        </is>
      </c>
      <c r="V1090" t="inlineStr">
        <is>
          <t>FY2025</t>
        </is>
      </c>
      <c r="W1090" t="inlineStr">
        <is>
          <t>segment</t>
        </is>
      </c>
      <c r="X1090" t="inlineStr">
        <is>
          <t>prior</t>
        </is>
      </c>
      <c r="Y1090" t="inlineStr">
        <is>
          <t>reported</t>
        </is>
      </c>
      <c r="Z1090" t="inlineStr">
        <is>
          <t>cobas pro integrated solutions (c 503 / e 801)</t>
        </is>
      </c>
      <c r="AA1090" t="inlineStr">
        <is>
          <t>cobas 6800 / 8800 and cobas 5800 Systems</t>
        </is>
      </c>
      <c r="AB1090" t="inlineStr">
        <is>
          <t>LightCycler 480 / LightCycler PRO</t>
        </is>
      </c>
      <c r="AC1090" t="inlineStr">
        <is>
          <t>prior</t>
        </is>
      </c>
      <c r="AD1090" t="inlineStr">
        <is>
          <t>דרך חברת-האם בישראל</t>
        </is>
      </c>
      <c r="AE1090" t="inlineStr">
        <is>
          <t>אומת</t>
        </is>
      </c>
      <c r="AF1090" t="n">
        <v>2026</v>
      </c>
      <c r="AG1090" t="inlineStr">
        <is>
          <t>Roche Pharmaceuticals (Israel) Ltd. - Diagnostics division ("Roche Diagnostics Israel"); Gamidor Diagnostics; Dyn Diagnostics</t>
        </is>
      </c>
      <c r="AH1090" t="inlineStr">
        <is>
          <t>Roche Pharmaceuticals (Israel) Ltd. - Diagnostics division ("Roche Diagnostics Israel"): +972-9-9737777; Gamidor Diagnostics: +972-3-927-7277 info@gamidor.co.il; Dyn Diagnostics:</t>
        </is>
      </c>
      <c r="AI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90" t="inlineStr">
        <is>
          <t>+972 9 973 7777</t>
        </is>
      </c>
      <c r="AL1090" t="inlineStr">
        <is>
          <t>6 Hacharash Street, Hod Hasharon 4524079, Israel</t>
        </is>
      </c>
      <c r="AM1090" t="inlineStr">
        <is>
          <t>https://diagnostics.roche.com/me/en/contact-forms/contact-us-support.html</t>
        </is>
      </c>
      <c r="AN1090" t="inlineStr">
        <is>
          <t>https://ichgcp.net/pharma-list/office/84-roche</t>
        </is>
      </c>
      <c r="AP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1">
      <c r="A1091" t="n">
        <v>1090</v>
      </c>
      <c r="B1091" t="inlineStr">
        <is>
          <t>Rocker</t>
        </is>
      </c>
      <c r="C1091" t="inlineStr">
        <is>
          <t>D</t>
        </is>
      </c>
      <c r="D1091" t="inlineStr">
        <is>
          <t>https://www.dutscher.com/search?initialFilters=brand:Rocker</t>
        </is>
      </c>
      <c r="F1091" t="inlineStr"/>
      <c r="H1091" t="inlineStr">
        <is>
          <t>https://rocker.com</t>
        </is>
      </c>
      <c r="I1091" t="inlineStr">
        <is>
          <t>clearbit</t>
        </is>
      </c>
      <c r="J1091" t="inlineStr"/>
      <c r="Y1091" t="inlineStr">
        <is>
          <t>unknown</t>
        </is>
      </c>
      <c r="Z1091" t="inlineStr"/>
      <c r="AA1091" t="inlineStr"/>
      <c r="AB1091" t="inlineStr"/>
      <c r="AC1091" t="inlineStr"/>
      <c r="AD1091" t="inlineStr">
        <is>
          <t>לא נמצא בסריקת המפיצים</t>
        </is>
      </c>
      <c r="AE1091" t="inlineStr">
        <is>
          <t>סריקת אתרי מפיצים</t>
        </is>
      </c>
      <c r="AG1091" t="inlineStr"/>
      <c r="AH1091" t="inlineStr"/>
      <c r="AJ1091" t="inlineStr"/>
      <c r="AP1091" t="inlineStr">
        <is>
          <t>https://www.dutscher.com/search?initialFilters=brand:Rocker</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Y1092" t="inlineStr">
        <is>
          <t>unknown</t>
        </is>
      </c>
      <c r="Z1092" t="inlineStr"/>
      <c r="AA1092" t="inlineStr"/>
      <c r="AB1092" t="inlineStr"/>
      <c r="AC1092" t="inlineStr"/>
      <c r="AD1092" t="inlineStr">
        <is>
          <t>לא נמצא בסריקת המפיצים</t>
        </is>
      </c>
      <c r="AE1092" t="inlineStr">
        <is>
          <t>סריקת אתרי מפיצים</t>
        </is>
      </c>
      <c r="AG1092" t="inlineStr"/>
      <c r="AH1092" t="inlineStr"/>
      <c r="AJ1092" t="inlineStr"/>
      <c r="AP1092" t="inlineStr">
        <is>
          <t>https://www.quartzy.com/suppliers | https://www.thomassci.com/browse-by/suppliers/rockland-immunochemicals-inc</t>
        </is>
      </c>
    </row>
    <row r="1093">
      <c r="A1093" t="n">
        <v>1092</v>
      </c>
      <c r="B1093" t="inlineStr">
        <is>
          <t>Rocky Mountain Reagents</t>
        </is>
      </c>
      <c r="C1093" t="inlineStr">
        <is>
          <t>Q</t>
        </is>
      </c>
      <c r="F1093" t="inlineStr">
        <is>
          <t>yes</t>
        </is>
      </c>
      <c r="H1093" t="inlineStr">
        <is>
          <t>https://rmreagents.com</t>
        </is>
      </c>
      <c r="I1093" t="inlineStr">
        <is>
          <t>clearbit</t>
        </is>
      </c>
      <c r="J1093" t="inlineStr"/>
      <c r="Y1093" t="inlineStr">
        <is>
          <t>unknown</t>
        </is>
      </c>
      <c r="Z1093" t="inlineStr"/>
      <c r="AA1093" t="inlineStr"/>
      <c r="AB1093" t="inlineStr"/>
      <c r="AC1093" t="inlineStr"/>
      <c r="AD1093" t="inlineStr">
        <is>
          <t>לא נמצא בסריקת המפיצים</t>
        </is>
      </c>
      <c r="AE1093" t="inlineStr">
        <is>
          <t>סריקת אתרי מפיצים</t>
        </is>
      </c>
      <c r="AG1093" t="inlineStr"/>
      <c r="AH1093" t="inlineStr"/>
      <c r="AJ1093" t="inlineStr"/>
      <c r="AP1093" t="inlineStr">
        <is>
          <t>https://www.quartzy.com/suppliers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O1094" t="inlineStr">
        <is>
          <t>manufacturer and seller of research reagents for biotechnology</t>
        </is>
      </c>
      <c r="Y1094" t="inlineStr">
        <is>
          <t>unknown</t>
        </is>
      </c>
      <c r="Z1094" t="inlineStr"/>
      <c r="AA1094" t="inlineStr"/>
      <c r="AB1094" t="inlineStr"/>
      <c r="AC1094" t="inlineStr"/>
      <c r="AD1094" t="inlineStr">
        <is>
          <t>לא נמצא בסריקת המפיצים</t>
        </is>
      </c>
      <c r="AE1094" t="inlineStr">
        <is>
          <t>סריקת אתרי מפיצים</t>
        </is>
      </c>
      <c r="AG1094" t="inlineStr"/>
      <c r="AH1094" t="inlineStr"/>
      <c r="AJ1094" t="inlineStr"/>
      <c r="AL1094" t="inlineStr">
        <is>
          <t>Durham</t>
        </is>
      </c>
      <c r="AO1094" t="inlineStr">
        <is>
          <t>Q117450457</t>
        </is>
      </c>
      <c r="AP1094" t="inlineStr">
        <is>
          <t>https://www.quartzy.com/suppliers | https://www.wikidata.org/wiki/Q117450457</t>
        </is>
      </c>
    </row>
    <row r="1095">
      <c r="A1095" t="n">
        <v>1094</v>
      </c>
      <c r="B1095" t="inlineStr">
        <is>
          <t>Rotronics</t>
        </is>
      </c>
      <c r="C1095" t="inlineStr">
        <is>
          <t>T</t>
        </is>
      </c>
      <c r="E1095" t="inlineStr">
        <is>
          <t>https://www.thomassci.com/browse-by/suppliers/rotronics</t>
        </is>
      </c>
      <c r="F1095" t="inlineStr"/>
      <c r="H1095" t="inlineStr">
        <is>
          <t>https://rotronics.com</t>
        </is>
      </c>
      <c r="I1095" t="inlineStr">
        <is>
          <t>clearbit</t>
        </is>
      </c>
      <c r="J1095" t="inlineStr">
        <is>
          <t>צרפת</t>
        </is>
      </c>
      <c r="K1095" t="inlineStr">
        <is>
          <t>La Roche-sur-Foron</t>
        </is>
      </c>
      <c r="M1095" t="inlineStr">
        <is>
          <t>2012</t>
        </is>
      </c>
      <c r="N1095" t="inlineStr">
        <is>
          <t>manufacturing of scientific and technical instrumentation</t>
        </is>
      </c>
      <c r="Y1095" t="inlineStr">
        <is>
          <t>unknown</t>
        </is>
      </c>
      <c r="Z1095" t="inlineStr"/>
      <c r="AA1095" t="inlineStr"/>
      <c r="AB1095" t="inlineStr"/>
      <c r="AC1095" t="inlineStr"/>
      <c r="AD1095" t="inlineStr">
        <is>
          <t>לא נמצא בסריקת המפיצים</t>
        </is>
      </c>
      <c r="AE1095" t="inlineStr">
        <is>
          <t>סריקת אתרי מפיצים</t>
        </is>
      </c>
      <c r="AG1095" t="inlineStr"/>
      <c r="AH1095" t="inlineStr"/>
      <c r="AJ1095" t="inlineStr"/>
      <c r="AL1095" t="inlineStr">
        <is>
          <t>La Roche-sur-Foron</t>
        </is>
      </c>
      <c r="AO1095" t="inlineStr">
        <is>
          <t>Q131636473</t>
        </is>
      </c>
      <c r="AP1095" t="inlineStr">
        <is>
          <t>https://www.thomassci.com/browse-by/suppliers/rotronics | https://www.wikidata.org/wiki/Q131636473</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Y1096" t="inlineStr">
        <is>
          <t>unknown</t>
        </is>
      </c>
      <c r="Z1096" t="inlineStr"/>
      <c r="AA1096" t="inlineStr"/>
      <c r="AB1096" t="inlineStr"/>
      <c r="AC1096" t="inlineStr"/>
      <c r="AD1096" t="inlineStr">
        <is>
          <t>לא נמצא בסריקת המפיצים</t>
        </is>
      </c>
      <c r="AE1096" t="inlineStr">
        <is>
          <t>סריקת אתרי מפיצים</t>
        </is>
      </c>
      <c r="AG1096" t="inlineStr"/>
      <c r="AH1096" t="inlineStr"/>
      <c r="AJ1096" t="inlineStr"/>
      <c r="AP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Y1097" t="inlineStr">
        <is>
          <t>unknown</t>
        </is>
      </c>
      <c r="Z1097" t="inlineStr"/>
      <c r="AA1097" t="inlineStr"/>
      <c r="AB1097" t="inlineStr"/>
      <c r="AC1097" t="inlineStr"/>
      <c r="AD1097" t="inlineStr">
        <is>
          <t>לא נמצא בסריקת המפיצים</t>
        </is>
      </c>
      <c r="AE1097" t="inlineStr">
        <is>
          <t>סריקת אתרי מפיצים</t>
        </is>
      </c>
      <c r="AG1097" t="inlineStr"/>
      <c r="AH1097" t="inlineStr"/>
      <c r="AJ1097" t="inlineStr"/>
      <c r="AP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Y1098" t="inlineStr">
        <is>
          <t>unknown</t>
        </is>
      </c>
      <c r="Z1098" t="inlineStr"/>
      <c r="AA1098" t="inlineStr"/>
      <c r="AB1098" t="inlineStr"/>
      <c r="AC1098" t="inlineStr"/>
      <c r="AD1098" t="inlineStr">
        <is>
          <t>לא נמצא בסריקת המפיצים</t>
        </is>
      </c>
      <c r="AE1098" t="inlineStr">
        <is>
          <t>סריקת אתרי מפיצים</t>
        </is>
      </c>
      <c r="AG1098" t="inlineStr"/>
      <c r="AH1098" t="inlineStr"/>
      <c r="AJ1098" t="inlineStr"/>
      <c r="AP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t>
        </is>
      </c>
      <c r="J1099" t="inlineStr"/>
      <c r="Y1099" t="inlineStr">
        <is>
          <t>unknown</t>
        </is>
      </c>
      <c r="Z1099" t="inlineStr"/>
      <c r="AA1099" t="inlineStr"/>
      <c r="AB1099" t="inlineStr"/>
      <c r="AC1099" t="inlineStr"/>
      <c r="AD1099" t="inlineStr">
        <is>
          <t>לא נמצא בסריקת המפיצים</t>
        </is>
      </c>
      <c r="AE1099" t="inlineStr">
        <is>
          <t>סריקת אתרי מפיצים</t>
        </is>
      </c>
      <c r="AG1099" t="inlineStr"/>
      <c r="AH1099" t="inlineStr"/>
      <c r="AJ1099" t="inlineStr"/>
      <c r="AP1099" t="inlineStr">
        <is>
          <t>https://www.thomassci.com/browse-by/suppliers/rx-destroyer</t>
        </is>
      </c>
    </row>
    <row r="1100">
      <c r="A1100" t="n">
        <v>1099</v>
      </c>
      <c r="B1100" t="inlineStr">
        <is>
          <t>S-Curve Technologies</t>
        </is>
      </c>
      <c r="C1100" t="inlineStr">
        <is>
          <t>T</t>
        </is>
      </c>
      <c r="E1100" t="inlineStr">
        <is>
          <t>https://www.thomassci.com/browse-by/suppliers/s-curve-technologies</t>
        </is>
      </c>
      <c r="F1100" t="inlineStr"/>
      <c r="J1100" t="inlineStr"/>
      <c r="Y1100" t="inlineStr">
        <is>
          <t>unknown</t>
        </is>
      </c>
      <c r="Z1100" t="inlineStr"/>
      <c r="AA1100" t="inlineStr"/>
      <c r="AB1100" t="inlineStr"/>
      <c r="AC1100" t="inlineStr"/>
      <c r="AD1100" t="inlineStr">
        <is>
          <t>לא נמצא בסריקת המפיצים</t>
        </is>
      </c>
      <c r="AE1100" t="inlineStr">
        <is>
          <t>סריקת אתרי מפיצים</t>
        </is>
      </c>
      <c r="AG1100" t="inlineStr"/>
      <c r="AH1100" t="inlineStr"/>
      <c r="AJ1100" t="inlineStr"/>
      <c r="AP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Y1101" t="inlineStr">
        <is>
          <t>unknown</t>
        </is>
      </c>
      <c r="Z1101" t="inlineStr"/>
      <c r="AA1101" t="inlineStr"/>
      <c r="AB1101" t="inlineStr"/>
      <c r="AC1101" t="inlineStr"/>
      <c r="AD1101" t="inlineStr">
        <is>
          <t>לא נמצא בסריקת המפיצים</t>
        </is>
      </c>
      <c r="AE1101" t="inlineStr">
        <is>
          <t>סריקת אתרי מפיצים</t>
        </is>
      </c>
      <c r="AG1101" t="inlineStr"/>
      <c r="AH1101" t="inlineStr"/>
      <c r="AJ1101" t="inlineStr"/>
      <c r="AP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Y1102" t="inlineStr">
        <is>
          <t>unknown</t>
        </is>
      </c>
      <c r="Z1102" t="inlineStr"/>
      <c r="AA1102" t="inlineStr"/>
      <c r="AB1102" t="inlineStr"/>
      <c r="AC1102" t="inlineStr"/>
      <c r="AD1102" t="inlineStr">
        <is>
          <t>לא נמצא בסריקת המפיצים</t>
        </is>
      </c>
      <c r="AE1102" t="inlineStr">
        <is>
          <t>סריקת אתרי מפיצים</t>
        </is>
      </c>
      <c r="AG1102" t="inlineStr"/>
      <c r="AH1102" t="inlineStr"/>
      <c r="AJ1102" t="inlineStr"/>
      <c r="AP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J1103" t="inlineStr"/>
      <c r="Y1103" t="inlineStr">
        <is>
          <t>unknown</t>
        </is>
      </c>
      <c r="Z1103" t="inlineStr"/>
      <c r="AA1103" t="inlineStr"/>
      <c r="AB1103" t="inlineStr"/>
      <c r="AC1103" t="inlineStr"/>
      <c r="AD1103" t="inlineStr">
        <is>
          <t>לא נמצא בסריקת המפיצים</t>
        </is>
      </c>
      <c r="AE1103" t="inlineStr">
        <is>
          <t>סריקת אתרי מפיצים</t>
        </is>
      </c>
      <c r="AG1103" t="inlineStr"/>
      <c r="AH1103" t="inlineStr"/>
      <c r="AJ1103" t="inlineStr"/>
      <c r="AP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https://safetyzone.in</t>
        </is>
      </c>
      <c r="I1104" t="inlineStr">
        <is>
          <t>clearbit</t>
        </is>
      </c>
      <c r="J1104" t="inlineStr"/>
      <c r="Y1104" t="inlineStr">
        <is>
          <t>unknown</t>
        </is>
      </c>
      <c r="Z1104" t="inlineStr"/>
      <c r="AA1104" t="inlineStr"/>
      <c r="AB1104" t="inlineStr"/>
      <c r="AC1104" t="inlineStr"/>
      <c r="AD1104" t="inlineStr">
        <is>
          <t>לא נמצא בסריקת המפיצים</t>
        </is>
      </c>
      <c r="AE1104" t="inlineStr">
        <is>
          <t>סריקת אתרי מפיצים</t>
        </is>
      </c>
      <c r="AG1104" t="inlineStr"/>
      <c r="AH1104" t="inlineStr"/>
      <c r="AJ1104" t="inlineStr"/>
      <c r="AP1104" t="inlineStr">
        <is>
          <t>https://www.quartzy.com/suppliers | https://www.thomassci.com/browse-by/suppliers/safety-zone</t>
        </is>
      </c>
    </row>
    <row r="1105">
      <c r="A1105" t="n">
        <v>1104</v>
      </c>
      <c r="B1105" t="inlineStr">
        <is>
          <t>Sagis PLLC</t>
        </is>
      </c>
      <c r="C1105" t="inlineStr">
        <is>
          <t>T</t>
        </is>
      </c>
      <c r="E1105" t="inlineStr">
        <is>
          <t>https://www.thomassci.com/browse-by/suppliers/sagis-pllc</t>
        </is>
      </c>
      <c r="F1105" t="inlineStr"/>
      <c r="J1105" t="inlineStr"/>
      <c r="Y1105" t="inlineStr">
        <is>
          <t>unknown</t>
        </is>
      </c>
      <c r="Z1105" t="inlineStr"/>
      <c r="AA1105" t="inlineStr"/>
      <c r="AB1105" t="inlineStr"/>
      <c r="AC1105" t="inlineStr"/>
      <c r="AD1105" t="inlineStr">
        <is>
          <t>לא נמצא בסריקת המפיצים</t>
        </is>
      </c>
      <c r="AE1105" t="inlineStr">
        <is>
          <t>סריקת אתרי מפיצים</t>
        </is>
      </c>
      <c r="AG1105" t="inlineStr"/>
      <c r="AH1105" t="inlineStr"/>
      <c r="AJ1105" t="inlineStr"/>
      <c r="AP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Y1106" t="inlineStr">
        <is>
          <t>unknown</t>
        </is>
      </c>
      <c r="Z1106" t="inlineStr"/>
      <c r="AA1106" t="inlineStr"/>
      <c r="AB1106" t="inlineStr"/>
      <c r="AC1106" t="inlineStr"/>
      <c r="AD1106" t="inlineStr">
        <is>
          <t>לא נמצא בסריקת המפיצים</t>
        </is>
      </c>
      <c r="AE1106" t="inlineStr">
        <is>
          <t>סריקת אתרי מפיצים</t>
        </is>
      </c>
      <c r="AG1106" t="inlineStr"/>
      <c r="AH1106" t="inlineStr"/>
      <c r="AJ1106" t="inlineStr"/>
      <c r="AP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Y1107" t="inlineStr">
        <is>
          <t>unknown</t>
        </is>
      </c>
      <c r="Z1107" t="inlineStr"/>
      <c r="AA1107" t="inlineStr"/>
      <c r="AB1107" t="inlineStr"/>
      <c r="AC1107" t="inlineStr"/>
      <c r="AD1107" t="inlineStr">
        <is>
          <t>לא נמצא בסריקת המפיצים</t>
        </is>
      </c>
      <c r="AE1107" t="inlineStr">
        <is>
          <t>סריקת אתרי מפיצים</t>
        </is>
      </c>
      <c r="AG1107" t="inlineStr"/>
      <c r="AH1107" t="inlineStr"/>
      <c r="AJ1107" t="inlineStr"/>
      <c r="AP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Y1108" t="inlineStr">
        <is>
          <t>unknown</t>
        </is>
      </c>
      <c r="Z1108" t="inlineStr"/>
      <c r="AA1108" t="inlineStr"/>
      <c r="AB1108" t="inlineStr"/>
      <c r="AC1108" t="inlineStr"/>
      <c r="AD1108" t="inlineStr">
        <is>
          <t>לא נמצא בסריקת המפיצים</t>
        </is>
      </c>
      <c r="AE1108" t="inlineStr">
        <is>
          <t>סריקת אתרי מפיצים</t>
        </is>
      </c>
      <c r="AG1108" t="inlineStr"/>
      <c r="AH1108" t="inlineStr"/>
      <c r="AJ1108" t="inlineStr"/>
      <c r="AP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t>
        </is>
      </c>
      <c r="J1109" t="inlineStr"/>
      <c r="Y1109" t="inlineStr">
        <is>
          <t>unknown</t>
        </is>
      </c>
      <c r="Z1109" t="inlineStr"/>
      <c r="AA1109" t="inlineStr"/>
      <c r="AB1109" t="inlineStr"/>
      <c r="AC1109" t="inlineStr"/>
      <c r="AD1109" t="inlineStr">
        <is>
          <t>לא נמצא בסריקת המפיצים</t>
        </is>
      </c>
      <c r="AE1109" t="inlineStr">
        <is>
          <t>סריקת אתרי מפיצים</t>
        </is>
      </c>
      <c r="AG1109" t="inlineStr"/>
      <c r="AH1109" t="inlineStr"/>
      <c r="AJ1109" t="inlineStr"/>
      <c r="AP1109" t="inlineStr">
        <is>
          <t>https://www.quartzy.com/suppliers</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t>
        </is>
      </c>
      <c r="J1110" t="inlineStr"/>
      <c r="Y1110" t="inlineStr">
        <is>
          <t>unknown</t>
        </is>
      </c>
      <c r="Z1110" t="inlineStr"/>
      <c r="AA1110" t="inlineStr"/>
      <c r="AB1110" t="inlineStr"/>
      <c r="AC1110" t="inlineStr"/>
      <c r="AD1110" t="inlineStr">
        <is>
          <t>לא נמצא בסריקת המפיצים</t>
        </is>
      </c>
      <c r="AE1110" t="inlineStr">
        <is>
          <t>סריקת אתרי מפיצים</t>
        </is>
      </c>
      <c r="AG1110" t="inlineStr"/>
      <c r="AH1110" t="inlineStr"/>
      <c r="AJ1110" t="inlineStr"/>
      <c r="AP1110" t="inlineStr">
        <is>
          <t>https://www.dutscher.com/search?initialFilters=brand:Sampling+systems | https://www.thomassci.com/browse-by/suppliers/sampling-systems</t>
        </is>
      </c>
    </row>
    <row r="1111">
      <c r="A1111" t="n">
        <v>1110</v>
      </c>
      <c r="B1111" t="inlineStr">
        <is>
          <t>Sandler Bros</t>
        </is>
      </c>
      <c r="C1111" t="inlineStr">
        <is>
          <t>T</t>
        </is>
      </c>
      <c r="E1111" t="inlineStr">
        <is>
          <t>https://www.thomassci.com/browse-by/suppliers/sandler-bros</t>
        </is>
      </c>
      <c r="F1111" t="inlineStr"/>
      <c r="J1111" t="inlineStr"/>
      <c r="Y1111" t="inlineStr">
        <is>
          <t>unknown</t>
        </is>
      </c>
      <c r="Z1111" t="inlineStr"/>
      <c r="AA1111" t="inlineStr"/>
      <c r="AB1111" t="inlineStr"/>
      <c r="AC1111" t="inlineStr"/>
      <c r="AD1111" t="inlineStr">
        <is>
          <t>לא נמצא בסריקת המפיצים</t>
        </is>
      </c>
      <c r="AE1111" t="inlineStr">
        <is>
          <t>סריקת אתרי מפיצים</t>
        </is>
      </c>
      <c r="AG1111" t="inlineStr"/>
      <c r="AH1111" t="inlineStr"/>
      <c r="AJ1111" t="inlineStr"/>
      <c r="AP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t>
        </is>
      </c>
      <c r="J1112" t="inlineStr"/>
      <c r="Y1112" t="inlineStr">
        <is>
          <t>unknown</t>
        </is>
      </c>
      <c r="Z1112" t="inlineStr"/>
      <c r="AA1112" t="inlineStr"/>
      <c r="AB1112" t="inlineStr"/>
      <c r="AC1112" t="inlineStr"/>
      <c r="AD1112" t="inlineStr">
        <is>
          <t>לא נמצא בסריקת המפיצים</t>
        </is>
      </c>
      <c r="AE1112" t="inlineStr">
        <is>
          <t>סריקת אתרי מפיצים</t>
        </is>
      </c>
      <c r="AG1112" t="inlineStr"/>
      <c r="AH1112" t="inlineStr"/>
      <c r="AJ1112" t="inlineStr"/>
      <c r="AP1112" t="inlineStr">
        <is>
          <t>https://www.dutscher.com/search?initialFilters=brand:Sanisure | https://www.thomassci.com/browse-by/suppliers/sanisure</t>
        </is>
      </c>
    </row>
    <row r="1113">
      <c r="A1113" t="n">
        <v>1112</v>
      </c>
      <c r="B1113" t="inlineStr">
        <is>
          <t>Santa Cruz Biotechnology</t>
        </is>
      </c>
      <c r="C1113" t="inlineStr">
        <is>
          <t>Q</t>
        </is>
      </c>
      <c r="F1113" t="inlineStr">
        <is>
          <t>yes</t>
        </is>
      </c>
      <c r="H1113" t="inlineStr">
        <is>
          <t>https://scbt.com</t>
        </is>
      </c>
      <c r="I1113" t="inlineStr">
        <is>
          <t>clearbit</t>
        </is>
      </c>
      <c r="J1113" t="inlineStr"/>
      <c r="Y1113" t="inlineStr">
        <is>
          <t>unknown</t>
        </is>
      </c>
      <c r="Z1113" t="inlineStr"/>
      <c r="AA1113" t="inlineStr"/>
      <c r="AB1113" t="inlineStr"/>
      <c r="AC1113" t="inlineStr"/>
      <c r="AD1113" t="inlineStr">
        <is>
          <t>מפיץ/נציג בישראל</t>
        </is>
      </c>
      <c r="AE1113" t="inlineStr">
        <is>
          <t>סריקת אתרי מפיצים</t>
        </is>
      </c>
      <c r="AF1113" t="n">
        <v>2026</v>
      </c>
      <c r="AG1113" t="inlineStr">
        <is>
          <t>Enco Scientific Services Ltd. (Enco Diagnostics)</t>
        </is>
      </c>
      <c r="AH1113" t="inlineStr">
        <is>
          <t>Enco Scientific Services Ltd. (Enco Diagnostics):</t>
        </is>
      </c>
      <c r="AJ1113" t="inlineStr"/>
      <c r="AP1113" t="inlineStr">
        <is>
          <t>https://www.quartzy.com/suppliers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P1114" t="n">
        <v>3000</v>
      </c>
      <c r="Q1114" t="n">
        <v>2025</v>
      </c>
      <c r="R1114" t="inlineStr">
        <is>
          <t>company</t>
        </is>
      </c>
      <c r="S1114" t="inlineStr">
        <is>
          <t>prior</t>
        </is>
      </c>
      <c r="T1114" t="n">
        <v>815</v>
      </c>
      <c r="U1114" t="inlineStr">
        <is>
          <t>USD 814.7 million</t>
        </is>
      </c>
      <c r="V1114" t="inlineStr">
        <is>
          <t>undated (database estimate)</t>
        </is>
      </c>
      <c r="W1114" t="inlineStr">
        <is>
          <t>estimate</t>
        </is>
      </c>
      <c r="X1114" t="inlineStr">
        <is>
          <t>prior</t>
        </is>
      </c>
      <c r="Y1114" t="inlineStr">
        <is>
          <t>mixed</t>
        </is>
      </c>
      <c r="Z1114" t="inlineStr">
        <is>
          <t>S-Monovette</t>
        </is>
      </c>
      <c r="AA1114" t="inlineStr">
        <is>
          <t>Microvette &amp; Salivette</t>
        </is>
      </c>
      <c r="AB1114" t="inlineStr">
        <is>
          <t>Lab consumables (tubes, tips, cell culture)</t>
        </is>
      </c>
      <c r="AC1114" t="inlineStr">
        <is>
          <t>prior</t>
        </is>
      </c>
      <c r="AD1114" t="inlineStr">
        <is>
          <t>מפיץ/נציג בישראל</t>
        </is>
      </c>
      <c r="AE1114" t="inlineStr">
        <is>
          <t>אומת</t>
        </is>
      </c>
      <c r="AF1114" t="n">
        <v>2026</v>
      </c>
      <c r="AG1114" t="inlineStr">
        <is>
          <t>Tamar Laboratory Supplies Ltd.</t>
        </is>
      </c>
      <c r="AH1114" t="inlineStr">
        <is>
          <t>Tamar Laboratory Supplies Ltd.: +972 2-533-6070 (also 02-579-9777)</t>
        </is>
      </c>
      <c r="AI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J1114" t="inlineStr">
        <is>
          <t>+49 2293 305-0</t>
        </is>
      </c>
      <c r="AK1114" t="inlineStr">
        <is>
          <t>info@sarstedt.com</t>
        </is>
      </c>
      <c r="AL1114" t="inlineStr">
        <is>
          <t>Sarstedtstraße 1, 51588 Nümbrecht, Germany</t>
        </is>
      </c>
      <c r="AM1114" t="inlineStr">
        <is>
          <t>https://sarstedt.com/en/contact</t>
        </is>
      </c>
      <c r="AN1114" t="inlineStr">
        <is>
          <t>https://sarstedt.com/en/contact</t>
        </is>
      </c>
      <c r="AP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P1115" t="n">
        <v>14042</v>
      </c>
      <c r="Q1115" t="n">
        <v>2025</v>
      </c>
      <c r="R1115" t="inlineStr">
        <is>
          <t>company</t>
        </is>
      </c>
      <c r="S1115" t="inlineStr">
        <is>
          <t>prior</t>
        </is>
      </c>
      <c r="T1115" t="n">
        <v>3892</v>
      </c>
      <c r="U1115" t="inlineStr">
        <is>
          <t>EUR 3,538 million</t>
        </is>
      </c>
      <c r="V1115" t="inlineStr">
        <is>
          <t>FY2025</t>
        </is>
      </c>
      <c r="W1115" t="inlineStr">
        <is>
          <t>company</t>
        </is>
      </c>
      <c r="X1115" t="inlineStr">
        <is>
          <t>prior</t>
        </is>
      </c>
      <c r="Y1115" t="inlineStr">
        <is>
          <t>reported</t>
        </is>
      </c>
      <c r="Z1115" t="inlineStr">
        <is>
          <t>Octet BLI systems</t>
        </is>
      </c>
      <c r="AA1115" t="inlineStr">
        <is>
          <t>Biostat STR</t>
        </is>
      </c>
      <c r="AB1115" t="inlineStr">
        <is>
          <t>Cubis II balances</t>
        </is>
      </c>
      <c r="AC1115" t="inlineStr">
        <is>
          <t>prior</t>
        </is>
      </c>
      <c r="AD1115" t="inlineStr">
        <is>
          <t>חברה-בת בישראל</t>
        </is>
      </c>
      <c r="AE1115" t="inlineStr">
        <is>
          <t>אומת</t>
        </is>
      </c>
      <c r="AF1115" t="n">
        <v>2026</v>
      </c>
      <c r="AG1115" t="inlineStr">
        <is>
          <t>Sartorius Israel Ltd.; Labotal Scientific Equipment</t>
        </is>
      </c>
      <c r="AH1115" t="inlineStr">
        <is>
          <t>Sartorius Israel Ltd.: +972 4-996-0595; Labotal Scientific Equipment: +972 2-579-9222 Sales@labotal.co.il</t>
        </is>
      </c>
      <c r="AI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J1115" t="inlineStr">
        <is>
          <t>+972 4 996 0595</t>
        </is>
      </c>
      <c r="AL1115" t="inlineStr">
        <is>
          <t>Kibbutz Beit Haemek 2511500, Israel</t>
        </is>
      </c>
      <c r="AM1115" t="inlineStr">
        <is>
          <t>https://www.sartorius.com/en/contact-us/local-contact</t>
        </is>
      </c>
      <c r="AN1115" t="inlineStr">
        <is>
          <t>https://pharmchoices.com/list-of-biotech-companies-in-israel-2/5/</t>
        </is>
      </c>
      <c r="AP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t>
        </is>
      </c>
    </row>
    <row r="1116">
      <c r="A1116" t="n">
        <v>1115</v>
      </c>
      <c r="B1116" t="inlineStr">
        <is>
          <t>Sartorius Liquid Handling</t>
        </is>
      </c>
      <c r="C1116" t="inlineStr">
        <is>
          <t>T</t>
        </is>
      </c>
      <c r="E1116" t="inlineStr">
        <is>
          <t>https://www.thomassci.com/browse-by/suppliers/sartorius-liquid-handling</t>
        </is>
      </c>
      <c r="F1116" t="inlineStr"/>
      <c r="J1116" t="inlineStr"/>
      <c r="Y1116" t="inlineStr">
        <is>
          <t>unknown</t>
        </is>
      </c>
      <c r="Z1116" t="inlineStr"/>
      <c r="AA1116" t="inlineStr"/>
      <c r="AB1116" t="inlineStr"/>
      <c r="AC1116" t="inlineStr"/>
      <c r="AD1116" t="inlineStr">
        <is>
          <t>לא נמצא בסריקת המפיצים</t>
        </is>
      </c>
      <c r="AE1116" t="inlineStr">
        <is>
          <t>סריקת אתרי מפיצים</t>
        </is>
      </c>
      <c r="AG1116" t="inlineStr"/>
      <c r="AH1116" t="inlineStr"/>
      <c r="AJ1116" t="inlineStr"/>
      <c r="AP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https://sassafety.com</t>
        </is>
      </c>
      <c r="I1117" t="inlineStr">
        <is>
          <t>clearbit</t>
        </is>
      </c>
      <c r="J1117" t="inlineStr"/>
      <c r="Y1117" t="inlineStr">
        <is>
          <t>unknown</t>
        </is>
      </c>
      <c r="Z1117" t="inlineStr"/>
      <c r="AA1117" t="inlineStr"/>
      <c r="AB1117" t="inlineStr"/>
      <c r="AC1117" t="inlineStr"/>
      <c r="AD1117" t="inlineStr">
        <is>
          <t>לא נמצא בסריקת המפיצים</t>
        </is>
      </c>
      <c r="AE1117" t="inlineStr">
        <is>
          <t>סריקת אתרי מפיצים</t>
        </is>
      </c>
      <c r="AG1117" t="inlineStr"/>
      <c r="AH1117" t="inlineStr"/>
      <c r="AJ1117" t="inlineStr"/>
      <c r="AP1117" t="inlineStr">
        <is>
          <t>https://www.thomassci.com/browse-by/suppliers/sas-safety</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t>
        </is>
      </c>
      <c r="J1118" t="inlineStr"/>
      <c r="Y1118" t="inlineStr">
        <is>
          <t>unknown</t>
        </is>
      </c>
      <c r="Z1118" t="inlineStr"/>
      <c r="AA1118" t="inlineStr"/>
      <c r="AB1118" t="inlineStr"/>
      <c r="AC1118" t="inlineStr"/>
      <c r="AD1118" t="inlineStr">
        <is>
          <t>לא נמצא בסריקת המפיצים</t>
        </is>
      </c>
      <c r="AE1118" t="inlineStr">
        <is>
          <t>סריקת אתרי מפיצים</t>
        </is>
      </c>
      <c r="AG1118" t="inlineStr"/>
      <c r="AH1118" t="inlineStr"/>
      <c r="AJ1118" t="inlineStr"/>
      <c r="AP1118" t="inlineStr">
        <is>
          <t>https://www.thomassci.com/browse-by/suppliers/savillex</t>
        </is>
      </c>
    </row>
    <row r="1119">
      <c r="A1119" t="n">
        <v>1118</v>
      </c>
      <c r="B1119" t="inlineStr">
        <is>
          <t>Scapa Tapes</t>
        </is>
      </c>
      <c r="C1119" t="inlineStr">
        <is>
          <t>T</t>
        </is>
      </c>
      <c r="E1119" t="inlineStr">
        <is>
          <t>https://www.thomassci.com/browse-by/suppliers/scapa-tapes</t>
        </is>
      </c>
      <c r="F1119" t="inlineStr"/>
      <c r="J1119" t="inlineStr"/>
      <c r="Y1119" t="inlineStr">
        <is>
          <t>unknown</t>
        </is>
      </c>
      <c r="Z1119" t="inlineStr"/>
      <c r="AA1119" t="inlineStr"/>
      <c r="AB1119" t="inlineStr"/>
      <c r="AC1119" t="inlineStr"/>
      <c r="AD1119" t="inlineStr">
        <is>
          <t>לא נמצא בסריקת המפיצים</t>
        </is>
      </c>
      <c r="AE1119" t="inlineStr">
        <is>
          <t>סריקת אתרי מפיצים</t>
        </is>
      </c>
      <c r="AG1119" t="inlineStr"/>
      <c r="AH1119" t="inlineStr"/>
      <c r="AJ1119" t="inlineStr"/>
      <c r="AP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Y1120" t="inlineStr">
        <is>
          <t>unknown</t>
        </is>
      </c>
      <c r="Z1120" t="inlineStr"/>
      <c r="AA1120" t="inlineStr"/>
      <c r="AB1120" t="inlineStr"/>
      <c r="AC1120" t="inlineStr"/>
      <c r="AD1120" t="inlineStr">
        <is>
          <t>לא נמצא בסריקת המפיצים</t>
        </is>
      </c>
      <c r="AE1120" t="inlineStr">
        <is>
          <t>סריקת אתרי מפיצים</t>
        </is>
      </c>
      <c r="AG1120" t="inlineStr"/>
      <c r="AH1120" t="inlineStr"/>
      <c r="AJ1120" t="inlineStr"/>
      <c r="AP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Y1121" t="inlineStr">
        <is>
          <t>unknown</t>
        </is>
      </c>
      <c r="Z1121" t="inlineStr"/>
      <c r="AA1121" t="inlineStr"/>
      <c r="AB1121" t="inlineStr"/>
      <c r="AC1121" t="inlineStr"/>
      <c r="AD1121" t="inlineStr">
        <is>
          <t>לא נמצא בסריקת המפיצים</t>
        </is>
      </c>
      <c r="AE1121" t="inlineStr">
        <is>
          <t>סריקת אתרי מפיצים</t>
        </is>
      </c>
      <c r="AG1121" t="inlineStr"/>
      <c r="AH1121" t="inlineStr"/>
      <c r="AJ1121" t="inlineStr"/>
      <c r="AP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Y1122" t="inlineStr">
        <is>
          <t>unknown</t>
        </is>
      </c>
      <c r="Z1122" t="inlineStr"/>
      <c r="AA1122" t="inlineStr"/>
      <c r="AB1122" t="inlineStr"/>
      <c r="AC1122" t="inlineStr"/>
      <c r="AD1122" t="inlineStr">
        <is>
          <t>לא נמצא בסריקת המפיצים</t>
        </is>
      </c>
      <c r="AE1122" t="inlineStr">
        <is>
          <t>סריקת אתרי מפיצים</t>
        </is>
      </c>
      <c r="AG1122" t="inlineStr"/>
      <c r="AH1122" t="inlineStr"/>
      <c r="AJ1122" t="inlineStr"/>
      <c r="AP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t>
        </is>
      </c>
      <c r="J1123" t="inlineStr"/>
      <c r="Y1123" t="inlineStr">
        <is>
          <t>unknown</t>
        </is>
      </c>
      <c r="Z1123" t="inlineStr"/>
      <c r="AA1123" t="inlineStr"/>
      <c r="AB1123" t="inlineStr"/>
      <c r="AC1123" t="inlineStr"/>
      <c r="AD1123" t="inlineStr">
        <is>
          <t>לא נמצא בסריקת המפיצים</t>
        </is>
      </c>
      <c r="AE1123" t="inlineStr">
        <is>
          <t>סריקת אתרי מפיצים</t>
        </is>
      </c>
      <c r="AG1123" t="inlineStr"/>
      <c r="AH1123" t="inlineStr"/>
      <c r="AJ1123" t="inlineStr"/>
      <c r="AP1123" t="inlineStr">
        <is>
          <t>https://www.quartzy.com/suppliers</t>
        </is>
      </c>
    </row>
    <row r="1124">
      <c r="A1124" t="n">
        <v>1123</v>
      </c>
      <c r="B1124" t="inlineStr">
        <is>
          <t>Sciencix</t>
        </is>
      </c>
      <c r="C1124" t="inlineStr">
        <is>
          <t>Q</t>
        </is>
      </c>
      <c r="F1124" t="inlineStr">
        <is>
          <t>yes</t>
        </is>
      </c>
      <c r="H1124" t="inlineStr">
        <is>
          <t>https://sciencix.com</t>
        </is>
      </c>
      <c r="I1124" t="inlineStr">
        <is>
          <t>clearbit</t>
        </is>
      </c>
      <c r="J1124" t="inlineStr"/>
      <c r="Y1124" t="inlineStr">
        <is>
          <t>unknown</t>
        </is>
      </c>
      <c r="Z1124" t="inlineStr"/>
      <c r="AA1124" t="inlineStr"/>
      <c r="AB1124" t="inlineStr"/>
      <c r="AC1124" t="inlineStr"/>
      <c r="AD1124" t="inlineStr">
        <is>
          <t>לא נמצא בסריקת המפיצים</t>
        </is>
      </c>
      <c r="AE1124" t="inlineStr">
        <is>
          <t>סריקת אתרי מפיצים</t>
        </is>
      </c>
      <c r="AG1124" t="inlineStr"/>
      <c r="AH1124" t="inlineStr"/>
      <c r="AJ1124" t="inlineStr"/>
      <c r="AP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t>
        </is>
      </c>
      <c r="J1125" t="inlineStr"/>
      <c r="Y1125" t="inlineStr">
        <is>
          <t>unknown</t>
        </is>
      </c>
      <c r="Z1125" t="inlineStr"/>
      <c r="AA1125" t="inlineStr"/>
      <c r="AB1125" t="inlineStr"/>
      <c r="AC1125" t="inlineStr"/>
      <c r="AD1125" t="inlineStr">
        <is>
          <t>לא נמצא בסריקת המפיצים</t>
        </is>
      </c>
      <c r="AE1125" t="inlineStr">
        <is>
          <t>סריקת אתרי מפיצים</t>
        </is>
      </c>
      <c r="AG1125" t="inlineStr"/>
      <c r="AH1125" t="inlineStr"/>
      <c r="AJ1125" t="inlineStr"/>
      <c r="AP1125" t="inlineStr">
        <is>
          <t>https://www.quartzy.com/suppliers | https://www.thomassci.com/browse-by/suppliers/scientific-industries</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t>
        </is>
      </c>
      <c r="J1126" t="inlineStr"/>
      <c r="Y1126" t="inlineStr">
        <is>
          <t>unknown</t>
        </is>
      </c>
      <c r="Z1126" t="inlineStr"/>
      <c r="AA1126" t="inlineStr"/>
      <c r="AB1126" t="inlineStr"/>
      <c r="AC1126" t="inlineStr"/>
      <c r="AD1126" t="inlineStr">
        <is>
          <t>לא נמצא בסריקת המפיצים</t>
        </is>
      </c>
      <c r="AE1126" t="inlineStr">
        <is>
          <t>סריקת אתרי מפיצים</t>
        </is>
      </c>
      <c r="AG1126" t="inlineStr"/>
      <c r="AH1126" t="inlineStr"/>
      <c r="AJ1126" t="inlineStr"/>
      <c r="AP1126" t="inlineStr">
        <is>
          <t>https://www.thomassci.com/browse-by/suppliers/scientific-plastics</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Y1127" t="inlineStr">
        <is>
          <t>unknown</t>
        </is>
      </c>
      <c r="Z1127" t="inlineStr"/>
      <c r="AA1127" t="inlineStr"/>
      <c r="AB1127" t="inlineStr"/>
      <c r="AC1127" t="inlineStr"/>
      <c r="AD1127" t="inlineStr">
        <is>
          <t>לא נמצא בסריקת המפיצים</t>
        </is>
      </c>
      <c r="AE1127" t="inlineStr">
        <is>
          <t>סריקת אתרי מפיצים</t>
        </is>
      </c>
      <c r="AG1127" t="inlineStr"/>
      <c r="AH1127" t="inlineStr"/>
      <c r="AJ1127" t="inlineStr"/>
      <c r="AP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Y1128" t="inlineStr">
        <is>
          <t>unknown</t>
        </is>
      </c>
      <c r="Z1128" t="inlineStr"/>
      <c r="AA1128" t="inlineStr"/>
      <c r="AB1128" t="inlineStr"/>
      <c r="AC1128" t="inlineStr"/>
      <c r="AD1128" t="inlineStr">
        <is>
          <t>לא נמצא בסריקת המפיצים</t>
        </is>
      </c>
      <c r="AE1128" t="inlineStr">
        <is>
          <t>סריקת אתרי מפיצים</t>
        </is>
      </c>
      <c r="AG1128" t="inlineStr"/>
      <c r="AH1128" t="inlineStr"/>
      <c r="AJ1128" t="inlineStr"/>
      <c r="AP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Y1129" t="inlineStr">
        <is>
          <t>unknown</t>
        </is>
      </c>
      <c r="Z1129" t="inlineStr"/>
      <c r="AA1129" t="inlineStr"/>
      <c r="AB1129" t="inlineStr"/>
      <c r="AC1129" t="inlineStr"/>
      <c r="AD1129" t="inlineStr">
        <is>
          <t>לא נמצא בסריקת המפיצים</t>
        </is>
      </c>
      <c r="AE1129" t="inlineStr">
        <is>
          <t>סריקת אתרי מפיצים</t>
        </is>
      </c>
      <c r="AG1129" t="inlineStr"/>
      <c r="AH1129" t="inlineStr"/>
      <c r="AJ1129" t="inlineStr"/>
      <c r="AP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Y1130" t="inlineStr">
        <is>
          <t>unknown</t>
        </is>
      </c>
      <c r="Z1130" t="inlineStr"/>
      <c r="AA1130" t="inlineStr"/>
      <c r="AB1130" t="inlineStr"/>
      <c r="AC1130" t="inlineStr"/>
      <c r="AD1130" t="inlineStr">
        <is>
          <t>לא נמצא בסריקת המפיצים</t>
        </is>
      </c>
      <c r="AE1130" t="inlineStr">
        <is>
          <t>סריקת אתרי מפיצים</t>
        </is>
      </c>
      <c r="AG1130" t="inlineStr"/>
      <c r="AH1130" t="inlineStr"/>
      <c r="AJ1130" t="inlineStr"/>
      <c r="AP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Y1131" t="inlineStr">
        <is>
          <t>unknown</t>
        </is>
      </c>
      <c r="Z1131" t="inlineStr"/>
      <c r="AA1131" t="inlineStr"/>
      <c r="AB1131" t="inlineStr"/>
      <c r="AC1131" t="inlineStr"/>
      <c r="AD1131" t="inlineStr">
        <is>
          <t>לא נמצא בסריקת המפיצים</t>
        </is>
      </c>
      <c r="AE1131" t="inlineStr">
        <is>
          <t>סריקת אתרי מפיצים</t>
        </is>
      </c>
      <c r="AG1131" t="inlineStr"/>
      <c r="AH1131" t="inlineStr"/>
      <c r="AJ1131" t="inlineStr"/>
      <c r="AP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t>
        </is>
      </c>
      <c r="J1132" t="inlineStr"/>
      <c r="Y1132" t="inlineStr">
        <is>
          <t>unknown</t>
        </is>
      </c>
      <c r="Z1132" t="inlineStr"/>
      <c r="AA1132" t="inlineStr"/>
      <c r="AB1132" t="inlineStr"/>
      <c r="AC1132" t="inlineStr"/>
      <c r="AD1132" t="inlineStr">
        <is>
          <t>לא נמצא בסריקת המפיצים</t>
        </is>
      </c>
      <c r="AE1132" t="inlineStr">
        <is>
          <t>סריקת אתרי מפיצים</t>
        </is>
      </c>
      <c r="AG1132" t="inlineStr"/>
      <c r="AH1132" t="inlineStr"/>
      <c r="AJ1132" t="inlineStr"/>
      <c r="AP1132" t="inlineStr">
        <is>
          <t>https://www.thomassci.com/browse-by/suppliers/scotsman</t>
        </is>
      </c>
    </row>
    <row r="1133">
      <c r="A1133" t="n">
        <v>1132</v>
      </c>
      <c r="B1133" t="inlineStr">
        <is>
          <t>SCS (A Division of DESCO Industries)</t>
        </is>
      </c>
      <c r="C1133" t="inlineStr">
        <is>
          <t>T</t>
        </is>
      </c>
      <c r="E1133" t="inlineStr">
        <is>
          <t>https://www.thomassci.com/browse-by/suppliers/scs-a-division-of-desco-industries</t>
        </is>
      </c>
      <c r="F1133" t="inlineStr"/>
      <c r="J1133" t="inlineStr"/>
      <c r="Y1133" t="inlineStr">
        <is>
          <t>unknown</t>
        </is>
      </c>
      <c r="Z1133" t="inlineStr"/>
      <c r="AA1133" t="inlineStr"/>
      <c r="AB1133" t="inlineStr"/>
      <c r="AC1133" t="inlineStr"/>
      <c r="AD1133" t="inlineStr">
        <is>
          <t>לא נמצא בסריקת המפיצים</t>
        </is>
      </c>
      <c r="AE1133" t="inlineStr">
        <is>
          <t>סריקת אתרי מפיצים</t>
        </is>
      </c>
      <c r="AG1133" t="inlineStr"/>
      <c r="AH1133" t="inlineStr"/>
      <c r="AJ1133" t="inlineStr"/>
      <c r="AP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J1134" t="inlineStr"/>
      <c r="Y1134" t="inlineStr">
        <is>
          <t>unknown</t>
        </is>
      </c>
      <c r="Z1134" t="inlineStr"/>
      <c r="AA1134" t="inlineStr"/>
      <c r="AB1134" t="inlineStr"/>
      <c r="AC1134" t="inlineStr"/>
      <c r="AD1134" t="inlineStr">
        <is>
          <t>לא נמצא בסריקת המפיצים</t>
        </is>
      </c>
      <c r="AE1134" t="inlineStr">
        <is>
          <t>סריקת אתרי מפיצים</t>
        </is>
      </c>
      <c r="AG1134" t="inlineStr"/>
      <c r="AH1134" t="inlineStr"/>
      <c r="AJ1134" t="inlineStr"/>
      <c r="AP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t>
        </is>
      </c>
      <c r="J1135" t="inlineStr"/>
      <c r="Y1135" t="inlineStr">
        <is>
          <t>unknown</t>
        </is>
      </c>
      <c r="Z1135" t="inlineStr"/>
      <c r="AA1135" t="inlineStr"/>
      <c r="AB1135" t="inlineStr"/>
      <c r="AC1135" t="inlineStr"/>
      <c r="AD1135" t="inlineStr">
        <is>
          <t>לא נמצא בסריקת המפיצים</t>
        </is>
      </c>
      <c r="AE1135" t="inlineStr">
        <is>
          <t>סריקת אתרי מפיצים</t>
        </is>
      </c>
      <c r="AG1135" t="inlineStr"/>
      <c r="AH1135" t="inlineStr"/>
      <c r="AJ1135" t="inlineStr"/>
      <c r="AP1135" t="inlineStr">
        <is>
          <t>https://www.thomassci.com/browse-by/suppliers/sekisui-diagnostics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Y1136" t="inlineStr">
        <is>
          <t>unknown</t>
        </is>
      </c>
      <c r="Z1136" t="inlineStr"/>
      <c r="AA1136" t="inlineStr"/>
      <c r="AB1136" t="inlineStr"/>
      <c r="AC1136" t="inlineStr"/>
      <c r="AD1136" t="inlineStr">
        <is>
          <t>לא נמצא בסריקת המפיצים</t>
        </is>
      </c>
      <c r="AE1136" t="inlineStr">
        <is>
          <t>סריקת אתרי מפיצים</t>
        </is>
      </c>
      <c r="AG1136" t="inlineStr"/>
      <c r="AH1136" t="inlineStr"/>
      <c r="AJ1136" t="inlineStr"/>
      <c r="AP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t>
        </is>
      </c>
      <c r="J1137" t="inlineStr"/>
      <c r="Y1137" t="inlineStr">
        <is>
          <t>unknown</t>
        </is>
      </c>
      <c r="Z1137" t="inlineStr"/>
      <c r="AA1137" t="inlineStr"/>
      <c r="AB1137" t="inlineStr"/>
      <c r="AC1137" t="inlineStr"/>
      <c r="AD1137" t="inlineStr">
        <is>
          <t>לא נמצא בסריקת המפיצים</t>
        </is>
      </c>
      <c r="AE1137" t="inlineStr">
        <is>
          <t>סריקת אתרי מפיצים</t>
        </is>
      </c>
      <c r="AG1137" t="inlineStr"/>
      <c r="AH1137" t="inlineStr"/>
      <c r="AJ1137" t="inlineStr"/>
      <c r="AP1137" t="inlineStr">
        <is>
          <t>https://www.quartzy.com/suppliers</t>
        </is>
      </c>
    </row>
    <row r="1138">
      <c r="A1138" t="n">
        <v>1137</v>
      </c>
      <c r="B1138" t="inlineStr">
        <is>
          <t>Semperit</t>
        </is>
      </c>
      <c r="C1138" t="inlineStr">
        <is>
          <t>D</t>
        </is>
      </c>
      <c r="D1138" t="inlineStr">
        <is>
          <t>https://www.dutscher.com/search?initialFilters=brand:Semperit</t>
        </is>
      </c>
      <c r="F1138" t="inlineStr"/>
      <c r="H1138" t="inlineStr">
        <is>
          <t>https://semperitgroup.com</t>
        </is>
      </c>
      <c r="I1138" t="inlineStr">
        <is>
          <t>clearbit</t>
        </is>
      </c>
      <c r="J1138" t="inlineStr"/>
      <c r="Y1138" t="inlineStr">
        <is>
          <t>unknown</t>
        </is>
      </c>
      <c r="Z1138" t="inlineStr"/>
      <c r="AA1138" t="inlineStr"/>
      <c r="AB1138" t="inlineStr"/>
      <c r="AC1138" t="inlineStr"/>
      <c r="AD1138" t="inlineStr">
        <is>
          <t>לא נמצא בסריקת המפיצים</t>
        </is>
      </c>
      <c r="AE1138" t="inlineStr">
        <is>
          <t>סריקת אתרי מפיצים</t>
        </is>
      </c>
      <c r="AG1138" t="inlineStr"/>
      <c r="AH1138" t="inlineStr"/>
      <c r="AJ1138" t="inlineStr"/>
      <c r="AP1138" t="inlineStr">
        <is>
          <t>https://www.dutscher.com/search?initialFilters=brand:Semperit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t>
        </is>
      </c>
      <c r="J1139" t="inlineStr"/>
      <c r="Y1139" t="inlineStr">
        <is>
          <t>unknown</t>
        </is>
      </c>
      <c r="Z1139" t="inlineStr"/>
      <c r="AA1139" t="inlineStr"/>
      <c r="AB1139" t="inlineStr"/>
      <c r="AC1139" t="inlineStr"/>
      <c r="AD1139" t="inlineStr">
        <is>
          <t>לא נמצא בסריקת המפיצים</t>
        </is>
      </c>
      <c r="AE1139" t="inlineStr">
        <is>
          <t>סריקת אתרי מפיצים</t>
        </is>
      </c>
      <c r="AG1139" t="inlineStr"/>
      <c r="AH1139" t="inlineStr"/>
      <c r="AJ1139" t="inlineStr"/>
      <c r="AP1139" t="inlineStr">
        <is>
          <t>https://www.quartzy.com/suppliers | https://www.thomassci.com/browse-by/suppliers/sempermed</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t>
        </is>
      </c>
      <c r="J1140" t="inlineStr"/>
      <c r="Y1140" t="inlineStr">
        <is>
          <t>unknown</t>
        </is>
      </c>
      <c r="Z1140" t="inlineStr"/>
      <c r="AA1140" t="inlineStr"/>
      <c r="AB1140" t="inlineStr"/>
      <c r="AC1140" t="inlineStr"/>
      <c r="AD1140" t="inlineStr">
        <is>
          <t>לא נמצא בסריקת המפיצים</t>
        </is>
      </c>
      <c r="AE1140" t="inlineStr">
        <is>
          <t>סריקת אתרי מפיצים</t>
        </is>
      </c>
      <c r="AG1140" t="inlineStr"/>
      <c r="AH1140" t="inlineStr"/>
      <c r="AJ1140" t="inlineStr"/>
      <c r="AP1140" t="inlineStr">
        <is>
          <t>https://www.dutscher.com/search?initialFilters=brand:Sensoquest</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t>
        </is>
      </c>
      <c r="J1141" t="inlineStr"/>
      <c r="Y1141" t="inlineStr">
        <is>
          <t>unknown</t>
        </is>
      </c>
      <c r="Z1141" t="inlineStr"/>
      <c r="AA1141" t="inlineStr"/>
      <c r="AB1141" t="inlineStr"/>
      <c r="AC1141" t="inlineStr"/>
      <c r="AD1141" t="inlineStr">
        <is>
          <t>לא נמצא בסריקת המפיצים</t>
        </is>
      </c>
      <c r="AE1141" t="inlineStr">
        <is>
          <t>סריקת אתרי מפיצים</t>
        </is>
      </c>
      <c r="AG1141" t="inlineStr"/>
      <c r="AH1141" t="inlineStr"/>
      <c r="AJ1141" t="inlineStr"/>
      <c r="AP1141" t="inlineStr">
        <is>
          <t>https://www.thomassci.com/browse-by/suppliers/sensorex</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t>
        </is>
      </c>
      <c r="J1142" t="inlineStr"/>
      <c r="Y1142" t="inlineStr">
        <is>
          <t>unknown</t>
        </is>
      </c>
      <c r="Z1142" t="inlineStr"/>
      <c r="AA1142" t="inlineStr"/>
      <c r="AB1142" t="inlineStr"/>
      <c r="AC1142" t="inlineStr"/>
      <c r="AD1142" t="inlineStr">
        <is>
          <t>לא נמצא בסריקת המפיצים</t>
        </is>
      </c>
      <c r="AE1142" t="inlineStr">
        <is>
          <t>סריקת אתרי מפיצים</t>
        </is>
      </c>
      <c r="AG1142" t="inlineStr"/>
      <c r="AH1142" t="inlineStr"/>
      <c r="AJ1142" t="inlineStr"/>
      <c r="AP1142" t="inlineStr">
        <is>
          <t>https://www.thomassci.com/browse-by/suppliers/sequence-biotech</t>
        </is>
      </c>
    </row>
    <row r="1143">
      <c r="A1143" t="n">
        <v>1142</v>
      </c>
      <c r="B1143" t="inlineStr">
        <is>
          <t>Serva</t>
        </is>
      </c>
      <c r="C1143" t="inlineStr">
        <is>
          <t>D</t>
        </is>
      </c>
      <c r="D1143" t="inlineStr">
        <is>
          <t>https://www.dutscher.com/search?initialFilters=brand:Serva</t>
        </is>
      </c>
      <c r="F1143" t="inlineStr"/>
      <c r="J1143" t="inlineStr"/>
      <c r="Y1143" t="inlineStr">
        <is>
          <t>unknown</t>
        </is>
      </c>
      <c r="Z1143" t="inlineStr"/>
      <c r="AA1143" t="inlineStr"/>
      <c r="AB1143" t="inlineStr"/>
      <c r="AC1143" t="inlineStr"/>
      <c r="AD1143" t="inlineStr">
        <is>
          <t>לא נמצא בסריקת המפיצים</t>
        </is>
      </c>
      <c r="AE1143" t="inlineStr">
        <is>
          <t>סריקת אתרי מפיצים</t>
        </is>
      </c>
      <c r="AG1143" t="inlineStr"/>
      <c r="AH1143" t="inlineStr"/>
      <c r="AJ1143" t="inlineStr"/>
      <c r="AP1143" t="inlineStr">
        <is>
          <t>https://www.dutscher.com/search?initialFilters=brand:Serva</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Y1144" t="inlineStr">
        <is>
          <t>unknown</t>
        </is>
      </c>
      <c r="Z1144" t="inlineStr"/>
      <c r="AA1144" t="inlineStr"/>
      <c r="AB1144" t="inlineStr"/>
      <c r="AC1144" t="inlineStr"/>
      <c r="AD1144" t="inlineStr">
        <is>
          <t>לא נמצא בסריקת המפיצים</t>
        </is>
      </c>
      <c r="AE1144" t="inlineStr">
        <is>
          <t>סריקת אתרי מפיצים</t>
        </is>
      </c>
      <c r="AG1144" t="inlineStr"/>
      <c r="AH1144" t="inlineStr"/>
      <c r="AJ1144" t="inlineStr"/>
      <c r="AP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Y1145" t="inlineStr">
        <is>
          <t>unknown</t>
        </is>
      </c>
      <c r="Z1145" t="inlineStr"/>
      <c r="AA1145" t="inlineStr"/>
      <c r="AB1145" t="inlineStr"/>
      <c r="AC1145" t="inlineStr"/>
      <c r="AD1145" t="inlineStr">
        <is>
          <t>לא נמצא בסריקת המפיצים</t>
        </is>
      </c>
      <c r="AE1145" t="inlineStr">
        <is>
          <t>סריקת אתרי מפיצים</t>
        </is>
      </c>
      <c r="AG1145" t="inlineStr"/>
      <c r="AH1145" t="inlineStr"/>
      <c r="AJ1145" t="inlineStr"/>
      <c r="AP1145" t="inlineStr">
        <is>
          <t>https://www.thomassci.com/browse-by/suppliers/sge-by-trajan</t>
        </is>
      </c>
    </row>
    <row r="1146">
      <c r="A1146" t="n">
        <v>1145</v>
      </c>
      <c r="B1146" t="inlineStr">
        <is>
          <t>SGI-DNA</t>
        </is>
      </c>
      <c r="C1146" t="inlineStr">
        <is>
          <t>Q</t>
        </is>
      </c>
      <c r="F1146" t="inlineStr">
        <is>
          <t>yes</t>
        </is>
      </c>
      <c r="J1146" t="inlineStr"/>
      <c r="Y1146" t="inlineStr">
        <is>
          <t>unknown</t>
        </is>
      </c>
      <c r="Z1146" t="inlineStr"/>
      <c r="AA1146" t="inlineStr"/>
      <c r="AB1146" t="inlineStr"/>
      <c r="AC1146" t="inlineStr"/>
      <c r="AD1146" t="inlineStr">
        <is>
          <t>לא נמצא בסריקת המפיצים</t>
        </is>
      </c>
      <c r="AE1146" t="inlineStr">
        <is>
          <t>סריקת אתרי מפיצים</t>
        </is>
      </c>
      <c r="AG1146" t="inlineStr"/>
      <c r="AH1146" t="inlineStr"/>
      <c r="AJ1146" t="inlineStr"/>
      <c r="AP1146" t="inlineStr">
        <is>
          <t>https://www.quartzy.com/suppliers</t>
        </is>
      </c>
    </row>
    <row r="1147">
      <c r="A1147" t="n">
        <v>1146</v>
      </c>
      <c r="B1147" t="inlineStr">
        <is>
          <t>Shamrock</t>
        </is>
      </c>
      <c r="C1147" t="inlineStr">
        <is>
          <t>T</t>
        </is>
      </c>
      <c r="E1147" t="inlineStr">
        <is>
          <t>https://www.thomassci.com/browse-by/suppliers/shamrock</t>
        </is>
      </c>
      <c r="F1147" t="inlineStr"/>
      <c r="J1147" t="inlineStr"/>
      <c r="Y1147" t="inlineStr">
        <is>
          <t>unknown</t>
        </is>
      </c>
      <c r="Z1147" t="inlineStr"/>
      <c r="AA1147" t="inlineStr"/>
      <c r="AB1147" t="inlineStr"/>
      <c r="AC1147" t="inlineStr"/>
      <c r="AD1147" t="inlineStr">
        <is>
          <t>לא נמצא בסריקת המפיצים</t>
        </is>
      </c>
      <c r="AE1147" t="inlineStr">
        <is>
          <t>סריקת אתרי מפיצים</t>
        </is>
      </c>
      <c r="AG1147" t="inlineStr"/>
      <c r="AH1147" t="inlineStr"/>
      <c r="AJ1147" t="inlineStr"/>
      <c r="AP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https://sharpie.nl</t>
        </is>
      </c>
      <c r="I1148" t="inlineStr">
        <is>
          <t>clearbit</t>
        </is>
      </c>
      <c r="J1148" t="inlineStr"/>
      <c r="Y1148" t="inlineStr">
        <is>
          <t>unknown</t>
        </is>
      </c>
      <c r="Z1148" t="inlineStr"/>
      <c r="AA1148" t="inlineStr"/>
      <c r="AB1148" t="inlineStr"/>
      <c r="AC1148" t="inlineStr"/>
      <c r="AD1148" t="inlineStr">
        <is>
          <t>לא נמצא בסריקת המפיצים</t>
        </is>
      </c>
      <c r="AE1148" t="inlineStr">
        <is>
          <t>סריקת אתרי מפיצים</t>
        </is>
      </c>
      <c r="AG1148" t="inlineStr"/>
      <c r="AH1148" t="inlineStr"/>
      <c r="AJ1148" t="inlineStr"/>
      <c r="AP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Y1149" t="inlineStr">
        <is>
          <t>unknown</t>
        </is>
      </c>
      <c r="Z1149" t="inlineStr"/>
      <c r="AA1149" t="inlineStr"/>
      <c r="AB1149" t="inlineStr"/>
      <c r="AC1149" t="inlineStr"/>
      <c r="AD1149" t="inlineStr">
        <is>
          <t>לא נמצא בסריקת המפיצים</t>
        </is>
      </c>
      <c r="AE1149" t="inlineStr">
        <is>
          <t>סריקת אתרי מפיצים</t>
        </is>
      </c>
      <c r="AG1149" t="inlineStr"/>
      <c r="AH1149" t="inlineStr"/>
      <c r="AJ1149" t="inlineStr"/>
      <c r="AP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t>
        </is>
      </c>
      <c r="J1150" t="inlineStr"/>
      <c r="Y1150" t="inlineStr">
        <is>
          <t>unknown</t>
        </is>
      </c>
      <c r="Z1150" t="inlineStr"/>
      <c r="AA1150" t="inlineStr"/>
      <c r="AB1150" t="inlineStr"/>
      <c r="AC1150" t="inlineStr"/>
      <c r="AD1150" t="inlineStr">
        <is>
          <t>לא נמצא בסריקת המפיצים</t>
        </is>
      </c>
      <c r="AE1150" t="inlineStr">
        <is>
          <t>סריקת אתרי מפיצים</t>
        </is>
      </c>
      <c r="AG1150" t="inlineStr"/>
      <c r="AH1150" t="inlineStr"/>
      <c r="AJ1150" t="inlineStr"/>
      <c r="AP1150" t="inlineStr">
        <is>
          <t>https://www.thomassci.com/browse-by/suppliers/sheldon-manufacturing</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t>
        </is>
      </c>
      <c r="J1151" t="inlineStr"/>
      <c r="Y1151" t="inlineStr">
        <is>
          <t>unknown</t>
        </is>
      </c>
      <c r="Z1151" t="inlineStr"/>
      <c r="AA1151" t="inlineStr"/>
      <c r="AB1151" t="inlineStr"/>
      <c r="AC1151" t="inlineStr"/>
      <c r="AD1151" t="inlineStr">
        <is>
          <t>לא נמצא בסריקת המפיצים</t>
        </is>
      </c>
      <c r="AE1151" t="inlineStr">
        <is>
          <t>סריקת אתרי מפיצים</t>
        </is>
      </c>
      <c r="AG1151" t="inlineStr"/>
      <c r="AH1151" t="inlineStr"/>
      <c r="AJ1151" t="inlineStr"/>
      <c r="AP1151" t="inlineStr">
        <is>
          <t>https://www.dutscher.com/search?initialFilters=brand:SHIELD+Scientific</t>
        </is>
      </c>
    </row>
    <row r="1152">
      <c r="A1152" t="n">
        <v>1151</v>
      </c>
      <c r="B1152" t="inlineStr">
        <is>
          <t>Shirley K's</t>
        </is>
      </c>
      <c r="C1152" t="inlineStr">
        <is>
          <t>T</t>
        </is>
      </c>
      <c r="E1152" t="inlineStr">
        <is>
          <t>https://www.thomassci.com/browse-by/suppliers/shirley-ks</t>
        </is>
      </c>
      <c r="F1152" t="inlineStr"/>
      <c r="J1152" t="inlineStr"/>
      <c r="Y1152" t="inlineStr">
        <is>
          <t>unknown</t>
        </is>
      </c>
      <c r="Z1152" t="inlineStr"/>
      <c r="AA1152" t="inlineStr"/>
      <c r="AB1152" t="inlineStr"/>
      <c r="AC1152" t="inlineStr"/>
      <c r="AD1152" t="inlineStr">
        <is>
          <t>לא נמצא בסריקת המפיצים</t>
        </is>
      </c>
      <c r="AE1152" t="inlineStr">
        <is>
          <t>סריקת אתרי מפיצים</t>
        </is>
      </c>
      <c r="AG1152" t="inlineStr"/>
      <c r="AH1152" t="inlineStr"/>
      <c r="AJ1152" t="inlineStr"/>
      <c r="AP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t>
        </is>
      </c>
      <c r="J1153" t="inlineStr"/>
      <c r="Y1153" t="inlineStr">
        <is>
          <t>unknown</t>
        </is>
      </c>
      <c r="Z1153" t="inlineStr"/>
      <c r="AA1153" t="inlineStr"/>
      <c r="AB1153" t="inlineStr"/>
      <c r="AC1153" t="inlineStr"/>
      <c r="AD1153" t="inlineStr">
        <is>
          <t>לא נמצא בסריקת המפיצים</t>
        </is>
      </c>
      <c r="AE1153" t="inlineStr">
        <is>
          <t>סריקת אתרי מפיצים</t>
        </is>
      </c>
      <c r="AG1153" t="inlineStr"/>
      <c r="AH1153" t="inlineStr"/>
      <c r="AJ1153" t="inlineStr"/>
      <c r="AP1153" t="inlineStr">
        <is>
          <t>https://www.thomassci.com/browse-by/suppliers/shoe-cover-magic</t>
        </is>
      </c>
    </row>
    <row r="1154">
      <c r="A1154" t="n">
        <v>1153</v>
      </c>
      <c r="B1154" t="inlineStr">
        <is>
          <t>Shoe Inn</t>
        </is>
      </c>
      <c r="C1154" t="inlineStr">
        <is>
          <t>T</t>
        </is>
      </c>
      <c r="E1154" t="inlineStr">
        <is>
          <t>https://www.thomassci.com/browse-by/suppliers/shoe-inn</t>
        </is>
      </c>
      <c r="F1154" t="inlineStr"/>
      <c r="H1154" t="inlineStr">
        <is>
          <t>https://shoeinn.com</t>
        </is>
      </c>
      <c r="I1154" t="inlineStr">
        <is>
          <t>clearbit</t>
        </is>
      </c>
      <c r="J1154" t="inlineStr"/>
      <c r="Y1154" t="inlineStr">
        <is>
          <t>unknown</t>
        </is>
      </c>
      <c r="Z1154" t="inlineStr"/>
      <c r="AA1154" t="inlineStr"/>
      <c r="AB1154" t="inlineStr"/>
      <c r="AC1154" t="inlineStr"/>
      <c r="AD1154" t="inlineStr">
        <is>
          <t>לא נמצא בסריקת המפיצים</t>
        </is>
      </c>
      <c r="AE1154" t="inlineStr">
        <is>
          <t>סריקת אתרי מפיצים</t>
        </is>
      </c>
      <c r="AG1154" t="inlineStr"/>
      <c r="AH1154" t="inlineStr"/>
      <c r="AJ1154" t="inlineStr"/>
      <c r="AP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t>
        </is>
      </c>
      <c r="J1155" t="inlineStr"/>
      <c r="Y1155" t="inlineStr">
        <is>
          <t>unknown</t>
        </is>
      </c>
      <c r="Z1155" t="inlineStr"/>
      <c r="AA1155" t="inlineStr"/>
      <c r="AB1155" t="inlineStr"/>
      <c r="AC1155" t="inlineStr"/>
      <c r="AD1155" t="inlineStr">
        <is>
          <t>לא נמצא בסריקת המפיצים</t>
        </is>
      </c>
      <c r="AE1155" t="inlineStr">
        <is>
          <t>סריקת אתרי מפיצים</t>
        </is>
      </c>
      <c r="AG1155" t="inlineStr"/>
      <c r="AH1155" t="inlineStr"/>
      <c r="AJ1155" t="inlineStr"/>
      <c r="AP1155" t="inlineStr">
        <is>
          <t>https://www.dutscher.com/search?initialFilters=brand:Showa | https://www.thomassci.com/browse-by/suppliers/showa</t>
        </is>
      </c>
    </row>
    <row r="1156">
      <c r="A1156" t="n">
        <v>1155</v>
      </c>
      <c r="B1156" t="inlineStr">
        <is>
          <t>Shurtape Technologies, LLC.</t>
        </is>
      </c>
      <c r="C1156" t="inlineStr">
        <is>
          <t>T</t>
        </is>
      </c>
      <c r="E1156" t="inlineStr">
        <is>
          <t>https://www.thomassci.com/browse-by/suppliers/shurtape-technologies-llc-</t>
        </is>
      </c>
      <c r="F1156" t="inlineStr"/>
      <c r="J1156" t="inlineStr"/>
      <c r="Y1156" t="inlineStr">
        <is>
          <t>unknown</t>
        </is>
      </c>
      <c r="Z1156" t="inlineStr"/>
      <c r="AA1156" t="inlineStr"/>
      <c r="AB1156" t="inlineStr"/>
      <c r="AC1156" t="inlineStr"/>
      <c r="AD1156" t="inlineStr">
        <is>
          <t>לא נמצא בסריקת המפיצים</t>
        </is>
      </c>
      <c r="AE1156" t="inlineStr">
        <is>
          <t>סריקת אתרי מפיצים</t>
        </is>
      </c>
      <c r="AG1156" t="inlineStr"/>
      <c r="AH1156" t="inlineStr"/>
      <c r="AJ1156" t="inlineStr"/>
      <c r="AP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https://si-analytics.ai</t>
        </is>
      </c>
      <c r="I1157" t="inlineStr">
        <is>
          <t>clearbit</t>
        </is>
      </c>
      <c r="J1157" t="inlineStr"/>
      <c r="Y1157" t="inlineStr">
        <is>
          <t>unknown</t>
        </is>
      </c>
      <c r="Z1157" t="inlineStr"/>
      <c r="AA1157" t="inlineStr"/>
      <c r="AB1157" t="inlineStr"/>
      <c r="AC1157" t="inlineStr"/>
      <c r="AD1157" t="inlineStr">
        <is>
          <t>לא נמצא בסריקת המפיצים</t>
        </is>
      </c>
      <c r="AE1157" t="inlineStr">
        <is>
          <t>סריקת אתרי מפיצים</t>
        </is>
      </c>
      <c r="AG1157" t="inlineStr"/>
      <c r="AH1157" t="inlineStr"/>
      <c r="AJ1157" t="inlineStr"/>
      <c r="AP1157" t="inlineStr">
        <is>
          <t>https://www.thomassci.com/browse-by/suppliers/si-analytics</t>
        </is>
      </c>
    </row>
    <row r="1158">
      <c r="A1158" t="n">
        <v>1157</v>
      </c>
      <c r="B1158" t="inlineStr">
        <is>
          <t>SignalChem</t>
        </is>
      </c>
      <c r="C1158" t="inlineStr">
        <is>
          <t>Q</t>
        </is>
      </c>
      <c r="F1158" t="inlineStr">
        <is>
          <t>yes</t>
        </is>
      </c>
      <c r="J1158" t="inlineStr"/>
      <c r="Y1158" t="inlineStr">
        <is>
          <t>unknown</t>
        </is>
      </c>
      <c r="Z1158" t="inlineStr"/>
      <c r="AA1158" t="inlineStr"/>
      <c r="AB1158" t="inlineStr"/>
      <c r="AC1158" t="inlineStr"/>
      <c r="AD1158" t="inlineStr">
        <is>
          <t>לא נמצא בסריקת המפיצים</t>
        </is>
      </c>
      <c r="AE1158" t="inlineStr">
        <is>
          <t>סריקת אתרי מפיצים</t>
        </is>
      </c>
      <c r="AG1158" t="inlineStr"/>
      <c r="AH1158" t="inlineStr"/>
      <c r="AJ1158" t="inlineStr"/>
      <c r="AP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Y1159" t="inlineStr">
        <is>
          <t>unknown</t>
        </is>
      </c>
      <c r="Z1159" t="inlineStr"/>
      <c r="AA1159" t="inlineStr"/>
      <c r="AB1159" t="inlineStr"/>
      <c r="AC1159" t="inlineStr"/>
      <c r="AD1159" t="inlineStr">
        <is>
          <t>לא נמצא בסריקת המפיצים</t>
        </is>
      </c>
      <c r="AE1159" t="inlineStr">
        <is>
          <t>סריקת אתרי מפיצים</t>
        </is>
      </c>
      <c r="AG1159" t="inlineStr"/>
      <c r="AH1159" t="inlineStr"/>
      <c r="AJ1159" t="inlineStr"/>
      <c r="AP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Y1160" t="inlineStr">
        <is>
          <t>unknown</t>
        </is>
      </c>
      <c r="Z1160" t="inlineStr"/>
      <c r="AA1160" t="inlineStr"/>
      <c r="AB1160" t="inlineStr"/>
      <c r="AC1160" t="inlineStr"/>
      <c r="AD1160" t="inlineStr">
        <is>
          <t>לא נמצא בסריקת המפיצים</t>
        </is>
      </c>
      <c r="AE1160" t="inlineStr">
        <is>
          <t>סריקת אתרי מפיצים</t>
        </is>
      </c>
      <c r="AG1160" t="inlineStr"/>
      <c r="AH1160" t="inlineStr"/>
      <c r="AJ1160" t="inlineStr"/>
      <c r="AP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t>
        </is>
      </c>
      <c r="J1161" t="inlineStr"/>
      <c r="Y1161" t="inlineStr">
        <is>
          <t>unknown</t>
        </is>
      </c>
      <c r="Z1161" t="inlineStr"/>
      <c r="AA1161" t="inlineStr"/>
      <c r="AB1161" t="inlineStr"/>
      <c r="AC1161" t="inlineStr"/>
      <c r="AD1161" t="inlineStr">
        <is>
          <t>לא נמצא בסריקת המפיצים</t>
        </is>
      </c>
      <c r="AE1161" t="inlineStr">
        <is>
          <t>סריקת אתרי מפיצים</t>
        </is>
      </c>
      <c r="AG1161" t="inlineStr"/>
      <c r="AH1161" t="inlineStr"/>
      <c r="AJ1161" t="inlineStr"/>
      <c r="AP1161" t="inlineStr">
        <is>
          <t>https://www.thomassci.com/browse-by/suppliers/simple-green</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t>
        </is>
      </c>
      <c r="J1162" t="inlineStr"/>
      <c r="Y1162" t="inlineStr">
        <is>
          <t>unknown</t>
        </is>
      </c>
      <c r="Z1162" t="inlineStr"/>
      <c r="AA1162" t="inlineStr"/>
      <c r="AB1162" t="inlineStr"/>
      <c r="AC1162" t="inlineStr"/>
      <c r="AD1162" t="inlineStr">
        <is>
          <t>לא נמצא בסריקת המפיצים</t>
        </is>
      </c>
      <c r="AE1162" t="inlineStr">
        <is>
          <t>סריקת אתרי מפיצים</t>
        </is>
      </c>
      <c r="AG1162" t="inlineStr"/>
      <c r="AH1162" t="inlineStr"/>
      <c r="AJ1162" t="inlineStr"/>
      <c r="AP1162" t="inlineStr">
        <is>
          <t>https://www.thomassci.com/browse-by/suppliers/simple-solvents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https://simport.com.tr</t>
        </is>
      </c>
      <c r="I1163" t="inlineStr">
        <is>
          <t>clearbit</t>
        </is>
      </c>
      <c r="J1163" t="inlineStr"/>
      <c r="Y1163" t="inlineStr">
        <is>
          <t>unknown</t>
        </is>
      </c>
      <c r="Z1163" t="inlineStr"/>
      <c r="AA1163" t="inlineStr"/>
      <c r="AB1163" t="inlineStr"/>
      <c r="AC1163" t="inlineStr"/>
      <c r="AD1163" t="inlineStr">
        <is>
          <t>לא נמצא בסריקת המפיצים</t>
        </is>
      </c>
      <c r="AE1163" t="inlineStr">
        <is>
          <t>סריקת אתרי מפיצים</t>
        </is>
      </c>
      <c r="AG1163" t="inlineStr"/>
      <c r="AH1163" t="inlineStr"/>
      <c r="AJ1163" t="inlineStr"/>
      <c r="AP1163" t="inlineStr">
        <is>
          <t>https://www.dutscher.com/search?initialFilters=brand:Simport | https://www.thomassci.com/browse-by/suppliers/simport</t>
        </is>
      </c>
    </row>
    <row r="1164">
      <c r="A1164" t="n">
        <v>1163</v>
      </c>
      <c r="B1164" t="inlineStr">
        <is>
          <t>Sino Biological</t>
        </is>
      </c>
      <c r="C1164" t="inlineStr">
        <is>
          <t>Q</t>
        </is>
      </c>
      <c r="F1164" t="inlineStr">
        <is>
          <t>yes</t>
        </is>
      </c>
      <c r="H1164" t="inlineStr">
        <is>
          <t>https://sinobiological.com</t>
        </is>
      </c>
      <c r="I1164" t="inlineStr">
        <is>
          <t>clearbit</t>
        </is>
      </c>
      <c r="J1164" t="inlineStr"/>
      <c r="Y1164" t="inlineStr">
        <is>
          <t>unknown</t>
        </is>
      </c>
      <c r="Z1164" t="inlineStr"/>
      <c r="AA1164" t="inlineStr"/>
      <c r="AB1164" t="inlineStr"/>
      <c r="AC1164" t="inlineStr"/>
      <c r="AD1164" t="inlineStr">
        <is>
          <t>לא נמצא בסריקת המפיצים</t>
        </is>
      </c>
      <c r="AE1164" t="inlineStr">
        <is>
          <t>סריקת אתרי מפיצים</t>
        </is>
      </c>
      <c r="AG1164" t="inlineStr"/>
      <c r="AH1164" t="inlineStr"/>
      <c r="AJ1164" t="inlineStr"/>
      <c r="AP1164" t="inlineStr">
        <is>
          <t>https://www.quartzy.com/suppliers</t>
        </is>
      </c>
    </row>
    <row r="1165">
      <c r="A1165" t="n">
        <v>1164</v>
      </c>
      <c r="B1165" t="inlineStr">
        <is>
          <t>SKC</t>
        </is>
      </c>
      <c r="C1165" t="inlineStr">
        <is>
          <t>T+Q</t>
        </is>
      </c>
      <c r="E1165" t="inlineStr">
        <is>
          <t>https://www.thomassci.com/browse-by/suppliers/skc</t>
        </is>
      </c>
      <c r="F1165" t="inlineStr">
        <is>
          <t>yes</t>
        </is>
      </c>
      <c r="J1165" t="inlineStr"/>
      <c r="Y1165" t="inlineStr">
        <is>
          <t>unknown</t>
        </is>
      </c>
      <c r="Z1165" t="inlineStr"/>
      <c r="AA1165" t="inlineStr"/>
      <c r="AB1165" t="inlineStr"/>
      <c r="AC1165" t="inlineStr"/>
      <c r="AD1165" t="inlineStr">
        <is>
          <t>לא נמצא בסריקת המפיצים</t>
        </is>
      </c>
      <c r="AE1165" t="inlineStr">
        <is>
          <t>סריקת אתרי מפיצים</t>
        </is>
      </c>
      <c r="AG1165" t="inlineStr"/>
      <c r="AH1165" t="inlineStr"/>
      <c r="AJ1165" t="inlineStr"/>
      <c r="AP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H1166" t="inlineStr">
        <is>
          <t>https://sklarlaw.com</t>
        </is>
      </c>
      <c r="I1166" t="inlineStr">
        <is>
          <t>clearbit</t>
        </is>
      </c>
      <c r="J1166" t="inlineStr"/>
      <c r="Y1166" t="inlineStr">
        <is>
          <t>unknown</t>
        </is>
      </c>
      <c r="Z1166" t="inlineStr"/>
      <c r="AA1166" t="inlineStr"/>
      <c r="AB1166" t="inlineStr"/>
      <c r="AC1166" t="inlineStr"/>
      <c r="AD1166" t="inlineStr">
        <is>
          <t>לא נמצא בסריקת המפיצים</t>
        </is>
      </c>
      <c r="AE1166" t="inlineStr">
        <is>
          <t>סריקת אתרי מפיצים</t>
        </is>
      </c>
      <c r="AG1166" t="inlineStr"/>
      <c r="AH1166" t="inlineStr"/>
      <c r="AJ1166" t="inlineStr"/>
      <c r="AP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https://slicelife.com</t>
        </is>
      </c>
      <c r="I1167" t="inlineStr">
        <is>
          <t>clearbit</t>
        </is>
      </c>
      <c r="J1167" t="inlineStr"/>
      <c r="Y1167" t="inlineStr">
        <is>
          <t>unknown</t>
        </is>
      </c>
      <c r="Z1167" t="inlineStr"/>
      <c r="AA1167" t="inlineStr"/>
      <c r="AB1167" t="inlineStr"/>
      <c r="AC1167" t="inlineStr"/>
      <c r="AD1167" t="inlineStr">
        <is>
          <t>לא נמצא בסריקת המפיצים</t>
        </is>
      </c>
      <c r="AE1167" t="inlineStr">
        <is>
          <t>סריקת אתרי מפיצים</t>
        </is>
      </c>
      <c r="AG1167" t="inlineStr"/>
      <c r="AH1167" t="inlineStr"/>
      <c r="AJ1167" t="inlineStr"/>
      <c r="AP1167" t="inlineStr">
        <is>
          <t>https://www.thomassci.com/browse-by/suppliers/slice</t>
        </is>
      </c>
    </row>
    <row r="1168">
      <c r="A1168" t="n">
        <v>1167</v>
      </c>
      <c r="B1168" t="inlineStr">
        <is>
          <t>Slingshot Biosciences</t>
        </is>
      </c>
      <c r="C1168" t="inlineStr">
        <is>
          <t>Q</t>
        </is>
      </c>
      <c r="F1168" t="inlineStr">
        <is>
          <t>yes</t>
        </is>
      </c>
      <c r="J1168" t="inlineStr"/>
      <c r="Y1168" t="inlineStr">
        <is>
          <t>unknown</t>
        </is>
      </c>
      <c r="Z1168" t="inlineStr"/>
      <c r="AA1168" t="inlineStr"/>
      <c r="AB1168" t="inlineStr"/>
      <c r="AC1168" t="inlineStr"/>
      <c r="AD1168" t="inlineStr">
        <is>
          <t>לא נמצא בסריקת המפיצים</t>
        </is>
      </c>
      <c r="AE1168" t="inlineStr">
        <is>
          <t>סריקת אתרי מפיצים</t>
        </is>
      </c>
      <c r="AG1168" t="inlineStr"/>
      <c r="AH1168" t="inlineStr"/>
      <c r="AJ1168" t="inlineStr"/>
      <c r="AP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t>
        </is>
      </c>
      <c r="J1169" t="inlineStr"/>
      <c r="O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Y1169" t="inlineStr">
        <is>
          <t>unknown</t>
        </is>
      </c>
      <c r="Z1169" t="inlineStr"/>
      <c r="AA1169" t="inlineStr"/>
      <c r="AB1169" t="inlineStr"/>
      <c r="AC1169" t="inlineStr"/>
      <c r="AD1169" t="inlineStr">
        <is>
          <t>לא נמצא בסריקת המפיצים</t>
        </is>
      </c>
      <c r="AE1169" t="inlineStr">
        <is>
          <t>סריקת אתרי מפיצים</t>
        </is>
      </c>
      <c r="AG1169" t="inlineStr"/>
      <c r="AH1169" t="inlineStr"/>
      <c r="AJ1169" t="inlineStr"/>
      <c r="AP1169" t="inlineStr">
        <is>
          <t>https://info.quartzy.com/new-suppliers</t>
        </is>
      </c>
    </row>
    <row r="1170">
      <c r="A1170" t="n">
        <v>1169</v>
      </c>
      <c r="B1170" t="inlineStr">
        <is>
          <t>SLS</t>
        </is>
      </c>
      <c r="C1170" t="inlineStr">
        <is>
          <t>D</t>
        </is>
      </c>
      <c r="D1170" t="inlineStr">
        <is>
          <t>https://www.dutscher.com/search?initialFilters=brand:SLS</t>
        </is>
      </c>
      <c r="F1170" t="inlineStr"/>
      <c r="J1170" t="inlineStr"/>
      <c r="Y1170" t="inlineStr">
        <is>
          <t>unknown</t>
        </is>
      </c>
      <c r="Z1170" t="inlineStr"/>
      <c r="AA1170" t="inlineStr"/>
      <c r="AB1170" t="inlineStr"/>
      <c r="AC1170" t="inlineStr"/>
      <c r="AD1170" t="inlineStr">
        <is>
          <t>לא נמצא בסריקת המפיצים</t>
        </is>
      </c>
      <c r="AE1170" t="inlineStr">
        <is>
          <t>סריקת אתרי מפיצים</t>
        </is>
      </c>
      <c r="AG1170" t="inlineStr"/>
      <c r="AH1170" t="inlineStr"/>
      <c r="AJ1170" t="inlineStr"/>
      <c r="AP1170" t="inlineStr">
        <is>
          <t>https://www.dutscher.com/search?initialFilters=brand:SLS</t>
        </is>
      </c>
    </row>
    <row r="1171">
      <c r="A1171" t="n">
        <v>1170</v>
      </c>
      <c r="B1171" t="inlineStr">
        <is>
          <t>Small Precision Tools</t>
        </is>
      </c>
      <c r="C1171" t="inlineStr">
        <is>
          <t>T</t>
        </is>
      </c>
      <c r="E1171" t="inlineStr">
        <is>
          <t>https://www.thomassci.com/browse-by/suppliers/small-precision-tools</t>
        </is>
      </c>
      <c r="F1171" t="inlineStr"/>
      <c r="J1171" t="inlineStr"/>
      <c r="Y1171" t="inlineStr">
        <is>
          <t>unknown</t>
        </is>
      </c>
      <c r="Z1171" t="inlineStr"/>
      <c r="AA1171" t="inlineStr"/>
      <c r="AB1171" t="inlineStr"/>
      <c r="AC1171" t="inlineStr"/>
      <c r="AD1171" t="inlineStr">
        <is>
          <t>לא נמצא בסריקת המפיצים</t>
        </is>
      </c>
      <c r="AE1171" t="inlineStr">
        <is>
          <t>סריקת אתרי מפיצים</t>
        </is>
      </c>
      <c r="AG1171" t="inlineStr"/>
      <c r="AH1171" t="inlineStr"/>
      <c r="AJ1171" t="inlineStr"/>
      <c r="AP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t>
        </is>
      </c>
      <c r="J1172" t="inlineStr"/>
      <c r="Y1172" t="inlineStr">
        <is>
          <t>unknown</t>
        </is>
      </c>
      <c r="Z1172" t="inlineStr"/>
      <c r="AA1172" t="inlineStr"/>
      <c r="AB1172" t="inlineStr"/>
      <c r="AC1172" t="inlineStr"/>
      <c r="AD1172" t="inlineStr">
        <is>
          <t>לא נמצא בסריקת המפיצים</t>
        </is>
      </c>
      <c r="AE1172" t="inlineStr">
        <is>
          <t>סריקת אתרי מפיצים</t>
        </is>
      </c>
      <c r="AG1172" t="inlineStr"/>
      <c r="AH1172" t="inlineStr"/>
      <c r="AJ1172" t="inlineStr"/>
      <c r="AP1172" t="inlineStr">
        <is>
          <t>https://www.thomassci.com/browse-by/suppliers/smartstack</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t>
        </is>
      </c>
      <c r="J1173" t="inlineStr"/>
      <c r="Y1173" t="inlineStr">
        <is>
          <t>unknown</t>
        </is>
      </c>
      <c r="Z1173" t="inlineStr"/>
      <c r="AA1173" t="inlineStr"/>
      <c r="AB1173" t="inlineStr"/>
      <c r="AC1173" t="inlineStr"/>
      <c r="AD1173" t="inlineStr">
        <is>
          <t>לא נמצא בסריקת המפיצים</t>
        </is>
      </c>
      <c r="AE1173" t="inlineStr">
        <is>
          <t>סריקת אתרי מפיצים</t>
        </is>
      </c>
      <c r="AG1173" t="inlineStr"/>
      <c r="AH1173" t="inlineStr"/>
      <c r="AJ1173" t="inlineStr"/>
      <c r="AP1173" t="inlineStr">
        <is>
          <t>https://www.thomassci.com/browse-by/suppliers/smith-and-nephew</t>
        </is>
      </c>
    </row>
    <row r="1174">
      <c r="A1174" t="n">
        <v>1173</v>
      </c>
      <c r="B1174" t="inlineStr">
        <is>
          <t>Smith Ecological Systems</t>
        </is>
      </c>
      <c r="C1174" t="inlineStr">
        <is>
          <t>T</t>
        </is>
      </c>
      <c r="E1174" t="inlineStr">
        <is>
          <t>https://www.thomassci.com/browse-by/suppliers/smith-ecological-systems</t>
        </is>
      </c>
      <c r="F1174" t="inlineStr"/>
      <c r="H1174" t="inlineStr">
        <is>
          <t>https://smithecological.com</t>
        </is>
      </c>
      <c r="I1174" t="inlineStr">
        <is>
          <t>clearbit</t>
        </is>
      </c>
      <c r="J1174" t="inlineStr"/>
      <c r="Y1174" t="inlineStr">
        <is>
          <t>unknown</t>
        </is>
      </c>
      <c r="Z1174" t="inlineStr"/>
      <c r="AA1174" t="inlineStr"/>
      <c r="AB1174" t="inlineStr"/>
      <c r="AC1174" t="inlineStr"/>
      <c r="AD1174" t="inlineStr">
        <is>
          <t>לא נמצא בסריקת המפיצים</t>
        </is>
      </c>
      <c r="AE1174" t="inlineStr">
        <is>
          <t>סריקת אתרי מפיצים</t>
        </is>
      </c>
      <c r="AG1174" t="inlineStr"/>
      <c r="AH1174" t="inlineStr"/>
      <c r="AJ1174" t="inlineStr"/>
      <c r="AP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Y1175" t="inlineStr">
        <is>
          <t>unknown</t>
        </is>
      </c>
      <c r="Z1175" t="inlineStr"/>
      <c r="AA1175" t="inlineStr"/>
      <c r="AB1175" t="inlineStr"/>
      <c r="AC1175" t="inlineStr"/>
      <c r="AD1175" t="inlineStr">
        <is>
          <t>לא נמצא בסריקת המפיצים</t>
        </is>
      </c>
      <c r="AE1175" t="inlineStr">
        <is>
          <t>סריקת אתרי מפיצים</t>
        </is>
      </c>
      <c r="AG1175" t="inlineStr"/>
      <c r="AH1175" t="inlineStr"/>
      <c r="AJ1175" t="inlineStr"/>
      <c r="AP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H1176" t="inlineStr">
        <is>
          <t>https://solow.nl</t>
        </is>
      </c>
      <c r="I1176" t="inlineStr">
        <is>
          <t>clearbit</t>
        </is>
      </c>
      <c r="J1176" t="inlineStr"/>
      <c r="Y1176" t="inlineStr">
        <is>
          <t>unknown</t>
        </is>
      </c>
      <c r="Z1176" t="inlineStr"/>
      <c r="AA1176" t="inlineStr"/>
      <c r="AB1176" t="inlineStr"/>
      <c r="AC1176" t="inlineStr"/>
      <c r="AD1176" t="inlineStr">
        <is>
          <t>לא נמצא בסריקת המפיצים</t>
        </is>
      </c>
      <c r="AE1176" t="inlineStr">
        <is>
          <t>סריקת אתרי מפיצים</t>
        </is>
      </c>
      <c r="AG1176" t="inlineStr"/>
      <c r="AH1176" t="inlineStr"/>
      <c r="AJ1176" t="inlineStr"/>
      <c r="AP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t>
        </is>
      </c>
      <c r="J1177" t="inlineStr">
        <is>
          <t>צרפת</t>
        </is>
      </c>
      <c r="M1177" t="inlineStr">
        <is>
          <t>2007</t>
        </is>
      </c>
      <c r="Y1177" t="inlineStr">
        <is>
          <t>unknown</t>
        </is>
      </c>
      <c r="Z1177" t="inlineStr"/>
      <c r="AA1177" t="inlineStr"/>
      <c r="AB1177" t="inlineStr"/>
      <c r="AC1177" t="inlineStr"/>
      <c r="AD1177" t="inlineStr">
        <is>
          <t>לא נמצא בסריקת המפיצים</t>
        </is>
      </c>
      <c r="AE1177" t="inlineStr">
        <is>
          <t>סריקת אתרי מפיצים</t>
        </is>
      </c>
      <c r="AG1177" t="inlineStr"/>
      <c r="AH1177" t="inlineStr"/>
      <c r="AJ1177" t="inlineStr"/>
      <c r="AO1177" t="inlineStr">
        <is>
          <t>Q112202793</t>
        </is>
      </c>
      <c r="AP1177" t="inlineStr">
        <is>
          <t>https://www.dutscher.com/search?initialFilters=brand:Socorex | https://www.thomassci.com/browse-by/suppliers/socorex | https://www.wikidata.org/wiki/Q112202793</t>
        </is>
      </c>
    </row>
    <row r="1178">
      <c r="A1178" t="n">
        <v>1177</v>
      </c>
      <c r="B1178" t="inlineStr">
        <is>
          <t>Softbox Systems Inc.</t>
        </is>
      </c>
      <c r="C1178" t="inlineStr">
        <is>
          <t>T</t>
        </is>
      </c>
      <c r="E1178" t="inlineStr">
        <is>
          <t>https://www.thomassci.com/browse-by/suppliers/softbox-systems-inc-</t>
        </is>
      </c>
      <c r="F1178" t="inlineStr"/>
      <c r="J1178" t="inlineStr"/>
      <c r="Y1178" t="inlineStr">
        <is>
          <t>unknown</t>
        </is>
      </c>
      <c r="Z1178" t="inlineStr"/>
      <c r="AA1178" t="inlineStr"/>
      <c r="AB1178" t="inlineStr"/>
      <c r="AC1178" t="inlineStr"/>
      <c r="AD1178" t="inlineStr">
        <is>
          <t>לא נמצא בסריקת המפיצים</t>
        </is>
      </c>
      <c r="AE1178" t="inlineStr">
        <is>
          <t>סריקת אתרי מפיצים</t>
        </is>
      </c>
      <c r="AG1178" t="inlineStr"/>
      <c r="AH1178" t="inlineStr"/>
      <c r="AJ1178" t="inlineStr"/>
      <c r="AP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Y1179" t="inlineStr">
        <is>
          <t>unknown</t>
        </is>
      </c>
      <c r="Z1179" t="inlineStr"/>
      <c r="AA1179" t="inlineStr"/>
      <c r="AB1179" t="inlineStr"/>
      <c r="AC1179" t="inlineStr"/>
      <c r="AD1179" t="inlineStr">
        <is>
          <t>לא נמצא בסריקת המפיצים</t>
        </is>
      </c>
      <c r="AE1179" t="inlineStr">
        <is>
          <t>סריקת אתרי מפיצים</t>
        </is>
      </c>
      <c r="AG1179" t="inlineStr"/>
      <c r="AH1179" t="inlineStr"/>
      <c r="AJ1179" t="inlineStr"/>
      <c r="AP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Y1180" t="inlineStr">
        <is>
          <t>unknown</t>
        </is>
      </c>
      <c r="Z1180" t="inlineStr"/>
      <c r="AA1180" t="inlineStr"/>
      <c r="AB1180" t="inlineStr"/>
      <c r="AC1180" t="inlineStr"/>
      <c r="AD1180" t="inlineStr">
        <is>
          <t>לא נמצא בסריקת המפיצים</t>
        </is>
      </c>
      <c r="AE1180" t="inlineStr">
        <is>
          <t>סריקת אתרי מפיצים</t>
        </is>
      </c>
      <c r="AG1180" t="inlineStr"/>
      <c r="AH1180" t="inlineStr"/>
      <c r="AJ1180" t="inlineStr"/>
      <c r="AO1180" t="inlineStr">
        <is>
          <t>Q131668935</t>
        </is>
      </c>
      <c r="AP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Y1181" t="inlineStr">
        <is>
          <t>unknown</t>
        </is>
      </c>
      <c r="Z1181" t="inlineStr"/>
      <c r="AA1181" t="inlineStr"/>
      <c r="AB1181" t="inlineStr"/>
      <c r="AC1181" t="inlineStr"/>
      <c r="AD1181" t="inlineStr">
        <is>
          <t>לא נמצא בסריקת המפיצים</t>
        </is>
      </c>
      <c r="AE1181" t="inlineStr">
        <is>
          <t>סריקת אתרי מפיצים</t>
        </is>
      </c>
      <c r="AG1181" t="inlineStr"/>
      <c r="AH1181" t="inlineStr"/>
      <c r="AJ1181" t="inlineStr"/>
      <c r="AP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Y1182" t="inlineStr">
        <is>
          <t>unknown</t>
        </is>
      </c>
      <c r="Z1182" t="inlineStr"/>
      <c r="AA1182" t="inlineStr"/>
      <c r="AB1182" t="inlineStr"/>
      <c r="AC1182" t="inlineStr"/>
      <c r="AD1182" t="inlineStr">
        <is>
          <t>לא נמצא בסריקת המפיצים</t>
        </is>
      </c>
      <c r="AE1182" t="inlineStr">
        <is>
          <t>סריקת אתרי מפיצים</t>
        </is>
      </c>
      <c r="AG1182" t="inlineStr"/>
      <c r="AH1182" t="inlineStr"/>
      <c r="AJ1182" t="inlineStr"/>
      <c r="AP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t>
        </is>
      </c>
      <c r="J1183" t="inlineStr"/>
      <c r="Y1183" t="inlineStr">
        <is>
          <t>unknown</t>
        </is>
      </c>
      <c r="Z1183" t="inlineStr"/>
      <c r="AA1183" t="inlineStr"/>
      <c r="AB1183" t="inlineStr"/>
      <c r="AC1183" t="inlineStr"/>
      <c r="AD1183" t="inlineStr">
        <is>
          <t>לא נמצא בסריקת המפיצים</t>
        </is>
      </c>
      <c r="AE1183" t="inlineStr">
        <is>
          <t>סריקת אתרי מפיצים</t>
        </is>
      </c>
      <c r="AG1183" t="inlineStr"/>
      <c r="AH1183" t="inlineStr"/>
      <c r="AJ1183" t="inlineStr"/>
      <c r="AP1183" t="inlineStr">
        <is>
          <t>https://www.dutscher.com/search?initialFilters=brand:Solis+Biodyne</t>
        </is>
      </c>
    </row>
    <row r="1184">
      <c r="A1184" t="n">
        <v>1183</v>
      </c>
      <c r="B1184" t="inlineStr">
        <is>
          <t>Solstice</t>
        </is>
      </c>
      <c r="C1184" t="inlineStr">
        <is>
          <t>D</t>
        </is>
      </c>
      <c r="D1184" t="inlineStr">
        <is>
          <t>https://www.dutscher.com/search?initialFilters=brand:Solstice</t>
        </is>
      </c>
      <c r="F1184" t="inlineStr"/>
      <c r="H1184" t="inlineStr">
        <is>
          <t>https://solstice.us</t>
        </is>
      </c>
      <c r="I1184" t="inlineStr">
        <is>
          <t>clearbit</t>
        </is>
      </c>
      <c r="J1184" t="inlineStr"/>
      <c r="Y1184" t="inlineStr">
        <is>
          <t>unknown</t>
        </is>
      </c>
      <c r="Z1184" t="inlineStr"/>
      <c r="AA1184" t="inlineStr"/>
      <c r="AB1184" t="inlineStr"/>
      <c r="AC1184" t="inlineStr"/>
      <c r="AD1184" t="inlineStr">
        <is>
          <t>לא נמצא בסריקת המפיצים</t>
        </is>
      </c>
      <c r="AE1184" t="inlineStr">
        <is>
          <t>סריקת אתרי מפיצים</t>
        </is>
      </c>
      <c r="AG1184" t="inlineStr"/>
      <c r="AH1184" t="inlineStr"/>
      <c r="AJ1184" t="inlineStr"/>
      <c r="AP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Y1185" t="inlineStr">
        <is>
          <t>unknown</t>
        </is>
      </c>
      <c r="Z1185" t="inlineStr"/>
      <c r="AA1185" t="inlineStr"/>
      <c r="AB1185" t="inlineStr"/>
      <c r="AC1185" t="inlineStr"/>
      <c r="AD1185" t="inlineStr">
        <is>
          <t>לא נמצא בסריקת המפיצים</t>
        </is>
      </c>
      <c r="AE1185" t="inlineStr">
        <is>
          <t>סריקת אתרי מפיצים</t>
        </is>
      </c>
      <c r="AG1185" t="inlineStr"/>
      <c r="AH1185" t="inlineStr"/>
      <c r="AJ1185" t="inlineStr"/>
      <c r="AP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t>
        </is>
      </c>
      <c r="J1186" t="inlineStr"/>
      <c r="Y1186" t="inlineStr">
        <is>
          <t>unknown</t>
        </is>
      </c>
      <c r="Z1186" t="inlineStr"/>
      <c r="AA1186" t="inlineStr"/>
      <c r="AB1186" t="inlineStr"/>
      <c r="AC1186" t="inlineStr"/>
      <c r="AD1186" t="inlineStr">
        <is>
          <t>לא נמצא בסריקת המפיצים</t>
        </is>
      </c>
      <c r="AE1186" t="inlineStr">
        <is>
          <t>סריקת אתרי מפיצים</t>
        </is>
      </c>
      <c r="AG1186" t="inlineStr"/>
      <c r="AH1186" t="inlineStr"/>
      <c r="AJ1186" t="inlineStr"/>
      <c r="AP1186" t="inlineStr">
        <is>
          <t>https://www.thomassci.com/browse-by/suppliers/sonics-and-materials</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t>
        </is>
      </c>
      <c r="J1187" t="inlineStr"/>
      <c r="Y1187" t="inlineStr">
        <is>
          <t>unknown</t>
        </is>
      </c>
      <c r="Z1187" t="inlineStr"/>
      <c r="AA1187" t="inlineStr"/>
      <c r="AB1187" t="inlineStr"/>
      <c r="AC1187" t="inlineStr"/>
      <c r="AD1187" t="inlineStr">
        <is>
          <t>לא נמצא בסריקת המפיצים</t>
        </is>
      </c>
      <c r="AE1187" t="inlineStr">
        <is>
          <t>סריקת אתרי מפיצים</t>
        </is>
      </c>
      <c r="AG1187" t="inlineStr"/>
      <c r="AH1187" t="inlineStr"/>
      <c r="AJ1187" t="inlineStr"/>
      <c r="AP1187" t="inlineStr">
        <is>
          <t>https://www.thomassci.com/browse-by/suppliers/sonoco</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t>
        </is>
      </c>
      <c r="J1188" t="inlineStr"/>
      <c r="Y1188" t="inlineStr">
        <is>
          <t>unknown</t>
        </is>
      </c>
      <c r="Z1188" t="inlineStr"/>
      <c r="AA1188" t="inlineStr"/>
      <c r="AB1188" t="inlineStr"/>
      <c r="AC1188" t="inlineStr"/>
      <c r="AD1188" t="inlineStr">
        <is>
          <t>לא נמצא בסריקת המפיצים</t>
        </is>
      </c>
      <c r="AE1188" t="inlineStr">
        <is>
          <t>סריקת אתרי מפיצים</t>
        </is>
      </c>
      <c r="AG1188" t="inlineStr"/>
      <c r="AH1188" t="inlineStr"/>
      <c r="AJ1188" t="inlineStr"/>
      <c r="AP1188" t="inlineStr">
        <is>
          <t>https://www.thomassci.com/browse-by/suppliers/sorenson</t>
        </is>
      </c>
    </row>
    <row r="1189">
      <c r="A1189" t="n">
        <v>1188</v>
      </c>
      <c r="B1189" t="inlineStr">
        <is>
          <t>Sorifa</t>
        </is>
      </c>
      <c r="C1189" t="inlineStr">
        <is>
          <t>D</t>
        </is>
      </c>
      <c r="D1189" t="inlineStr">
        <is>
          <t>https://www.dutscher.com/search?initialFilters=brand:Sorifa</t>
        </is>
      </c>
      <c r="F1189" t="inlineStr"/>
      <c r="H1189" t="inlineStr">
        <is>
          <t>https://sorifav.com</t>
        </is>
      </c>
      <c r="I1189" t="inlineStr">
        <is>
          <t>clearbit</t>
        </is>
      </c>
      <c r="J1189" t="inlineStr"/>
      <c r="Y1189" t="inlineStr">
        <is>
          <t>unknown</t>
        </is>
      </c>
      <c r="Z1189" t="inlineStr"/>
      <c r="AA1189" t="inlineStr"/>
      <c r="AB1189" t="inlineStr"/>
      <c r="AC1189" t="inlineStr"/>
      <c r="AD1189" t="inlineStr">
        <is>
          <t>לא נמצא בסריקת המפיצים</t>
        </is>
      </c>
      <c r="AE1189" t="inlineStr">
        <is>
          <t>סריקת אתרי מפיצים</t>
        </is>
      </c>
      <c r="AG1189" t="inlineStr"/>
      <c r="AH1189" t="inlineStr"/>
      <c r="AJ1189" t="inlineStr"/>
      <c r="AP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Y1190" t="inlineStr">
        <is>
          <t>unknown</t>
        </is>
      </c>
      <c r="Z1190" t="inlineStr"/>
      <c r="AA1190" t="inlineStr"/>
      <c r="AB1190" t="inlineStr"/>
      <c r="AC1190" t="inlineStr"/>
      <c r="AD1190" t="inlineStr">
        <is>
          <t>לא נמצא בסריקת המפיצים</t>
        </is>
      </c>
      <c r="AE1190" t="inlineStr">
        <is>
          <t>סריקת אתרי מפיצים</t>
        </is>
      </c>
      <c r="AG1190" t="inlineStr"/>
      <c r="AH1190" t="inlineStr"/>
      <c r="AJ1190" t="inlineStr"/>
      <c r="AP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t>
        </is>
      </c>
      <c r="J1191" t="inlineStr"/>
      <c r="O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Y1191" t="inlineStr">
        <is>
          <t>unknown</t>
        </is>
      </c>
      <c r="Z1191" t="inlineStr"/>
      <c r="AA1191" t="inlineStr"/>
      <c r="AB1191" t="inlineStr"/>
      <c r="AC1191" t="inlineStr"/>
      <c r="AD1191" t="inlineStr">
        <is>
          <t>לא נמצא בסריקת המפיצים</t>
        </is>
      </c>
      <c r="AE1191" t="inlineStr">
        <is>
          <t>סריקת אתרי מפיצים</t>
        </is>
      </c>
      <c r="AG1191" t="inlineStr"/>
      <c r="AH1191" t="inlineStr"/>
      <c r="AJ1191" t="inlineStr"/>
      <c r="AP1191" t="inlineStr">
        <is>
          <t>https://info.quartzy.com/new-suppliers | https://www.thomassci.com/browse-by/suppliers/sp-bel-art</t>
        </is>
      </c>
    </row>
    <row r="1192">
      <c r="A1192" t="n">
        <v>1191</v>
      </c>
      <c r="B1192" t="inlineStr">
        <is>
          <t>SP Wilmad-LabGlass</t>
        </is>
      </c>
      <c r="C1192" t="inlineStr">
        <is>
          <t>T</t>
        </is>
      </c>
      <c r="E1192" t="inlineStr">
        <is>
          <t>https://www.thomassci.com/browse-by/suppliers/sp-wilmad-labglass</t>
        </is>
      </c>
      <c r="F1192" t="inlineStr"/>
      <c r="J1192" t="inlineStr"/>
      <c r="Y1192" t="inlineStr">
        <is>
          <t>unknown</t>
        </is>
      </c>
      <c r="Z1192" t="inlineStr"/>
      <c r="AA1192" t="inlineStr"/>
      <c r="AB1192" t="inlineStr"/>
      <c r="AC1192" t="inlineStr"/>
      <c r="AD1192" t="inlineStr">
        <is>
          <t>לא נמצא בסריקת המפיצים</t>
        </is>
      </c>
      <c r="AE1192" t="inlineStr">
        <is>
          <t>סריקת אתרי מפיצים</t>
        </is>
      </c>
      <c r="AG1192" t="inlineStr"/>
      <c r="AH1192" t="inlineStr"/>
      <c r="AJ1192" t="inlineStr"/>
      <c r="AP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t>
        </is>
      </c>
      <c r="J1193" t="inlineStr"/>
      <c r="Y1193" t="inlineStr">
        <is>
          <t>unknown</t>
        </is>
      </c>
      <c r="Z1193" t="inlineStr"/>
      <c r="AA1193" t="inlineStr"/>
      <c r="AB1193" t="inlineStr"/>
      <c r="AC1193" t="inlineStr"/>
      <c r="AD1193" t="inlineStr">
        <is>
          <t>לא נמצא בסריקת המפיצים</t>
        </is>
      </c>
      <c r="AE1193" t="inlineStr">
        <is>
          <t>סריקת אתרי מפיצים</t>
        </is>
      </c>
      <c r="AG1193" t="inlineStr"/>
      <c r="AH1193" t="inlineStr"/>
      <c r="AJ1193" t="inlineStr"/>
      <c r="AP1193" t="inlineStr">
        <is>
          <t>https://www.thomassci.com/browse-by/suppliers/specac</t>
        </is>
      </c>
    </row>
    <row r="1194">
      <c r="A1194" t="n">
        <v>1193</v>
      </c>
      <c r="B1194" t="inlineStr">
        <is>
          <t>Spectronics</t>
        </is>
      </c>
      <c r="C1194" t="inlineStr">
        <is>
          <t>T</t>
        </is>
      </c>
      <c r="E1194" t="inlineStr">
        <is>
          <t>https://www.thomassci.com/browse-by/suppliers/spectronics</t>
        </is>
      </c>
      <c r="F1194" t="inlineStr"/>
      <c r="H1194" t="inlineStr">
        <is>
          <t>https://spectronics.com.au</t>
        </is>
      </c>
      <c r="I1194" t="inlineStr">
        <is>
          <t>clearbit</t>
        </is>
      </c>
      <c r="J1194" t="inlineStr"/>
      <c r="Y1194" t="inlineStr">
        <is>
          <t>unknown</t>
        </is>
      </c>
      <c r="Z1194" t="inlineStr"/>
      <c r="AA1194" t="inlineStr"/>
      <c r="AB1194" t="inlineStr"/>
      <c r="AC1194" t="inlineStr"/>
      <c r="AD1194" t="inlineStr">
        <is>
          <t>לא נמצא בסריקת המפיצים</t>
        </is>
      </c>
      <c r="AE1194" t="inlineStr">
        <is>
          <t>סריקת אתרי מפיצים</t>
        </is>
      </c>
      <c r="AG1194" t="inlineStr"/>
      <c r="AH1194" t="inlineStr"/>
      <c r="AJ1194" t="inlineStr"/>
      <c r="AP1194" t="inlineStr">
        <is>
          <t>https://www.thomassci.com/browse-by/suppliers/spectronics</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Y1195" t="inlineStr">
        <is>
          <t>unknown</t>
        </is>
      </c>
      <c r="Z1195" t="inlineStr"/>
      <c r="AA1195" t="inlineStr"/>
      <c r="AB1195" t="inlineStr"/>
      <c r="AC1195" t="inlineStr"/>
      <c r="AD1195" t="inlineStr">
        <is>
          <t>לא נמצא בסריקת המפיצים</t>
        </is>
      </c>
      <c r="AE1195" t="inlineStr">
        <is>
          <t>סריקת אתרי מפיצים</t>
        </is>
      </c>
      <c r="AG1195" t="inlineStr"/>
      <c r="AH1195" t="inlineStr"/>
      <c r="AJ1195" t="inlineStr"/>
      <c r="AP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https://spectrumchemicals.net</t>
        </is>
      </c>
      <c r="I1196" t="inlineStr">
        <is>
          <t>clearbit</t>
        </is>
      </c>
      <c r="J1196" t="inlineStr"/>
      <c r="Y1196" t="inlineStr">
        <is>
          <t>unknown</t>
        </is>
      </c>
      <c r="Z1196" t="inlineStr"/>
      <c r="AA1196" t="inlineStr"/>
      <c r="AB1196" t="inlineStr"/>
      <c r="AC1196" t="inlineStr"/>
      <c r="AD1196" t="inlineStr">
        <is>
          <t>לא נמצא בסריקת המפיצים</t>
        </is>
      </c>
      <c r="AE1196" t="inlineStr">
        <is>
          <t>סריקת אתרי מפיצים</t>
        </is>
      </c>
      <c r="AG1196" t="inlineStr"/>
      <c r="AH1196" t="inlineStr"/>
      <c r="AJ1196" t="inlineStr"/>
      <c r="AP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H1197" t="inlineStr">
        <is>
          <t>https://spectrummedia-boston.com</t>
        </is>
      </c>
      <c r="I1197" t="inlineStr">
        <is>
          <t>clearbit</t>
        </is>
      </c>
      <c r="J1197" t="inlineStr"/>
      <c r="Y1197" t="inlineStr">
        <is>
          <t>unknown</t>
        </is>
      </c>
      <c r="Z1197" t="inlineStr"/>
      <c r="AA1197" t="inlineStr"/>
      <c r="AB1197" t="inlineStr"/>
      <c r="AC1197" t="inlineStr"/>
      <c r="AD1197" t="inlineStr">
        <is>
          <t>לא נמצא בסריקת המפיצים</t>
        </is>
      </c>
      <c r="AE1197" t="inlineStr">
        <is>
          <t>סריקת אתרי מפיצים</t>
        </is>
      </c>
      <c r="AG1197" t="inlineStr"/>
      <c r="AH1197" t="inlineStr"/>
      <c r="AJ1197" t="inlineStr"/>
      <c r="AP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t>
        </is>
      </c>
      <c r="J1198" t="inlineStr"/>
      <c r="Y1198" t="inlineStr">
        <is>
          <t>unknown</t>
        </is>
      </c>
      <c r="Z1198" t="inlineStr"/>
      <c r="AA1198" t="inlineStr"/>
      <c r="AB1198" t="inlineStr"/>
      <c r="AC1198" t="inlineStr"/>
      <c r="AD1198" t="inlineStr">
        <is>
          <t>לא נמצא בסריקת המפיצים</t>
        </is>
      </c>
      <c r="AE1198" t="inlineStr">
        <is>
          <t>סריקת אתרי מפיצים</t>
        </is>
      </c>
      <c r="AG1198" t="inlineStr"/>
      <c r="AH1198" t="inlineStr"/>
      <c r="AJ1198" t="inlineStr"/>
      <c r="AP1198" t="inlineStr">
        <is>
          <t>https://www.thomassci.com/browse-by/suppliers/sper-scientific</t>
        </is>
      </c>
    </row>
    <row r="1199">
      <c r="A1199" t="n">
        <v>1198</v>
      </c>
      <c r="B1199" t="inlineStr">
        <is>
          <t>Sperian</t>
        </is>
      </c>
      <c r="C1199" t="inlineStr">
        <is>
          <t>T</t>
        </is>
      </c>
      <c r="E1199" t="inlineStr">
        <is>
          <t>https://www.thomassci.com/browse-by/suppliers/sperian</t>
        </is>
      </c>
      <c r="F1199" t="inlineStr"/>
      <c r="J1199" t="inlineStr"/>
      <c r="Y1199" t="inlineStr">
        <is>
          <t>unknown</t>
        </is>
      </c>
      <c r="Z1199" t="inlineStr"/>
      <c r="AA1199" t="inlineStr"/>
      <c r="AB1199" t="inlineStr"/>
      <c r="AC1199" t="inlineStr"/>
      <c r="AD1199" t="inlineStr">
        <is>
          <t>לא נמצא בסריקת המפיצים</t>
        </is>
      </c>
      <c r="AE1199" t="inlineStr">
        <is>
          <t>סריקת אתרי מפיצים</t>
        </is>
      </c>
      <c r="AG1199" t="inlineStr"/>
      <c r="AH1199" t="inlineStr"/>
      <c r="AJ1199" t="inlineStr"/>
      <c r="AP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Y1200" t="inlineStr">
        <is>
          <t>unknown</t>
        </is>
      </c>
      <c r="Z1200" t="inlineStr"/>
      <c r="AA1200" t="inlineStr"/>
      <c r="AB1200" t="inlineStr"/>
      <c r="AC1200" t="inlineStr"/>
      <c r="AD1200" t="inlineStr">
        <is>
          <t>לא נמצא בסריקת המפיצים</t>
        </is>
      </c>
      <c r="AE1200" t="inlineStr">
        <is>
          <t>סריקת אתרי מפיצים</t>
        </is>
      </c>
      <c r="AG1200" t="inlineStr"/>
      <c r="AH1200" t="inlineStr"/>
      <c r="AJ1200" t="inlineStr"/>
      <c r="AP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t>
        </is>
      </c>
      <c r="J1201" t="inlineStr"/>
      <c r="Y1201" t="inlineStr">
        <is>
          <t>unknown</t>
        </is>
      </c>
      <c r="Z1201" t="inlineStr"/>
      <c r="AA1201" t="inlineStr"/>
      <c r="AB1201" t="inlineStr"/>
      <c r="AC1201" t="inlineStr"/>
      <c r="AD1201" t="inlineStr">
        <is>
          <t>לא נמצא בסריקת המפיצים</t>
        </is>
      </c>
      <c r="AE1201" t="inlineStr">
        <is>
          <t>סריקת אתרי מפיצים</t>
        </is>
      </c>
      <c r="AG1201" t="inlineStr"/>
      <c r="AH1201" t="inlineStr"/>
      <c r="AJ1201" t="inlineStr"/>
      <c r="AP1201" t="inlineStr">
        <is>
          <t>https://www.quartzy.com/suppliers | https://www.thomassci.com/browse-by/suppliers/spex-sampleprep</t>
        </is>
      </c>
    </row>
    <row r="1202">
      <c r="A1202" t="n">
        <v>1201</v>
      </c>
      <c r="B1202" t="inlineStr">
        <is>
          <t>SpinSmart™</t>
        </is>
      </c>
      <c r="C1202" t="inlineStr">
        <is>
          <t>T</t>
        </is>
      </c>
      <c r="E1202" t="inlineStr">
        <is>
          <t>https://www.thomassci.com/browse-by/suppliers/spinsmart</t>
        </is>
      </c>
      <c r="F1202" t="inlineStr"/>
      <c r="J1202" t="inlineStr"/>
      <c r="Y1202" t="inlineStr">
        <is>
          <t>unknown</t>
        </is>
      </c>
      <c r="Z1202" t="inlineStr"/>
      <c r="AA1202" t="inlineStr"/>
      <c r="AB1202" t="inlineStr"/>
      <c r="AC1202" t="inlineStr"/>
      <c r="AD1202" t="inlineStr">
        <is>
          <t>לא נמצא בסריקת המפיצים</t>
        </is>
      </c>
      <c r="AE1202" t="inlineStr">
        <is>
          <t>סריקת אתרי מפיצים</t>
        </is>
      </c>
      <c r="AG1202" t="inlineStr"/>
      <c r="AH1202" t="inlineStr"/>
      <c r="AJ1202" t="inlineStr"/>
      <c r="AP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Y1203" t="inlineStr">
        <is>
          <t>unknown</t>
        </is>
      </c>
      <c r="Z1203" t="inlineStr"/>
      <c r="AA1203" t="inlineStr"/>
      <c r="AB1203" t="inlineStr"/>
      <c r="AC1203" t="inlineStr"/>
      <c r="AD1203" t="inlineStr">
        <is>
          <t>לא נמצא בסריקת המפיצים</t>
        </is>
      </c>
      <c r="AE1203" t="inlineStr">
        <is>
          <t>סריקת אתרי מפיצים</t>
        </is>
      </c>
      <c r="AG1203" t="inlineStr"/>
      <c r="AH1203" t="inlineStr"/>
      <c r="AJ1203" t="inlineStr"/>
      <c r="AP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https://spraynine.com</t>
        </is>
      </c>
      <c r="I1204" t="inlineStr">
        <is>
          <t>clearbit</t>
        </is>
      </c>
      <c r="J1204" t="inlineStr"/>
      <c r="Y1204" t="inlineStr">
        <is>
          <t>unknown</t>
        </is>
      </c>
      <c r="Z1204" t="inlineStr"/>
      <c r="AA1204" t="inlineStr"/>
      <c r="AB1204" t="inlineStr"/>
      <c r="AC1204" t="inlineStr"/>
      <c r="AD1204" t="inlineStr">
        <is>
          <t>לא נמצא בסריקת המפיצים</t>
        </is>
      </c>
      <c r="AE1204" t="inlineStr">
        <is>
          <t>סריקת אתרי מפיצים</t>
        </is>
      </c>
      <c r="AG1204" t="inlineStr"/>
      <c r="AH1204" t="inlineStr"/>
      <c r="AJ1204" t="inlineStr"/>
      <c r="AP1204" t="inlineStr">
        <is>
          <t>https://www.thomassci.com/browse-by/suppliers/spray-nine</t>
        </is>
      </c>
    </row>
    <row r="1205">
      <c r="A1205" t="n">
        <v>1204</v>
      </c>
      <c r="B1205" t="inlineStr">
        <is>
          <t>SSI</t>
        </is>
      </c>
      <c r="C1205" t="inlineStr">
        <is>
          <t>T</t>
        </is>
      </c>
      <c r="E1205" t="inlineStr">
        <is>
          <t>https://www.thomassci.com/browse-by/suppliers/ssi</t>
        </is>
      </c>
      <c r="F1205" t="inlineStr"/>
      <c r="H1205" t="inlineStr">
        <is>
          <t>https://ssi.com.vn</t>
        </is>
      </c>
      <c r="I1205" t="inlineStr">
        <is>
          <t>clearbit</t>
        </is>
      </c>
      <c r="J1205" t="inlineStr"/>
      <c r="Y1205" t="inlineStr">
        <is>
          <t>unknown</t>
        </is>
      </c>
      <c r="Z1205" t="inlineStr"/>
      <c r="AA1205" t="inlineStr"/>
      <c r="AB1205" t="inlineStr"/>
      <c r="AC1205" t="inlineStr"/>
      <c r="AD1205" t="inlineStr">
        <is>
          <t>לא נמצא בסריקת המפיצים</t>
        </is>
      </c>
      <c r="AE1205" t="inlineStr">
        <is>
          <t>סריקת אתרי מפיצים</t>
        </is>
      </c>
      <c r="AG1205" t="inlineStr"/>
      <c r="AH1205" t="inlineStr"/>
      <c r="AJ1205" t="inlineStr"/>
      <c r="AP1205" t="inlineStr">
        <is>
          <t>https://www.thomassci.com/browse-by/suppliers/ssi</t>
        </is>
      </c>
    </row>
    <row r="1206">
      <c r="A1206" t="n">
        <v>1205</v>
      </c>
      <c r="B1206" t="inlineStr">
        <is>
          <t>Stanley</t>
        </is>
      </c>
      <c r="C1206" t="inlineStr">
        <is>
          <t>T</t>
        </is>
      </c>
      <c r="E1206" t="inlineStr">
        <is>
          <t>https://www.thomassci.com/browse-by/suppliers/stanley</t>
        </is>
      </c>
      <c r="F1206" t="inlineStr"/>
      <c r="J1206" t="inlineStr"/>
      <c r="Y1206" t="inlineStr">
        <is>
          <t>unknown</t>
        </is>
      </c>
      <c r="Z1206" t="inlineStr"/>
      <c r="AA1206" t="inlineStr"/>
      <c r="AB1206" t="inlineStr"/>
      <c r="AC1206" t="inlineStr"/>
      <c r="AD1206" t="inlineStr">
        <is>
          <t>לא נמצא בסריקת המפיצים</t>
        </is>
      </c>
      <c r="AE1206" t="inlineStr">
        <is>
          <t>סריקת אתרי מפיצים</t>
        </is>
      </c>
      <c r="AG1206" t="inlineStr"/>
      <c r="AH1206" t="inlineStr"/>
      <c r="AJ1206" t="inlineStr"/>
      <c r="AP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t>
        </is>
      </c>
      <c r="J1207" t="inlineStr"/>
      <c r="Y1207" t="inlineStr">
        <is>
          <t>unknown</t>
        </is>
      </c>
      <c r="Z1207" t="inlineStr"/>
      <c r="AA1207" t="inlineStr"/>
      <c r="AB1207" t="inlineStr"/>
      <c r="AC1207" t="inlineStr"/>
      <c r="AD1207" t="inlineStr">
        <is>
          <t>לא נמצא בסריקת המפיצים</t>
        </is>
      </c>
      <c r="AE1207" t="inlineStr">
        <is>
          <t>סריקת אתרי מפיצים</t>
        </is>
      </c>
      <c r="AG1207" t="inlineStr"/>
      <c r="AH1207" t="inlineStr"/>
      <c r="AJ1207" t="inlineStr"/>
      <c r="AP1207" t="inlineStr">
        <is>
          <t>https://www.quartzy.com/suppliers</t>
        </is>
      </c>
    </row>
    <row r="1208">
      <c r="A1208" t="n">
        <v>1207</v>
      </c>
      <c r="B1208" t="inlineStr">
        <is>
          <t>Starna Cells</t>
        </is>
      </c>
      <c r="C1208" t="inlineStr">
        <is>
          <t>T</t>
        </is>
      </c>
      <c r="E1208" t="inlineStr">
        <is>
          <t>https://www.thomassci.com/browse-by/suppliers/starna-cells</t>
        </is>
      </c>
      <c r="F1208" t="inlineStr"/>
      <c r="J1208" t="inlineStr"/>
      <c r="Y1208" t="inlineStr">
        <is>
          <t>unknown</t>
        </is>
      </c>
      <c r="Z1208" t="inlineStr"/>
      <c r="AA1208" t="inlineStr"/>
      <c r="AB1208" t="inlineStr"/>
      <c r="AC1208" t="inlineStr"/>
      <c r="AD1208" t="inlineStr">
        <is>
          <t>לא נמצא בסריקת המפיצים</t>
        </is>
      </c>
      <c r="AE1208" t="inlineStr">
        <is>
          <t>סריקת אתרי מפיצים</t>
        </is>
      </c>
      <c r="AG1208" t="inlineStr"/>
      <c r="AH1208" t="inlineStr"/>
      <c r="AJ1208" t="inlineStr"/>
      <c r="AP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t>
        </is>
      </c>
      <c r="J1209" t="inlineStr"/>
      <c r="Y1209" t="inlineStr">
        <is>
          <t>unknown</t>
        </is>
      </c>
      <c r="Z1209" t="inlineStr"/>
      <c r="AA1209" t="inlineStr"/>
      <c r="AB1209" t="inlineStr"/>
      <c r="AC1209" t="inlineStr"/>
      <c r="AD1209" t="inlineStr">
        <is>
          <t>לא נמצא בסריקת המפיצים</t>
        </is>
      </c>
      <c r="AE1209" t="inlineStr">
        <is>
          <t>סריקת אתרי מפיצים</t>
        </is>
      </c>
      <c r="AG1209" t="inlineStr"/>
      <c r="AH1209" t="inlineStr"/>
      <c r="AJ1209" t="inlineStr"/>
      <c r="AP1209" t="inlineStr">
        <is>
          <t>https://www.thomassci.com/browse-by/suppliers/starplex-scientific</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t>
        </is>
      </c>
      <c r="J1210" t="inlineStr"/>
      <c r="Y1210" t="inlineStr">
        <is>
          <t>unknown</t>
        </is>
      </c>
      <c r="Z1210" t="inlineStr"/>
      <c r="AA1210" t="inlineStr"/>
      <c r="AB1210" t="inlineStr"/>
      <c r="AC1210" t="inlineStr"/>
      <c r="AD1210" t="inlineStr">
        <is>
          <t>לא נמצא בסריקת המפיצים</t>
        </is>
      </c>
      <c r="AE1210" t="inlineStr">
        <is>
          <t>סריקת אתרי מפיצים</t>
        </is>
      </c>
      <c r="AG1210" t="inlineStr"/>
      <c r="AH1210" t="inlineStr"/>
      <c r="AJ1210" t="inlineStr"/>
      <c r="AP1210" t="inlineStr">
        <is>
          <t>https://www.thomassci.com/browse-by/suppliers/statlab</t>
        </is>
      </c>
    </row>
    <row r="1211">
      <c r="A1211" t="n">
        <v>1210</v>
      </c>
      <c r="B1211" t="inlineStr">
        <is>
          <t>STEMCELL Technologies</t>
        </is>
      </c>
      <c r="C1211" t="inlineStr">
        <is>
          <t>Q</t>
        </is>
      </c>
      <c r="F1211" t="inlineStr">
        <is>
          <t>yes</t>
        </is>
      </c>
      <c r="H1211" t="inlineStr">
        <is>
          <t>https://stemcell.com</t>
        </is>
      </c>
      <c r="I1211" t="inlineStr">
        <is>
          <t>clearbit</t>
        </is>
      </c>
      <c r="J1211" t="inlineStr"/>
      <c r="Y1211" t="inlineStr">
        <is>
          <t>unknown</t>
        </is>
      </c>
      <c r="Z1211" t="inlineStr"/>
      <c r="AA1211" t="inlineStr"/>
      <c r="AB1211" t="inlineStr"/>
      <c r="AC1211" t="inlineStr"/>
      <c r="AD1211" t="inlineStr">
        <is>
          <t>מפיץ/נציג בישראל</t>
        </is>
      </c>
      <c r="AE1211" t="inlineStr">
        <is>
          <t>סריקת אתרי מפיצים</t>
        </is>
      </c>
      <c r="AF1211" t="n">
        <v>2026</v>
      </c>
      <c r="AG1211" t="inlineStr">
        <is>
          <t>Enco Scientific Services Ltd. (Enco Diagnostics)</t>
        </is>
      </c>
      <c r="AH1211" t="inlineStr">
        <is>
          <t>Enco Scientific Services Ltd. (Enco Diagnostics):</t>
        </is>
      </c>
      <c r="AJ1211" t="inlineStr"/>
      <c r="AP1211" t="inlineStr">
        <is>
          <t>https://www.quartzy.com/suppliers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t>
        </is>
      </c>
      <c r="J1212" t="inlineStr"/>
      <c r="Y1212" t="inlineStr">
        <is>
          <t>unknown</t>
        </is>
      </c>
      <c r="Z1212" t="inlineStr"/>
      <c r="AA1212" t="inlineStr"/>
      <c r="AB1212" t="inlineStr"/>
      <c r="AC1212" t="inlineStr"/>
      <c r="AD1212" t="inlineStr">
        <is>
          <t>לא נמצא בסריקת המפיצים</t>
        </is>
      </c>
      <c r="AE1212" t="inlineStr">
        <is>
          <t>סריקת אתרי מפיצים</t>
        </is>
      </c>
      <c r="AG1212" t="inlineStr"/>
      <c r="AH1212" t="inlineStr"/>
      <c r="AJ1212" t="inlineStr"/>
      <c r="AP1212" t="inlineStr">
        <is>
          <t>https://www.dutscher.com/search?initialFilters=brand:Sterilin</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t>
        </is>
      </c>
      <c r="J1213" t="inlineStr"/>
      <c r="Y1213" t="inlineStr">
        <is>
          <t>unknown</t>
        </is>
      </c>
      <c r="Z1213" t="inlineStr"/>
      <c r="AA1213" t="inlineStr"/>
      <c r="AB1213" t="inlineStr"/>
      <c r="AC1213" t="inlineStr"/>
      <c r="AD1213" t="inlineStr">
        <is>
          <t>לא נמצא בסריקת המפיצים</t>
        </is>
      </c>
      <c r="AE1213" t="inlineStr">
        <is>
          <t>סריקת אתרי מפיצים</t>
        </is>
      </c>
      <c r="AG1213" t="inlineStr"/>
      <c r="AH1213" t="inlineStr"/>
      <c r="AJ1213" t="inlineStr"/>
      <c r="AP1213" t="inlineStr">
        <is>
          <t>https://www.thomassci.com/browse-by/suppliers/steris</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t>
        </is>
      </c>
      <c r="J1214" t="inlineStr"/>
      <c r="Y1214" t="inlineStr">
        <is>
          <t>unknown</t>
        </is>
      </c>
      <c r="Z1214" t="inlineStr"/>
      <c r="AA1214" t="inlineStr"/>
      <c r="AB1214" t="inlineStr"/>
      <c r="AC1214" t="inlineStr"/>
      <c r="AD1214" t="inlineStr">
        <is>
          <t>לא נמצא בסריקת המפיצים</t>
        </is>
      </c>
      <c r="AE1214" t="inlineStr">
        <is>
          <t>סריקת אתרי מפיצים</t>
        </is>
      </c>
      <c r="AG1214" t="inlineStr"/>
      <c r="AH1214" t="inlineStr"/>
      <c r="AJ1214" t="inlineStr"/>
      <c r="AP1214" t="inlineStr">
        <is>
          <t>https://www.quartzy.com/suppliers | https://www.thomassci.com/browse-by/suppliers/sterlitech</t>
        </is>
      </c>
    </row>
    <row r="1215">
      <c r="A1215" t="n">
        <v>1214</v>
      </c>
      <c r="B1215" t="inlineStr">
        <is>
          <t>Stimpson</t>
        </is>
      </c>
      <c r="C1215" t="inlineStr">
        <is>
          <t>T</t>
        </is>
      </c>
      <c r="E1215" t="inlineStr">
        <is>
          <t>https://www.thomassci.com/browse-by/suppliers/stimpson</t>
        </is>
      </c>
      <c r="F1215" t="inlineStr"/>
      <c r="H1215" t="inlineStr">
        <is>
          <t>https://stimpson.com</t>
        </is>
      </c>
      <c r="I1215" t="inlineStr">
        <is>
          <t>clearbit</t>
        </is>
      </c>
      <c r="J1215" t="inlineStr"/>
      <c r="Y1215" t="inlineStr">
        <is>
          <t>unknown</t>
        </is>
      </c>
      <c r="Z1215" t="inlineStr"/>
      <c r="AA1215" t="inlineStr"/>
      <c r="AB1215" t="inlineStr"/>
      <c r="AC1215" t="inlineStr"/>
      <c r="AD1215" t="inlineStr">
        <is>
          <t>לא נמצא בסריקת המפיצים</t>
        </is>
      </c>
      <c r="AE1215" t="inlineStr">
        <is>
          <t>סריקת אתרי מפיצים</t>
        </is>
      </c>
      <c r="AG1215" t="inlineStr"/>
      <c r="AH1215" t="inlineStr"/>
      <c r="AJ1215" t="inlineStr"/>
      <c r="AP1215" t="inlineStr">
        <is>
          <t>https://www.thomassci.com/browse-by/suppliers/stimpson</t>
        </is>
      </c>
    </row>
    <row r="1216">
      <c r="A1216" t="n">
        <v>1215</v>
      </c>
      <c r="B1216" t="inlineStr">
        <is>
          <t>Stockwell Scientific</t>
        </is>
      </c>
      <c r="C1216" t="inlineStr">
        <is>
          <t>Q</t>
        </is>
      </c>
      <c r="F1216" t="inlineStr">
        <is>
          <t>yes</t>
        </is>
      </c>
      <c r="H1216" t="inlineStr">
        <is>
          <t>https://stockwellscientific.com</t>
        </is>
      </c>
      <c r="I1216" t="inlineStr">
        <is>
          <t>clearbit</t>
        </is>
      </c>
      <c r="J1216" t="inlineStr"/>
      <c r="Y1216" t="inlineStr">
        <is>
          <t>unknown</t>
        </is>
      </c>
      <c r="Z1216" t="inlineStr"/>
      <c r="AA1216" t="inlineStr"/>
      <c r="AB1216" t="inlineStr"/>
      <c r="AC1216" t="inlineStr"/>
      <c r="AD1216" t="inlineStr">
        <is>
          <t>לא נמצא בסריקת המפיצים</t>
        </is>
      </c>
      <c r="AE1216" t="inlineStr">
        <is>
          <t>סריקת אתרי מפיצים</t>
        </is>
      </c>
      <c r="AG1216" t="inlineStr"/>
      <c r="AH1216" t="inlineStr"/>
      <c r="AJ1216" t="inlineStr"/>
      <c r="AP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Y1217" t="inlineStr">
        <is>
          <t>unknown</t>
        </is>
      </c>
      <c r="Z1217" t="inlineStr"/>
      <c r="AA1217" t="inlineStr"/>
      <c r="AB1217" t="inlineStr"/>
      <c r="AC1217" t="inlineStr"/>
      <c r="AD1217" t="inlineStr">
        <is>
          <t>לא נמצא בסריקת המפיצים</t>
        </is>
      </c>
      <c r="AE1217" t="inlineStr">
        <is>
          <t>סריקת אתרי מפיצים</t>
        </is>
      </c>
      <c r="AG1217" t="inlineStr"/>
      <c r="AH1217" t="inlineStr"/>
      <c r="AJ1217" t="inlineStr"/>
      <c r="AP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Y1218" t="inlineStr">
        <is>
          <t>unknown</t>
        </is>
      </c>
      <c r="Z1218" t="inlineStr"/>
      <c r="AA1218" t="inlineStr"/>
      <c r="AB1218" t="inlineStr"/>
      <c r="AC1218" t="inlineStr"/>
      <c r="AD1218" t="inlineStr">
        <is>
          <t>לא נמצא בסריקת המפיצים</t>
        </is>
      </c>
      <c r="AE1218" t="inlineStr">
        <is>
          <t>סריקת אתרי מפיצים</t>
        </is>
      </c>
      <c r="AG1218" t="inlineStr"/>
      <c r="AH1218" t="inlineStr"/>
      <c r="AJ1218" t="inlineStr"/>
      <c r="AP1218" t="inlineStr">
        <is>
          <t>https://www.thomassci.com/browse-by/suppliers/streamlight</t>
        </is>
      </c>
    </row>
    <row r="1219">
      <c r="A1219" t="n">
        <v>1218</v>
      </c>
      <c r="B1219" t="inlineStr">
        <is>
          <t>Strem Chemicals</t>
        </is>
      </c>
      <c r="C1219" t="inlineStr">
        <is>
          <t>Q</t>
        </is>
      </c>
      <c r="F1219" t="inlineStr">
        <is>
          <t>yes</t>
        </is>
      </c>
      <c r="J1219" t="inlineStr"/>
      <c r="Y1219" t="inlineStr">
        <is>
          <t>unknown</t>
        </is>
      </c>
      <c r="Z1219" t="inlineStr"/>
      <c r="AA1219" t="inlineStr"/>
      <c r="AB1219" t="inlineStr"/>
      <c r="AC1219" t="inlineStr"/>
      <c r="AD1219" t="inlineStr">
        <is>
          <t>לא נמצא בסריקת המפיצים</t>
        </is>
      </c>
      <c r="AE1219" t="inlineStr">
        <is>
          <t>סריקת אתרי מפיצים</t>
        </is>
      </c>
      <c r="AG1219" t="inlineStr"/>
      <c r="AH1219" t="inlineStr"/>
      <c r="AJ1219" t="inlineStr"/>
      <c r="AP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P1220" t="n">
        <v>2000</v>
      </c>
      <c r="Q1220" t="n">
        <v>2024</v>
      </c>
      <c r="R1220" t="inlineStr">
        <is>
          <t>estimate</t>
        </is>
      </c>
      <c r="S1220" t="inlineStr">
        <is>
          <t>prior</t>
        </is>
      </c>
      <c r="T1220" t="n">
        <v>400</v>
      </c>
      <c r="U1220" t="inlineStr">
        <is>
          <t>approx. USD 400 million (third-party directory estimate)</t>
        </is>
      </c>
      <c r="V1220" t="inlineStr">
        <is>
          <t>n/a (directory estimate seen Oct 2026)</t>
        </is>
      </c>
      <c r="W1220" t="inlineStr">
        <is>
          <t>estimate</t>
        </is>
      </c>
      <c r="X1220" t="inlineStr">
        <is>
          <t>prior</t>
        </is>
      </c>
      <c r="Y1220" t="inlineStr">
        <is>
          <t>estimate</t>
        </is>
      </c>
      <c r="Z1220" t="inlineStr">
        <is>
          <t>Jenway spectrophotometers</t>
        </is>
      </c>
      <c r="AA1220" t="inlineStr">
        <is>
          <t>Environmental Express HotBlock</t>
        </is>
      </c>
      <c r="AB1220" t="inlineStr">
        <is>
          <t>Stuart / Techne benchtop equipment</t>
        </is>
      </c>
      <c r="AC1220" t="inlineStr">
        <is>
          <t>prior</t>
        </is>
      </c>
      <c r="AD1220" t="inlineStr">
        <is>
          <t>מפיץ/נציג בישראל</t>
        </is>
      </c>
      <c r="AE1220" t="inlineStr">
        <is>
          <t>אומת</t>
        </is>
      </c>
      <c r="AF1220" t="n">
        <v>2026</v>
      </c>
      <c r="AG1220" t="inlineStr">
        <is>
          <t>Medent Scientific Instruments</t>
        </is>
      </c>
      <c r="AH1220" t="inlineStr">
        <is>
          <t>Medent Scientific Instruments: +972 72-395-0508 (sales); +972 8-683-6306 (service) info@medent.co.il</t>
        </is>
      </c>
      <c r="AI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20" t="inlineStr">
        <is>
          <t>+1 800-323-4340</t>
        </is>
      </c>
      <c r="AK1220" t="inlineStr">
        <is>
          <t>sales@antylia.com</t>
        </is>
      </c>
      <c r="AL1220" t="inlineStr">
        <is>
          <t>625 East Bunker Court, Vernon Hills, IL 60061, USA</t>
        </is>
      </c>
      <c r="AN1220" t="inlineStr">
        <is>
          <t>https://www.thomasnet.com/company/cole-parmer-1148924/profile</t>
        </is>
      </c>
      <c r="AP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Y1221" t="inlineStr">
        <is>
          <t>unknown</t>
        </is>
      </c>
      <c r="Z1221" t="inlineStr"/>
      <c r="AA1221" t="inlineStr"/>
      <c r="AB1221" t="inlineStr"/>
      <c r="AC1221" t="inlineStr"/>
      <c r="AD1221" t="inlineStr">
        <is>
          <t>לא נמצא בסריקת המפיצים</t>
        </is>
      </c>
      <c r="AE1221" t="inlineStr">
        <is>
          <t>סריקת אתרי מפיצים</t>
        </is>
      </c>
      <c r="AG1221" t="inlineStr"/>
      <c r="AH1221" t="inlineStr"/>
      <c r="AJ1221" t="inlineStr"/>
      <c r="AP1221" t="inlineStr">
        <is>
          <t>https://www.quartzy.com/suppliers</t>
        </is>
      </c>
    </row>
    <row r="1222">
      <c r="A1222" t="n">
        <v>1221</v>
      </c>
      <c r="B1222" t="inlineStr">
        <is>
          <t>Supera</t>
        </is>
      </c>
      <c r="C1222" t="inlineStr">
        <is>
          <t>T</t>
        </is>
      </c>
      <c r="E1222" t="inlineStr">
        <is>
          <t>https://www.thomassci.com/browse-by/suppliers/supera</t>
        </is>
      </c>
      <c r="F1222" t="inlineStr"/>
      <c r="J1222" t="inlineStr"/>
      <c r="Y1222" t="inlineStr">
        <is>
          <t>unknown</t>
        </is>
      </c>
      <c r="Z1222" t="inlineStr"/>
      <c r="AA1222" t="inlineStr"/>
      <c r="AB1222" t="inlineStr"/>
      <c r="AC1222" t="inlineStr"/>
      <c r="AD1222" t="inlineStr">
        <is>
          <t>לא נמצא בסריקת המפיצים</t>
        </is>
      </c>
      <c r="AE1222" t="inlineStr">
        <is>
          <t>סריקת אתרי מפיצים</t>
        </is>
      </c>
      <c r="AG1222" t="inlineStr"/>
      <c r="AH1222" t="inlineStr"/>
      <c r="AJ1222" t="inlineStr"/>
      <c r="AP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Y1223" t="inlineStr">
        <is>
          <t>unknown</t>
        </is>
      </c>
      <c r="Z1223" t="inlineStr"/>
      <c r="AA1223" t="inlineStr"/>
      <c r="AB1223" t="inlineStr"/>
      <c r="AC1223" t="inlineStr"/>
      <c r="AD1223" t="inlineStr">
        <is>
          <t>לא נמצא בסריקת המפיצים</t>
        </is>
      </c>
      <c r="AE1223" t="inlineStr">
        <is>
          <t>סריקת אתרי מפיצים</t>
        </is>
      </c>
      <c r="AG1223" t="inlineStr"/>
      <c r="AH1223" t="inlineStr"/>
      <c r="AJ1223" t="inlineStr"/>
      <c r="AP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https://supermaxi.com</t>
        </is>
      </c>
      <c r="I1224" t="inlineStr">
        <is>
          <t>clearbit</t>
        </is>
      </c>
      <c r="J1224" t="inlineStr"/>
      <c r="Y1224" t="inlineStr">
        <is>
          <t>unknown</t>
        </is>
      </c>
      <c r="Z1224" t="inlineStr"/>
      <c r="AA1224" t="inlineStr"/>
      <c r="AB1224" t="inlineStr"/>
      <c r="AC1224" t="inlineStr"/>
      <c r="AD1224" t="inlineStr">
        <is>
          <t>לא נמצא בסריקת המפיצים</t>
        </is>
      </c>
      <c r="AE1224" t="inlineStr">
        <is>
          <t>סריקת אתרי מפיצים</t>
        </is>
      </c>
      <c r="AG1224" t="inlineStr"/>
      <c r="AH1224" t="inlineStr"/>
      <c r="AJ1224" t="inlineStr"/>
      <c r="AP1224" t="inlineStr">
        <is>
          <t>https://www.quartzy.com/suppliers | https://www.thomassci.com/browse-by/suppliers/supermax</t>
        </is>
      </c>
    </row>
    <row r="1225">
      <c r="A1225" t="n">
        <v>1224</v>
      </c>
      <c r="B1225" t="inlineStr">
        <is>
          <t>SureWerx USA, Inc.</t>
        </is>
      </c>
      <c r="C1225" t="inlineStr">
        <is>
          <t>T</t>
        </is>
      </c>
      <c r="E1225" t="inlineStr">
        <is>
          <t>https://www.thomassci.com/browse-by/suppliers/surewerx-usa-inc-</t>
        </is>
      </c>
      <c r="F1225" t="inlineStr"/>
      <c r="J1225" t="inlineStr"/>
      <c r="Y1225" t="inlineStr">
        <is>
          <t>unknown</t>
        </is>
      </c>
      <c r="Z1225" t="inlineStr"/>
      <c r="AA1225" t="inlineStr"/>
      <c r="AB1225" t="inlineStr"/>
      <c r="AC1225" t="inlineStr"/>
      <c r="AD1225" t="inlineStr">
        <is>
          <t>לא נמצא בסריקת המפיצים</t>
        </is>
      </c>
      <c r="AE1225" t="inlineStr">
        <is>
          <t>סריקת אתרי מפיצים</t>
        </is>
      </c>
      <c r="AG1225" t="inlineStr"/>
      <c r="AH1225" t="inlineStr"/>
      <c r="AJ1225" t="inlineStr"/>
      <c r="AP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Y1226" t="inlineStr">
        <is>
          <t>unknown</t>
        </is>
      </c>
      <c r="Z1226" t="inlineStr"/>
      <c r="AA1226" t="inlineStr"/>
      <c r="AB1226" t="inlineStr"/>
      <c r="AC1226" t="inlineStr"/>
      <c r="AD1226" t="inlineStr">
        <is>
          <t>לא נמצא בסריקת המפיצים</t>
        </is>
      </c>
      <c r="AE1226" t="inlineStr">
        <is>
          <t>סריקת אתרי מפיצים</t>
        </is>
      </c>
      <c r="AG1226" t="inlineStr"/>
      <c r="AH1226" t="inlineStr"/>
      <c r="AJ1226" t="inlineStr"/>
      <c r="AP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https://swagelok.com</t>
        </is>
      </c>
      <c r="I1227" t="inlineStr">
        <is>
          <t>clearbit</t>
        </is>
      </c>
      <c r="J1227" t="inlineStr"/>
      <c r="Y1227" t="inlineStr">
        <is>
          <t>unknown</t>
        </is>
      </c>
      <c r="Z1227" t="inlineStr"/>
      <c r="AA1227" t="inlineStr"/>
      <c r="AB1227" t="inlineStr"/>
      <c r="AC1227" t="inlineStr"/>
      <c r="AD1227" t="inlineStr">
        <is>
          <t>לא נמצא בסריקת המפיצים</t>
        </is>
      </c>
      <c r="AE1227" t="inlineStr">
        <is>
          <t>סריקת אתרי מפיצים</t>
        </is>
      </c>
      <c r="AG1227" t="inlineStr"/>
      <c r="AH1227" t="inlineStr"/>
      <c r="AJ1227" t="inlineStr"/>
      <c r="AP1227" t="inlineStr">
        <is>
          <t>https://www.thomassci.com/browse-by/suppliers/swagelok</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Y1228" t="inlineStr">
        <is>
          <t>unknown</t>
        </is>
      </c>
      <c r="Z1228" t="inlineStr"/>
      <c r="AA1228" t="inlineStr"/>
      <c r="AB1228" t="inlineStr"/>
      <c r="AC1228" t="inlineStr"/>
      <c r="AD1228" t="inlineStr">
        <is>
          <t>לא נמצא בסריקת המפיצים</t>
        </is>
      </c>
      <c r="AE1228" t="inlineStr">
        <is>
          <t>סריקת אתרי מפיצים</t>
        </is>
      </c>
      <c r="AG1228" t="inlineStr"/>
      <c r="AH1228" t="inlineStr"/>
      <c r="AJ1228" t="inlineStr"/>
      <c r="AP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t>
        </is>
      </c>
      <c r="J1229" t="inlineStr"/>
      <c r="Y1229" t="inlineStr">
        <is>
          <t>unknown</t>
        </is>
      </c>
      <c r="Z1229" t="inlineStr"/>
      <c r="AA1229" t="inlineStr"/>
      <c r="AB1229" t="inlineStr"/>
      <c r="AC1229" t="inlineStr"/>
      <c r="AD1229" t="inlineStr">
        <is>
          <t>לא נמצא בסריקת המפיצים</t>
        </is>
      </c>
      <c r="AE1229" t="inlineStr">
        <is>
          <t>סריקת אתרי מפיצים</t>
        </is>
      </c>
      <c r="AG1229" t="inlineStr"/>
      <c r="AH1229" t="inlineStr"/>
      <c r="AJ1229" t="inlineStr"/>
      <c r="AP1229" t="inlineStr">
        <is>
          <t>https://www.thomassci.com/browse-by/suppliers/syntec</t>
        </is>
      </c>
    </row>
    <row r="1230">
      <c r="A1230" t="n">
        <v>1229</v>
      </c>
      <c r="B1230" t="inlineStr">
        <is>
          <t>Synthego</t>
        </is>
      </c>
      <c r="C1230" t="inlineStr">
        <is>
          <t>Q+Q+</t>
        </is>
      </c>
      <c r="F1230" t="inlineStr">
        <is>
          <t>yes +new</t>
        </is>
      </c>
      <c r="H1230" t="inlineStr">
        <is>
          <t>https://synthego.com</t>
        </is>
      </c>
      <c r="I1230" t="inlineStr">
        <is>
          <t>clearbit</t>
        </is>
      </c>
      <c r="J1230" t="inlineStr"/>
      <c r="O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Y1230" t="inlineStr">
        <is>
          <t>unknown</t>
        </is>
      </c>
      <c r="Z1230" t="inlineStr"/>
      <c r="AA1230" t="inlineStr"/>
      <c r="AB1230" t="inlineStr"/>
      <c r="AC1230" t="inlineStr"/>
      <c r="AD1230" t="inlineStr">
        <is>
          <t>לא נמצא בסריקת המפיצים</t>
        </is>
      </c>
      <c r="AE1230" t="inlineStr">
        <is>
          <t>סריקת אתרי מפיצים</t>
        </is>
      </c>
      <c r="AG1230" t="inlineStr"/>
      <c r="AH1230" t="inlineStr"/>
      <c r="AJ1230" t="inlineStr"/>
      <c r="AP1230" t="inlineStr">
        <is>
          <t>https://www.quartzy.com/suppliers | https://info.quartzy.com/new-suppliers</t>
        </is>
      </c>
    </row>
    <row r="1231">
      <c r="A1231" t="n">
        <v>1230</v>
      </c>
      <c r="B1231" t="inlineStr">
        <is>
          <t>Systaaq Diagnostics</t>
        </is>
      </c>
      <c r="C1231" t="inlineStr">
        <is>
          <t>T</t>
        </is>
      </c>
      <c r="E1231" t="inlineStr">
        <is>
          <t>https://www.thomassci.com/browse-by/suppliers/systaaq-diagnostics</t>
        </is>
      </c>
      <c r="F1231" t="inlineStr"/>
      <c r="J1231" t="inlineStr"/>
      <c r="Y1231" t="inlineStr">
        <is>
          <t>unknown</t>
        </is>
      </c>
      <c r="Z1231" t="inlineStr"/>
      <c r="AA1231" t="inlineStr"/>
      <c r="AB1231" t="inlineStr"/>
      <c r="AC1231" t="inlineStr"/>
      <c r="AD1231" t="inlineStr">
        <is>
          <t>לא נמצא בסריקת המפיצים</t>
        </is>
      </c>
      <c r="AE1231" t="inlineStr">
        <is>
          <t>סריקת אתרי מפיצים</t>
        </is>
      </c>
      <c r="AG1231" t="inlineStr"/>
      <c r="AH1231" t="inlineStr"/>
      <c r="AJ1231" t="inlineStr"/>
      <c r="AP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Y1232" t="inlineStr">
        <is>
          <t>unknown</t>
        </is>
      </c>
      <c r="Z1232" t="inlineStr"/>
      <c r="AA1232" t="inlineStr"/>
      <c r="AB1232" t="inlineStr"/>
      <c r="AC1232" t="inlineStr"/>
      <c r="AD1232" t="inlineStr">
        <is>
          <t>לא נמצא בסריקת המפיצים</t>
        </is>
      </c>
      <c r="AE1232" t="inlineStr">
        <is>
          <t>סריקת אתרי מפיצים</t>
        </is>
      </c>
      <c r="AG1232" t="inlineStr"/>
      <c r="AH1232" t="inlineStr"/>
      <c r="AJ1232" t="inlineStr"/>
      <c r="AP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Y1233" t="inlineStr">
        <is>
          <t>unknown</t>
        </is>
      </c>
      <c r="Z1233" t="inlineStr"/>
      <c r="AA1233" t="inlineStr"/>
      <c r="AB1233" t="inlineStr"/>
      <c r="AC1233" t="inlineStr"/>
      <c r="AD1233" t="inlineStr">
        <is>
          <t>לא נמצא בסריקת המפיצים</t>
        </is>
      </c>
      <c r="AE1233" t="inlineStr">
        <is>
          <t>סריקת אתרי מפיצים</t>
        </is>
      </c>
      <c r="AG1233" t="inlineStr"/>
      <c r="AH1233" t="inlineStr"/>
      <c r="AJ1233" t="inlineStr"/>
      <c r="AP1233" t="inlineStr">
        <is>
          <t>https://www.quartzy.com/suppliers</t>
        </is>
      </c>
    </row>
    <row r="1234">
      <c r="A1234" t="n">
        <v>1233</v>
      </c>
      <c r="B1234" t="inlineStr">
        <is>
          <t>Tarr</t>
        </is>
      </c>
      <c r="C1234" t="inlineStr">
        <is>
          <t>T</t>
        </is>
      </c>
      <c r="E1234" t="inlineStr">
        <is>
          <t>https://www.thomassci.com/browse-by/suppliers/tarr</t>
        </is>
      </c>
      <c r="F1234" t="inlineStr"/>
      <c r="J1234" t="inlineStr"/>
      <c r="Y1234" t="inlineStr">
        <is>
          <t>unknown</t>
        </is>
      </c>
      <c r="Z1234" t="inlineStr"/>
      <c r="AA1234" t="inlineStr"/>
      <c r="AB1234" t="inlineStr"/>
      <c r="AC1234" t="inlineStr"/>
      <c r="AD1234" t="inlineStr">
        <is>
          <t>לא נמצא בסריקת המפיצים</t>
        </is>
      </c>
      <c r="AE1234" t="inlineStr">
        <is>
          <t>סריקת אתרי מפיצים</t>
        </is>
      </c>
      <c r="AG1234" t="inlineStr"/>
      <c r="AH1234" t="inlineStr"/>
      <c r="AJ1234" t="inlineStr"/>
      <c r="AP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Y1235" t="inlineStr">
        <is>
          <t>unknown</t>
        </is>
      </c>
      <c r="Z1235" t="inlineStr"/>
      <c r="AA1235" t="inlineStr"/>
      <c r="AB1235" t="inlineStr"/>
      <c r="AC1235" t="inlineStr"/>
      <c r="AD1235" t="inlineStr">
        <is>
          <t>לא נמצא בסריקת המפיצים</t>
        </is>
      </c>
      <c r="AE1235" t="inlineStr">
        <is>
          <t>סריקת אתרי מפיצים</t>
        </is>
      </c>
      <c r="AG1235" t="inlineStr"/>
      <c r="AH1235" t="inlineStr"/>
      <c r="AJ1235" t="inlineStr"/>
      <c r="AP1235" t="inlineStr">
        <is>
          <t>https://www.thomassci.com/browse-by/suppliers/taylor-precision</t>
        </is>
      </c>
    </row>
    <row r="1236">
      <c r="A1236" t="n">
        <v>1235</v>
      </c>
      <c r="B1236" t="inlineStr">
        <is>
          <t>TCI America</t>
        </is>
      </c>
      <c r="C1236" t="inlineStr">
        <is>
          <t>Q</t>
        </is>
      </c>
      <c r="F1236" t="inlineStr">
        <is>
          <t>yes</t>
        </is>
      </c>
      <c r="J1236" t="inlineStr"/>
      <c r="Y1236" t="inlineStr">
        <is>
          <t>unknown</t>
        </is>
      </c>
      <c r="Z1236" t="inlineStr"/>
      <c r="AA1236" t="inlineStr"/>
      <c r="AB1236" t="inlineStr"/>
      <c r="AC1236" t="inlineStr"/>
      <c r="AD1236" t="inlineStr">
        <is>
          <t>לא נמצא בסריקת המפיצים</t>
        </is>
      </c>
      <c r="AE1236" t="inlineStr">
        <is>
          <t>סריקת אתרי מפיצים</t>
        </is>
      </c>
      <c r="AG1236" t="inlineStr"/>
      <c r="AH1236" t="inlineStr"/>
      <c r="AJ1236" t="inlineStr"/>
      <c r="AP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t>
        </is>
      </c>
      <c r="J1237" t="inlineStr"/>
      <c r="Y1237" t="inlineStr">
        <is>
          <t>unknown</t>
        </is>
      </c>
      <c r="Z1237" t="inlineStr"/>
      <c r="AA1237" t="inlineStr"/>
      <c r="AB1237" t="inlineStr"/>
      <c r="AC1237" t="inlineStr"/>
      <c r="AD1237" t="inlineStr">
        <is>
          <t>לא נמצא בסריקת המפיצים</t>
        </is>
      </c>
      <c r="AE1237" t="inlineStr">
        <is>
          <t>סריקת אתרי מפיצים</t>
        </is>
      </c>
      <c r="AG1237" t="inlineStr"/>
      <c r="AH1237" t="inlineStr"/>
      <c r="AJ1237" t="inlineStr"/>
      <c r="AP1237" t="inlineStr">
        <is>
          <t>https://www.thomassci.com/browse-by/suppliers/tdi2-custom-packaging</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P1238" t="n">
        <v>3300</v>
      </c>
      <c r="Q1238" t="n">
        <v>2024</v>
      </c>
      <c r="R1238" t="inlineStr">
        <is>
          <t>company</t>
        </is>
      </c>
      <c r="S1238" t="inlineStr">
        <is>
          <t>prior</t>
        </is>
      </c>
      <c r="T1238" t="n">
        <v>1033</v>
      </c>
      <c r="U1238" t="inlineStr">
        <is>
          <t>CHF 882.5 million</t>
        </is>
      </c>
      <c r="V1238" t="inlineStr">
        <is>
          <t>FY2025</t>
        </is>
      </c>
      <c r="W1238" t="inlineStr">
        <is>
          <t>company</t>
        </is>
      </c>
      <c r="X1238" t="inlineStr">
        <is>
          <t>prior</t>
        </is>
      </c>
      <c r="Y1238" t="inlineStr">
        <is>
          <t>reported</t>
        </is>
      </c>
      <c r="Z1238" t="inlineStr">
        <is>
          <t>Fluent</t>
        </is>
      </c>
      <c r="AA1238" t="inlineStr">
        <is>
          <t>Freedom EVO</t>
        </is>
      </c>
      <c r="AB1238" t="inlineStr">
        <is>
          <t>Spark</t>
        </is>
      </c>
      <c r="AC1238" t="inlineStr">
        <is>
          <t>prior</t>
        </is>
      </c>
      <c r="AD1238" t="inlineStr">
        <is>
          <t>מפיץ/נציג בישראל</t>
        </is>
      </c>
      <c r="AE1238" t="inlineStr">
        <is>
          <t>אומת</t>
        </is>
      </c>
      <c r="AF1238" t="n">
        <v>2026</v>
      </c>
      <c r="AG1238" t="inlineStr">
        <is>
          <t>Gamidor Diagnostics (1984) Ltd.</t>
        </is>
      </c>
      <c r="AH1238" t="inlineStr">
        <is>
          <t>Gamidor Diagnostics (1984) Ltd.: +972-3-927-7277 info@gamidor.co.il</t>
        </is>
      </c>
      <c r="AI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1238" t="inlineStr">
        <is>
          <t>+41 44 922 81 11</t>
        </is>
      </c>
      <c r="AK1238" t="inlineStr">
        <is>
          <t>info@tecan.com</t>
        </is>
      </c>
      <c r="AL1238" t="inlineStr">
        <is>
          <t>Seestrasse 103, 8708 Männedorf, Switzerland</t>
        </is>
      </c>
      <c r="AN1238" t="inlineStr">
        <is>
          <t>https://www.tecanannualreport.com/annual-report-2022/global</t>
        </is>
      </c>
      <c r="AP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P1239" t="n">
        <v>2000</v>
      </c>
      <c r="Q1239" t="n">
        <v>2024</v>
      </c>
      <c r="R1239" t="inlineStr">
        <is>
          <t>estimate</t>
        </is>
      </c>
      <c r="S1239" t="inlineStr">
        <is>
          <t>prior</t>
        </is>
      </c>
      <c r="T1239" t="n">
        <v>400</v>
      </c>
      <c r="U1239" t="inlineStr">
        <is>
          <t>approx. USD 400 million (third-party directory estimate)</t>
        </is>
      </c>
      <c r="V1239" t="inlineStr">
        <is>
          <t>n/a (directory estimate seen Oct 2026)</t>
        </is>
      </c>
      <c r="W1239" t="inlineStr">
        <is>
          <t>estimate</t>
        </is>
      </c>
      <c r="X1239" t="inlineStr">
        <is>
          <t>prior</t>
        </is>
      </c>
      <c r="Y1239" t="inlineStr">
        <is>
          <t>estimate</t>
        </is>
      </c>
      <c r="Z1239" t="inlineStr">
        <is>
          <t>Jenway spectrophotometers</t>
        </is>
      </c>
      <c r="AA1239" t="inlineStr">
        <is>
          <t>Environmental Express HotBlock</t>
        </is>
      </c>
      <c r="AB1239" t="inlineStr">
        <is>
          <t>Stuart / Techne benchtop equipment</t>
        </is>
      </c>
      <c r="AC1239" t="inlineStr">
        <is>
          <t>prior</t>
        </is>
      </c>
      <c r="AD1239" t="inlineStr">
        <is>
          <t>מפיץ/נציג בישראל</t>
        </is>
      </c>
      <c r="AE1239" t="inlineStr">
        <is>
          <t>אומת</t>
        </is>
      </c>
      <c r="AF1239" t="n">
        <v>2026</v>
      </c>
      <c r="AG1239" t="inlineStr">
        <is>
          <t>Medent Scientific Instruments</t>
        </is>
      </c>
      <c r="AH1239" t="inlineStr">
        <is>
          <t>Medent Scientific Instruments: +972 72-395-0508 (sales); +972 8-683-6306 (service) info@medent.co.il</t>
        </is>
      </c>
      <c r="AI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39" t="inlineStr">
        <is>
          <t>+1 800-323-4340</t>
        </is>
      </c>
      <c r="AK1239" t="inlineStr">
        <is>
          <t>sales@antylia.com</t>
        </is>
      </c>
      <c r="AL1239" t="inlineStr">
        <is>
          <t>625 East Bunker Court, Vernon Hills, IL 60061, USA</t>
        </is>
      </c>
      <c r="AN1239" t="inlineStr">
        <is>
          <t>https://www.thomasnet.com/company/cole-parmer-1148924/profile</t>
        </is>
      </c>
      <c r="AP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https://techni-tool.com</t>
        </is>
      </c>
      <c r="I1240" t="inlineStr">
        <is>
          <t>clearbit</t>
        </is>
      </c>
      <c r="J1240" t="inlineStr"/>
      <c r="Y1240" t="inlineStr">
        <is>
          <t>unknown</t>
        </is>
      </c>
      <c r="Z1240" t="inlineStr"/>
      <c r="AA1240" t="inlineStr"/>
      <c r="AB1240" t="inlineStr"/>
      <c r="AC1240" t="inlineStr"/>
      <c r="AD1240" t="inlineStr">
        <is>
          <t>לא נמצא בסריקת המפיצים</t>
        </is>
      </c>
      <c r="AE1240" t="inlineStr">
        <is>
          <t>סריקת אתרי מפיצים</t>
        </is>
      </c>
      <c r="AG1240" t="inlineStr"/>
      <c r="AH1240" t="inlineStr"/>
      <c r="AJ1240" t="inlineStr"/>
      <c r="AP1240" t="inlineStr">
        <is>
          <t>https://www.thomassci.com/browse-by/suppliers/techni-tool</t>
        </is>
      </c>
    </row>
    <row r="1241">
      <c r="A1241" t="n">
        <v>1240</v>
      </c>
      <c r="B1241" t="inlineStr">
        <is>
          <t>TechNiGlove International</t>
        </is>
      </c>
      <c r="C1241" t="inlineStr">
        <is>
          <t>T</t>
        </is>
      </c>
      <c r="E1241" t="inlineStr">
        <is>
          <t>https://www.thomassci.com/browse-by/suppliers/techniglove-international</t>
        </is>
      </c>
      <c r="F1241" t="inlineStr"/>
      <c r="J1241" t="inlineStr"/>
      <c r="Y1241" t="inlineStr">
        <is>
          <t>unknown</t>
        </is>
      </c>
      <c r="Z1241" t="inlineStr"/>
      <c r="AA1241" t="inlineStr"/>
      <c r="AB1241" t="inlineStr"/>
      <c r="AC1241" t="inlineStr"/>
      <c r="AD1241" t="inlineStr">
        <is>
          <t>לא נמצא בסריקת המפיצים</t>
        </is>
      </c>
      <c r="AE1241" t="inlineStr">
        <is>
          <t>סריקת אתרי מפיצים</t>
        </is>
      </c>
      <c r="AG1241" t="inlineStr"/>
      <c r="AH1241" t="inlineStr"/>
      <c r="AJ1241" t="inlineStr"/>
      <c r="AP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t>
        </is>
      </c>
      <c r="J1242" t="inlineStr"/>
      <c r="Y1242" t="inlineStr">
        <is>
          <t>unknown</t>
        </is>
      </c>
      <c r="Z1242" t="inlineStr"/>
      <c r="AA1242" t="inlineStr"/>
      <c r="AB1242" t="inlineStr"/>
      <c r="AC1242" t="inlineStr"/>
      <c r="AD1242" t="inlineStr">
        <is>
          <t>לא נמצא בסריקת המפיצים</t>
        </is>
      </c>
      <c r="AE1242" t="inlineStr">
        <is>
          <t>סריקת אתרי מפיצים</t>
        </is>
      </c>
      <c r="AG1242" t="inlineStr"/>
      <c r="AH1242" t="inlineStr"/>
      <c r="AJ1242" t="inlineStr"/>
      <c r="AP1242" t="inlineStr">
        <is>
          <t>https://www.thomassci.com/browse-by/suppliers/techniplast</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t>
        </is>
      </c>
      <c r="J1243" t="inlineStr"/>
      <c r="Y1243" t="inlineStr">
        <is>
          <t>unknown</t>
        </is>
      </c>
      <c r="Z1243" t="inlineStr"/>
      <c r="AA1243" t="inlineStr"/>
      <c r="AB1243" t="inlineStr"/>
      <c r="AC1243" t="inlineStr"/>
      <c r="AD1243" t="inlineStr">
        <is>
          <t>לא נמצא בסריקת המפיצים</t>
        </is>
      </c>
      <c r="AE1243" t="inlineStr">
        <is>
          <t>סריקת אתרי מפיצים</t>
        </is>
      </c>
      <c r="AG1243" t="inlineStr"/>
      <c r="AH1243" t="inlineStr"/>
      <c r="AJ1243" t="inlineStr"/>
      <c r="AP1243" t="inlineStr">
        <is>
          <t>https://www.thomassci.com/browse-by/suppliers/ted-pella</t>
        </is>
      </c>
    </row>
    <row r="1244">
      <c r="A1244" t="n">
        <v>1243</v>
      </c>
      <c r="B1244" t="inlineStr">
        <is>
          <t>Teknipure</t>
        </is>
      </c>
      <c r="C1244" t="inlineStr">
        <is>
          <t>T</t>
        </is>
      </c>
      <c r="E1244" t="inlineStr">
        <is>
          <t>https://www.thomassci.com/browse-by/suppliers/teknipure</t>
        </is>
      </c>
      <c r="F1244" t="inlineStr"/>
      <c r="J1244" t="inlineStr"/>
      <c r="Y1244" t="inlineStr">
        <is>
          <t>unknown</t>
        </is>
      </c>
      <c r="Z1244" t="inlineStr"/>
      <c r="AA1244" t="inlineStr"/>
      <c r="AB1244" t="inlineStr"/>
      <c r="AC1244" t="inlineStr"/>
      <c r="AD1244" t="inlineStr">
        <is>
          <t>לא נמצא בסריקת המפיצים</t>
        </is>
      </c>
      <c r="AE1244" t="inlineStr">
        <is>
          <t>סריקת אתרי מפיצים</t>
        </is>
      </c>
      <c r="AG1244" t="inlineStr"/>
      <c r="AH1244" t="inlineStr"/>
      <c r="AJ1244" t="inlineStr"/>
      <c r="AP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https://teknovak.com</t>
        </is>
      </c>
      <c r="I1245" t="inlineStr">
        <is>
          <t>clearbit</t>
        </is>
      </c>
      <c r="J1245" t="inlineStr"/>
      <c r="Y1245" t="inlineStr">
        <is>
          <t>unknown</t>
        </is>
      </c>
      <c r="Z1245" t="inlineStr"/>
      <c r="AA1245" t="inlineStr"/>
      <c r="AB1245" t="inlineStr"/>
      <c r="AC1245" t="inlineStr"/>
      <c r="AD1245" t="inlineStr">
        <is>
          <t>לא נמצא בסריקת המפיצים</t>
        </is>
      </c>
      <c r="AE1245" t="inlineStr">
        <is>
          <t>סריקת אתרי מפיצים</t>
        </is>
      </c>
      <c r="AG1245" t="inlineStr"/>
      <c r="AH1245" t="inlineStr"/>
      <c r="AJ1245" t="inlineStr"/>
      <c r="AP1245" t="inlineStr">
        <is>
          <t>https://www.quartzy.com/suppliers | https://www.thomassci.com/browse-by/suppliers/teknova</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t>
        </is>
      </c>
      <c r="J1246" t="inlineStr"/>
      <c r="Y1246" t="inlineStr">
        <is>
          <t>unknown</t>
        </is>
      </c>
      <c r="Z1246" t="inlineStr"/>
      <c r="AA1246" t="inlineStr"/>
      <c r="AB1246" t="inlineStr"/>
      <c r="AC1246" t="inlineStr"/>
      <c r="AD1246" t="inlineStr">
        <is>
          <t>לא נמצא בסריקת המפיצים</t>
        </is>
      </c>
      <c r="AE1246" t="inlineStr">
        <is>
          <t>סריקת אתרי מפיצים</t>
        </is>
      </c>
      <c r="AG1246" t="inlineStr"/>
      <c r="AH1246" t="inlineStr"/>
      <c r="AJ1246" t="inlineStr"/>
      <c r="AP1246" t="inlineStr">
        <is>
          <t>https://www.dutscher.com/search?initialFilters=brand:Tempshield | https://www.thomassci.com/browse-by/suppliers/tempshield</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Y1247" t="inlineStr">
        <is>
          <t>unknown</t>
        </is>
      </c>
      <c r="Z1247" t="inlineStr"/>
      <c r="AA1247" t="inlineStr"/>
      <c r="AB1247" t="inlineStr"/>
      <c r="AC1247" t="inlineStr"/>
      <c r="AD1247" t="inlineStr">
        <is>
          <t>לא נמצא בסריקת המפיצים</t>
        </is>
      </c>
      <c r="AE1247" t="inlineStr">
        <is>
          <t>סריקת אתרי מפיצים</t>
        </is>
      </c>
      <c r="AG1247" t="inlineStr"/>
      <c r="AH1247" t="inlineStr"/>
      <c r="AJ1247" t="inlineStr"/>
      <c r="AP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t>
        </is>
      </c>
      <c r="J1248" t="inlineStr"/>
      <c r="Y1248" t="inlineStr">
        <is>
          <t>unknown</t>
        </is>
      </c>
      <c r="Z1248" t="inlineStr"/>
      <c r="AA1248" t="inlineStr"/>
      <c r="AB1248" t="inlineStr"/>
      <c r="AC1248" t="inlineStr"/>
      <c r="AD1248" t="inlineStr">
        <is>
          <t>לא נמצא בסריקת המפיצים</t>
        </is>
      </c>
      <c r="AE1248" t="inlineStr">
        <is>
          <t>סריקת אתרי מפיצים</t>
        </is>
      </c>
      <c r="AG1248" t="inlineStr"/>
      <c r="AH1248" t="inlineStr"/>
      <c r="AJ1248" t="inlineStr"/>
      <c r="AP1248" t="inlineStr">
        <is>
          <t>https://www.thomassci.com/browse-by/suppliers/terracycle</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Y1249" t="inlineStr">
        <is>
          <t>unknown</t>
        </is>
      </c>
      <c r="Z1249" t="inlineStr"/>
      <c r="AA1249" t="inlineStr"/>
      <c r="AB1249" t="inlineStr"/>
      <c r="AC1249" t="inlineStr"/>
      <c r="AD1249" t="inlineStr">
        <is>
          <t>לא נמצא בסריקת המפיצים</t>
        </is>
      </c>
      <c r="AE1249" t="inlineStr">
        <is>
          <t>סריקת אתרי מפיצים</t>
        </is>
      </c>
      <c r="AG1249" t="inlineStr"/>
      <c r="AH1249" t="inlineStr"/>
      <c r="AJ1249" t="inlineStr"/>
      <c r="AP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Y1250" t="inlineStr">
        <is>
          <t>unknown</t>
        </is>
      </c>
      <c r="Z1250" t="inlineStr"/>
      <c r="AA1250" t="inlineStr"/>
      <c r="AB1250" t="inlineStr"/>
      <c r="AC1250" t="inlineStr"/>
      <c r="AD1250" t="inlineStr">
        <is>
          <t>לא נמצא בסריקת המפיצים</t>
        </is>
      </c>
      <c r="AE1250" t="inlineStr">
        <is>
          <t>סריקת אתרי מפיצים</t>
        </is>
      </c>
      <c r="AG1250" t="inlineStr"/>
      <c r="AH1250" t="inlineStr"/>
      <c r="AJ1250" t="inlineStr"/>
      <c r="AP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J1251" t="inlineStr"/>
      <c r="Y1251" t="inlineStr">
        <is>
          <t>unknown</t>
        </is>
      </c>
      <c r="Z1251" t="inlineStr"/>
      <c r="AA1251" t="inlineStr"/>
      <c r="AB1251" t="inlineStr"/>
      <c r="AC1251" t="inlineStr"/>
      <c r="AD1251" t="inlineStr">
        <is>
          <t>לא נמצא בסריקת המפיצים</t>
        </is>
      </c>
      <c r="AE1251" t="inlineStr">
        <is>
          <t>סריקת אתרי מפיצים</t>
        </is>
      </c>
      <c r="AG1251" t="inlineStr"/>
      <c r="AH1251" t="inlineStr"/>
      <c r="AJ1251" t="inlineStr"/>
      <c r="AP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Y1252" t="inlineStr">
        <is>
          <t>unknown</t>
        </is>
      </c>
      <c r="Z1252" t="inlineStr"/>
      <c r="AA1252" t="inlineStr"/>
      <c r="AB1252" t="inlineStr"/>
      <c r="AC1252" t="inlineStr"/>
      <c r="AD1252" t="inlineStr">
        <is>
          <t>לא נמצא בסריקת המפיצים</t>
        </is>
      </c>
      <c r="AE1252" t="inlineStr">
        <is>
          <t>סריקת אתרי מפיצים</t>
        </is>
      </c>
      <c r="AG1252" t="inlineStr"/>
      <c r="AH1252" t="inlineStr"/>
      <c r="AJ1252" t="inlineStr"/>
      <c r="AP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Y1253" t="inlineStr">
        <is>
          <t>unknown</t>
        </is>
      </c>
      <c r="Z1253" t="inlineStr"/>
      <c r="AA1253" t="inlineStr"/>
      <c r="AB1253" t="inlineStr"/>
      <c r="AC1253" t="inlineStr"/>
      <c r="AD1253" t="inlineStr">
        <is>
          <t>לא נמצא בסריקת המפיצים</t>
        </is>
      </c>
      <c r="AE1253" t="inlineStr">
        <is>
          <t>סריקת אתרי מפיצים</t>
        </is>
      </c>
      <c r="AG1253" t="inlineStr"/>
      <c r="AH1253" t="inlineStr"/>
      <c r="AJ1253" t="inlineStr"/>
      <c r="AP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Y1254" t="inlineStr">
        <is>
          <t>unknown</t>
        </is>
      </c>
      <c r="Z1254" t="inlineStr"/>
      <c r="AA1254" t="inlineStr"/>
      <c r="AB1254" t="inlineStr"/>
      <c r="AC1254" t="inlineStr"/>
      <c r="AD1254" t="inlineStr">
        <is>
          <t>לא נמצא בסריקת המפיצים</t>
        </is>
      </c>
      <c r="AE1254" t="inlineStr">
        <is>
          <t>סריקת אתרי מפיצים</t>
        </is>
      </c>
      <c r="AG1254" t="inlineStr"/>
      <c r="AH1254" t="inlineStr"/>
      <c r="AJ1254" t="inlineStr"/>
      <c r="AP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https://thermcoreps.com</t>
        </is>
      </c>
      <c r="I1255" t="inlineStr">
        <is>
          <t>clearbit</t>
        </is>
      </c>
      <c r="J1255" t="inlineStr"/>
      <c r="Y1255" t="inlineStr">
        <is>
          <t>unknown</t>
        </is>
      </c>
      <c r="Z1255" t="inlineStr"/>
      <c r="AA1255" t="inlineStr"/>
      <c r="AB1255" t="inlineStr"/>
      <c r="AC1255" t="inlineStr"/>
      <c r="AD1255" t="inlineStr">
        <is>
          <t>לא נמצא בסריקת המפיצים</t>
        </is>
      </c>
      <c r="AE1255" t="inlineStr">
        <is>
          <t>סריקת אתרי מפיצים</t>
        </is>
      </c>
      <c r="AG1255" t="inlineStr"/>
      <c r="AH1255" t="inlineStr"/>
      <c r="AJ1255" t="inlineStr"/>
      <c r="AP1255" t="inlineStr">
        <is>
          <t>https://www.thomassci.com/browse-by/suppliers/thermco</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P1256" t="n">
        <v>125000</v>
      </c>
      <c r="Q1256" t="n">
        <v>2025</v>
      </c>
      <c r="R1256" t="inlineStr">
        <is>
          <t>company</t>
        </is>
      </c>
      <c r="S1256" t="inlineStr">
        <is>
          <t>prior</t>
        </is>
      </c>
      <c r="T1256" t="n">
        <v>44560</v>
      </c>
      <c r="U1256" t="inlineStr">
        <is>
          <t>USD 44.56 billion</t>
        </is>
      </c>
      <c r="V1256" t="inlineStr">
        <is>
          <t>FY2025</t>
        </is>
      </c>
      <c r="W1256" t="inlineStr">
        <is>
          <t>company</t>
        </is>
      </c>
      <c r="X1256" t="inlineStr">
        <is>
          <t>prior</t>
        </is>
      </c>
      <c r="Y1256" t="inlineStr">
        <is>
          <t>reported</t>
        </is>
      </c>
      <c r="Z1256" t="inlineStr">
        <is>
          <t>Thermo Scientific Orbitrap Astral</t>
        </is>
      </c>
      <c r="AA1256" t="inlineStr">
        <is>
          <t>Applied Biosystems QuantStudio</t>
        </is>
      </c>
      <c r="AB1256" t="inlineStr">
        <is>
          <t>Thermo Scientific Krios cryo-TEM</t>
        </is>
      </c>
      <c r="AC1256" t="inlineStr">
        <is>
          <t>prior</t>
        </is>
      </c>
      <c r="AD1256" t="inlineStr">
        <is>
          <t>חברה-בת בישראל</t>
        </is>
      </c>
      <c r="AE1256" t="inlineStr">
        <is>
          <t>אומת</t>
        </is>
      </c>
      <c r="AF1256" t="n">
        <v>2026</v>
      </c>
      <c r="AG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56" t="inlineStr">
        <is>
          <t>+972 73 256 0860</t>
        </is>
      </c>
      <c r="AL1256" t="inlineStr">
        <is>
          <t>Waltham, Massachusetts</t>
        </is>
      </c>
      <c r="AN1256" t="inlineStr">
        <is>
          <t>https://slimpages.startupim.com/company_page/thermo-fisher-scientific</t>
        </is>
      </c>
      <c r="AP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57">
      <c r="A1257" t="n">
        <v>1256</v>
      </c>
      <c r="B1257" t="inlineStr">
        <is>
          <t>Thermo Scientific Capitol Vial</t>
        </is>
      </c>
      <c r="C1257" t="inlineStr">
        <is>
          <t>T</t>
        </is>
      </c>
      <c r="E1257" t="inlineStr">
        <is>
          <t>https://www.thomassci.com/browse-by/suppliers/thermo-scientific-capitol-vial</t>
        </is>
      </c>
      <c r="F1257" t="inlineStr"/>
      <c r="J1257" t="inlineStr"/>
      <c r="Y1257" t="inlineStr">
        <is>
          <t>unknown</t>
        </is>
      </c>
      <c r="Z1257" t="inlineStr"/>
      <c r="AA1257" t="inlineStr"/>
      <c r="AB1257" t="inlineStr"/>
      <c r="AC1257" t="inlineStr"/>
      <c r="AD1257" t="inlineStr">
        <is>
          <t>לא נמצא בסריקת המפיצים</t>
        </is>
      </c>
      <c r="AE1257" t="inlineStr">
        <is>
          <t>סריקת אתרי מפיצים</t>
        </is>
      </c>
      <c r="AG1257" t="inlineStr"/>
      <c r="AH1257" t="inlineStr"/>
      <c r="AJ1257" t="inlineStr"/>
      <c r="AP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Y1258" t="inlineStr">
        <is>
          <t>unknown</t>
        </is>
      </c>
      <c r="Z1258" t="inlineStr"/>
      <c r="AA1258" t="inlineStr"/>
      <c r="AB1258" t="inlineStr"/>
      <c r="AC1258" t="inlineStr"/>
      <c r="AD1258" t="inlineStr">
        <is>
          <t>לא נמצא בסריקת המפיצים</t>
        </is>
      </c>
      <c r="AE1258" t="inlineStr">
        <is>
          <t>סריקת אתרי מפיצים</t>
        </is>
      </c>
      <c r="AG1258" t="inlineStr"/>
      <c r="AH1258" t="inlineStr"/>
      <c r="AJ1258" t="inlineStr"/>
      <c r="AP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Y1259" t="inlineStr">
        <is>
          <t>unknown</t>
        </is>
      </c>
      <c r="Z1259" t="inlineStr"/>
      <c r="AA1259" t="inlineStr"/>
      <c r="AB1259" t="inlineStr"/>
      <c r="AC1259" t="inlineStr"/>
      <c r="AD1259" t="inlineStr">
        <is>
          <t>לא נמצא בסריקת המפיצים</t>
        </is>
      </c>
      <c r="AE1259" t="inlineStr">
        <is>
          <t>סריקת אתרי מפיצים</t>
        </is>
      </c>
      <c r="AG1259" t="inlineStr"/>
      <c r="AH1259" t="inlineStr"/>
      <c r="AJ1259" t="inlineStr"/>
      <c r="AP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P1260" t="n">
        <v>125000</v>
      </c>
      <c r="Q1260" t="n">
        <v>2025</v>
      </c>
      <c r="R1260" t="inlineStr">
        <is>
          <t>company</t>
        </is>
      </c>
      <c r="S1260" t="inlineStr">
        <is>
          <t>prior</t>
        </is>
      </c>
      <c r="T1260" t="n">
        <v>44560</v>
      </c>
      <c r="U1260" t="inlineStr">
        <is>
          <t>USD 44.56 billion</t>
        </is>
      </c>
      <c r="V1260" t="inlineStr">
        <is>
          <t>FY2025</t>
        </is>
      </c>
      <c r="W1260" t="inlineStr">
        <is>
          <t>company</t>
        </is>
      </c>
      <c r="X1260" t="inlineStr">
        <is>
          <t>prior</t>
        </is>
      </c>
      <c r="Y1260" t="inlineStr">
        <is>
          <t>reported</t>
        </is>
      </c>
      <c r="Z1260" t="inlineStr">
        <is>
          <t>Thermo Scientific Orbitrap Astral</t>
        </is>
      </c>
      <c r="AA1260" t="inlineStr">
        <is>
          <t>Applied Biosystems QuantStudio</t>
        </is>
      </c>
      <c r="AB1260" t="inlineStr">
        <is>
          <t>Thermo Scientific Krios cryo-TEM</t>
        </is>
      </c>
      <c r="AC1260" t="inlineStr">
        <is>
          <t>prior</t>
        </is>
      </c>
      <c r="AD1260" t="inlineStr">
        <is>
          <t>חברה-בת בישראל</t>
        </is>
      </c>
      <c r="AE1260" t="inlineStr">
        <is>
          <t>אומת</t>
        </is>
      </c>
      <c r="AF1260" t="n">
        <v>2026</v>
      </c>
      <c r="AG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0" t="inlineStr">
        <is>
          <t>+972 73 256 0860</t>
        </is>
      </c>
      <c r="AL1260" t="inlineStr">
        <is>
          <t>Waltham, Massachusetts</t>
        </is>
      </c>
      <c r="AN1260" t="inlineStr">
        <is>
          <t>https://slimpages.startupim.com/company_page/thermo-fisher-scientific</t>
        </is>
      </c>
      <c r="AP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1">
      <c r="A1261" t="n">
        <v>1260</v>
      </c>
      <c r="B1261" t="inlineStr">
        <is>
          <t>Thermo Scientific Nunc</t>
        </is>
      </c>
      <c r="C1261" t="inlineStr">
        <is>
          <t>T</t>
        </is>
      </c>
      <c r="E1261" t="inlineStr">
        <is>
          <t>https://www.thomassci.com/browse-by/suppliers/thermo-scientific-nunc</t>
        </is>
      </c>
      <c r="F1261" t="inlineStr"/>
      <c r="J1261" t="inlineStr"/>
      <c r="Y1261" t="inlineStr">
        <is>
          <t>unknown</t>
        </is>
      </c>
      <c r="Z1261" t="inlineStr"/>
      <c r="AA1261" t="inlineStr"/>
      <c r="AB1261" t="inlineStr"/>
      <c r="AC1261" t="inlineStr"/>
      <c r="AD1261" t="inlineStr">
        <is>
          <t>לא נמצא בסריקת המפיצים</t>
        </is>
      </c>
      <c r="AE1261" t="inlineStr">
        <is>
          <t>סריקת אתרי מפיצים</t>
        </is>
      </c>
      <c r="AG1261" t="inlineStr"/>
      <c r="AH1261" t="inlineStr"/>
      <c r="AJ1261" t="inlineStr"/>
      <c r="AP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P1262" t="n">
        <v>125000</v>
      </c>
      <c r="Q1262" t="n">
        <v>2025</v>
      </c>
      <c r="R1262" t="inlineStr">
        <is>
          <t>company</t>
        </is>
      </c>
      <c r="S1262" t="inlineStr">
        <is>
          <t>prior</t>
        </is>
      </c>
      <c r="T1262" t="n">
        <v>44560</v>
      </c>
      <c r="U1262" t="inlineStr">
        <is>
          <t>USD 44.56 billion</t>
        </is>
      </c>
      <c r="V1262" t="inlineStr">
        <is>
          <t>FY2025</t>
        </is>
      </c>
      <c r="W1262" t="inlineStr">
        <is>
          <t>company</t>
        </is>
      </c>
      <c r="X1262" t="inlineStr">
        <is>
          <t>prior</t>
        </is>
      </c>
      <c r="Y1262" t="inlineStr">
        <is>
          <t>reported</t>
        </is>
      </c>
      <c r="Z1262" t="inlineStr">
        <is>
          <t>Thermo Scientific Orbitrap Astral</t>
        </is>
      </c>
      <c r="AA1262" t="inlineStr">
        <is>
          <t>Applied Biosystems QuantStudio</t>
        </is>
      </c>
      <c r="AB1262" t="inlineStr">
        <is>
          <t>Thermo Scientific Krios cryo-TEM</t>
        </is>
      </c>
      <c r="AC1262" t="inlineStr">
        <is>
          <t>prior</t>
        </is>
      </c>
      <c r="AD1262" t="inlineStr">
        <is>
          <t>חברה-בת בישראל</t>
        </is>
      </c>
      <c r="AE1262" t="inlineStr">
        <is>
          <t>אומת</t>
        </is>
      </c>
      <c r="AF1262" t="n">
        <v>2026</v>
      </c>
      <c r="AG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2" t="inlineStr">
        <is>
          <t>+972 73 256 0860</t>
        </is>
      </c>
      <c r="AL1262" t="inlineStr">
        <is>
          <t>Waltham, Massachusetts</t>
        </is>
      </c>
      <c r="AN1262" t="inlineStr">
        <is>
          <t>https://slimpages.startupim.com/company_page/thermo-fisher-scientific</t>
        </is>
      </c>
      <c r="AP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3">
      <c r="A1263" t="n">
        <v>1262</v>
      </c>
      <c r="B1263" t="inlineStr">
        <is>
          <t>Thermo Scientific Pierce</t>
        </is>
      </c>
      <c r="C1263" t="inlineStr">
        <is>
          <t>T</t>
        </is>
      </c>
      <c r="E1263" t="inlineStr">
        <is>
          <t>https://www.thomassci.com/browse-by/suppliers/thermo-scientific-pierce</t>
        </is>
      </c>
      <c r="F1263" t="inlineStr"/>
      <c r="J1263" t="inlineStr"/>
      <c r="Y1263" t="inlineStr">
        <is>
          <t>unknown</t>
        </is>
      </c>
      <c r="Z1263" t="inlineStr"/>
      <c r="AA1263" t="inlineStr"/>
      <c r="AB1263" t="inlineStr"/>
      <c r="AC1263" t="inlineStr"/>
      <c r="AD1263" t="inlineStr">
        <is>
          <t>לא נמצא בסריקת המפיצים</t>
        </is>
      </c>
      <c r="AE1263" t="inlineStr">
        <is>
          <t>סריקת אתרי מפיצים</t>
        </is>
      </c>
      <c r="AG1263" t="inlineStr"/>
      <c r="AH1263" t="inlineStr"/>
      <c r="AJ1263" t="inlineStr"/>
      <c r="AP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Y1264" t="inlineStr">
        <is>
          <t>unknown</t>
        </is>
      </c>
      <c r="Z1264" t="inlineStr"/>
      <c r="AA1264" t="inlineStr"/>
      <c r="AB1264" t="inlineStr"/>
      <c r="AC1264" t="inlineStr"/>
      <c r="AD1264" t="inlineStr">
        <is>
          <t>לא נמצא בסריקת המפיצים</t>
        </is>
      </c>
      <c r="AE1264" t="inlineStr">
        <is>
          <t>סריקת אתרי מפיצים</t>
        </is>
      </c>
      <c r="AG1264" t="inlineStr"/>
      <c r="AH1264" t="inlineStr"/>
      <c r="AJ1264" t="inlineStr"/>
      <c r="AP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Y1265" t="inlineStr">
        <is>
          <t>unknown</t>
        </is>
      </c>
      <c r="Z1265" t="inlineStr"/>
      <c r="AA1265" t="inlineStr"/>
      <c r="AB1265" t="inlineStr"/>
      <c r="AC1265" t="inlineStr"/>
      <c r="AD1265" t="inlineStr">
        <is>
          <t>לא נמצא בסריקת המפיצים</t>
        </is>
      </c>
      <c r="AE1265" t="inlineStr">
        <is>
          <t>סריקת אתרי מפיצים</t>
        </is>
      </c>
      <c r="AG1265" t="inlineStr"/>
      <c r="AH1265" t="inlineStr"/>
      <c r="AJ1265" t="inlineStr"/>
      <c r="AP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Y1266" t="inlineStr">
        <is>
          <t>unknown</t>
        </is>
      </c>
      <c r="Z1266" t="inlineStr"/>
      <c r="AA1266" t="inlineStr"/>
      <c r="AB1266" t="inlineStr"/>
      <c r="AC1266" t="inlineStr"/>
      <c r="AD1266" t="inlineStr">
        <is>
          <t>לא נמצא בסריקת המפיצים</t>
        </is>
      </c>
      <c r="AE1266" t="inlineStr">
        <is>
          <t>סריקת אתרי מפיצים</t>
        </is>
      </c>
      <c r="AG1266" t="inlineStr"/>
      <c r="AH1266" t="inlineStr"/>
      <c r="AJ1266" t="inlineStr"/>
      <c r="AP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Y1267" t="inlineStr">
        <is>
          <t>unknown</t>
        </is>
      </c>
      <c r="Z1267" t="inlineStr"/>
      <c r="AA1267" t="inlineStr"/>
      <c r="AB1267" t="inlineStr"/>
      <c r="AC1267" t="inlineStr"/>
      <c r="AD1267" t="inlineStr">
        <is>
          <t>לא נמצא בסריקת המפיצים</t>
        </is>
      </c>
      <c r="AE1267" t="inlineStr">
        <is>
          <t>סריקת אתרי מפיצים</t>
        </is>
      </c>
      <c r="AG1267" t="inlineStr"/>
      <c r="AH1267" t="inlineStr"/>
      <c r="AJ1267" t="inlineStr"/>
      <c r="AP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t>
        </is>
      </c>
      <c r="J1268" t="inlineStr"/>
      <c r="Y1268" t="inlineStr">
        <is>
          <t>unknown</t>
        </is>
      </c>
      <c r="Z1268" t="inlineStr"/>
      <c r="AA1268" t="inlineStr"/>
      <c r="AB1268" t="inlineStr"/>
      <c r="AC1268" t="inlineStr"/>
      <c r="AD1268" t="inlineStr">
        <is>
          <t>לא נמצא בסריקת המפיצים</t>
        </is>
      </c>
      <c r="AE1268" t="inlineStr">
        <is>
          <t>סריקת אתרי מפיצים</t>
        </is>
      </c>
      <c r="AG1268" t="inlineStr"/>
      <c r="AH1268" t="inlineStr"/>
      <c r="AJ1268" t="inlineStr"/>
      <c r="AP1268" t="inlineStr">
        <is>
          <t>https://www.thomassci.com/browse-by/suppliers/thermomedics</t>
        </is>
      </c>
    </row>
    <row r="1269">
      <c r="A1269" t="n">
        <v>1268</v>
      </c>
      <c r="B1269" t="inlineStr">
        <is>
          <t>Thermosafe</t>
        </is>
      </c>
      <c r="C1269" t="inlineStr">
        <is>
          <t>T</t>
        </is>
      </c>
      <c r="E1269" t="inlineStr">
        <is>
          <t>https://www.thomassci.com/browse-by/suppliers/thermosafe</t>
        </is>
      </c>
      <c r="F1269" t="inlineStr"/>
      <c r="H1269" t="inlineStr">
        <is>
          <t>https://thermosafety.pl</t>
        </is>
      </c>
      <c r="I1269" t="inlineStr">
        <is>
          <t>clearbit</t>
        </is>
      </c>
      <c r="J1269" t="inlineStr"/>
      <c r="Y1269" t="inlineStr">
        <is>
          <t>unknown</t>
        </is>
      </c>
      <c r="Z1269" t="inlineStr"/>
      <c r="AA1269" t="inlineStr"/>
      <c r="AB1269" t="inlineStr"/>
      <c r="AC1269" t="inlineStr"/>
      <c r="AD1269" t="inlineStr">
        <is>
          <t>לא נמצא בסריקת המפיצים</t>
        </is>
      </c>
      <c r="AE1269" t="inlineStr">
        <is>
          <t>סריקת אתרי מפיצים</t>
        </is>
      </c>
      <c r="AG1269" t="inlineStr"/>
      <c r="AH1269" t="inlineStr"/>
      <c r="AJ1269" t="inlineStr"/>
      <c r="AP1269" t="inlineStr">
        <is>
          <t>https://www.thomassci.com/browse-by/suppliers/thermosafe</t>
        </is>
      </c>
    </row>
    <row r="1270">
      <c r="A1270" t="n">
        <v>1269</v>
      </c>
      <c r="B1270" t="inlineStr">
        <is>
          <t>TheWell Bioscience Inc.</t>
        </is>
      </c>
      <c r="C1270" t="inlineStr">
        <is>
          <t>T+Q</t>
        </is>
      </c>
      <c r="E1270" t="inlineStr">
        <is>
          <t>https://www.thomassci.com/browse-by/suppliers/thewell-bioscience-inc-</t>
        </is>
      </c>
      <c r="F1270" t="inlineStr">
        <is>
          <t>yes</t>
        </is>
      </c>
      <c r="J1270" t="inlineStr"/>
      <c r="Y1270" t="inlineStr">
        <is>
          <t>unknown</t>
        </is>
      </c>
      <c r="Z1270" t="inlineStr"/>
      <c r="AA1270" t="inlineStr"/>
      <c r="AB1270" t="inlineStr"/>
      <c r="AC1270" t="inlineStr"/>
      <c r="AD1270" t="inlineStr">
        <is>
          <t>לא נמצא בסריקת המפיצים</t>
        </is>
      </c>
      <c r="AE1270" t="inlineStr">
        <is>
          <t>סריקת אתרי מפיצים</t>
        </is>
      </c>
      <c r="AG1270" t="inlineStr"/>
      <c r="AH1270" t="inlineStr"/>
      <c r="AJ1270" t="inlineStr"/>
      <c r="AP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H1271" t="inlineStr">
        <is>
          <t>https://thomasnet.com</t>
        </is>
      </c>
      <c r="I1271" t="inlineStr">
        <is>
          <t>clearbit</t>
        </is>
      </c>
      <c r="J1271" t="inlineStr"/>
      <c r="Y1271" t="inlineStr">
        <is>
          <t>unknown</t>
        </is>
      </c>
      <c r="Z1271" t="inlineStr"/>
      <c r="AA1271" t="inlineStr"/>
      <c r="AB1271" t="inlineStr"/>
      <c r="AC1271" t="inlineStr"/>
      <c r="AD1271" t="inlineStr">
        <is>
          <t>לא נמצא בסריקת המפיצים</t>
        </is>
      </c>
      <c r="AE1271" t="inlineStr">
        <is>
          <t>סריקת אתרי מפיצים</t>
        </is>
      </c>
      <c r="AG1271" t="inlineStr"/>
      <c r="AH1271" t="inlineStr"/>
      <c r="AJ1271" t="inlineStr"/>
      <c r="AP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Y1272" t="inlineStr">
        <is>
          <t>unknown</t>
        </is>
      </c>
      <c r="Z1272" t="inlineStr"/>
      <c r="AA1272" t="inlineStr"/>
      <c r="AB1272" t="inlineStr"/>
      <c r="AC1272" t="inlineStr"/>
      <c r="AD1272" t="inlineStr">
        <is>
          <t>לא נמצא בסריקת המפיצים</t>
        </is>
      </c>
      <c r="AE1272" t="inlineStr">
        <is>
          <t>סריקת אתרי מפיצים</t>
        </is>
      </c>
      <c r="AG1272" t="inlineStr"/>
      <c r="AH1272" t="inlineStr"/>
      <c r="AJ1272" t="inlineStr"/>
      <c r="AP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t>
        </is>
      </c>
      <c r="J1273" t="inlineStr"/>
      <c r="Y1273" t="inlineStr">
        <is>
          <t>unknown</t>
        </is>
      </c>
      <c r="Z1273" t="inlineStr"/>
      <c r="AA1273" t="inlineStr"/>
      <c r="AB1273" t="inlineStr"/>
      <c r="AC1273" t="inlineStr"/>
      <c r="AD1273" t="inlineStr">
        <is>
          <t>לא נמצא בסריקת המפיצים</t>
        </is>
      </c>
      <c r="AE1273" t="inlineStr">
        <is>
          <t>סריקת אתרי מפיצים</t>
        </is>
      </c>
      <c r="AG1273" t="inlineStr"/>
      <c r="AH1273" t="inlineStr"/>
      <c r="AJ1273" t="inlineStr"/>
      <c r="AP1273" t="inlineStr">
        <is>
          <t>https://www.thomassci.com/browse-by/suppliers/tidi-products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t>
        </is>
      </c>
      <c r="J1274" t="inlineStr"/>
      <c r="Y1274" t="inlineStr">
        <is>
          <t>unknown</t>
        </is>
      </c>
      <c r="Z1274" t="inlineStr"/>
      <c r="AA1274" t="inlineStr"/>
      <c r="AB1274" t="inlineStr"/>
      <c r="AC1274" t="inlineStr"/>
      <c r="AD1274" t="inlineStr">
        <is>
          <t>לא נמצא בסריקת המפיצים</t>
        </is>
      </c>
      <c r="AE1274" t="inlineStr">
        <is>
          <t>סריקת אתרי מפיצים</t>
        </is>
      </c>
      <c r="AG1274" t="inlineStr"/>
      <c r="AH1274" t="inlineStr"/>
      <c r="AJ1274" t="inlineStr"/>
      <c r="AP1274" t="inlineStr">
        <is>
          <t>https://www.thomassci.com/browse-by/suppliers/tiger-vac</t>
        </is>
      </c>
    </row>
    <row r="1275">
      <c r="A1275" t="n">
        <v>1274</v>
      </c>
      <c r="B1275" t="inlineStr">
        <is>
          <t>Tingley Rubber</t>
        </is>
      </c>
      <c r="C1275" t="inlineStr">
        <is>
          <t>T</t>
        </is>
      </c>
      <c r="E1275" t="inlineStr">
        <is>
          <t>https://www.thomassci.com/browse-by/suppliers/tingley-rubber</t>
        </is>
      </c>
      <c r="F1275" t="inlineStr"/>
      <c r="J1275" t="inlineStr"/>
      <c r="Y1275" t="inlineStr">
        <is>
          <t>unknown</t>
        </is>
      </c>
      <c r="Z1275" t="inlineStr"/>
      <c r="AA1275" t="inlineStr"/>
      <c r="AB1275" t="inlineStr"/>
      <c r="AC1275" t="inlineStr"/>
      <c r="AD1275" t="inlineStr">
        <is>
          <t>לא נמצא בסריקת המפיצים</t>
        </is>
      </c>
      <c r="AE1275" t="inlineStr">
        <is>
          <t>סריקת אתרי מפיצים</t>
        </is>
      </c>
      <c r="AG1275" t="inlineStr"/>
      <c r="AH1275" t="inlineStr"/>
      <c r="AJ1275" t="inlineStr"/>
      <c r="AP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Y1276" t="inlineStr">
        <is>
          <t>unknown</t>
        </is>
      </c>
      <c r="Z1276" t="inlineStr"/>
      <c r="AA1276" t="inlineStr"/>
      <c r="AB1276" t="inlineStr"/>
      <c r="AC1276" t="inlineStr"/>
      <c r="AD1276" t="inlineStr">
        <is>
          <t>לא נמצא בסריקת המפיצים</t>
        </is>
      </c>
      <c r="AE1276" t="inlineStr">
        <is>
          <t>סריקת אתרי מפיצים</t>
        </is>
      </c>
      <c r="AG1276" t="inlineStr"/>
      <c r="AH1276" t="inlineStr"/>
      <c r="AJ1276" t="inlineStr"/>
      <c r="AP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P1277" t="n">
        <v>3100</v>
      </c>
      <c r="Q1277" t="n">
        <v>2025</v>
      </c>
      <c r="R1277" t="inlineStr">
        <is>
          <t>company</t>
        </is>
      </c>
      <c r="S1277" t="inlineStr">
        <is>
          <t>prior</t>
        </is>
      </c>
      <c r="T1277" t="n">
        <v>1220</v>
      </c>
      <c r="U1277" t="inlineStr">
        <is>
          <t>USD 1.2 billion (approx.; flat vs FY2025 USD 1,219.6 million)</t>
        </is>
      </c>
      <c r="V1277" t="inlineStr">
        <is>
          <t>FY Jun-2026</t>
        </is>
      </c>
      <c r="W1277" t="inlineStr">
        <is>
          <t>company</t>
        </is>
      </c>
      <c r="X1277" t="inlineStr">
        <is>
          <t>prior</t>
        </is>
      </c>
      <c r="Y1277" t="inlineStr">
        <is>
          <t>reported</t>
        </is>
      </c>
      <c r="Z1277" t="inlineStr">
        <is>
          <t>ProteinSimple Jess / Simple Western</t>
        </is>
      </c>
      <c r="AA1277" t="inlineStr">
        <is>
          <t>R&amp;D Systems proteins, antibodies &amp; Quantikine ELISAs</t>
        </is>
      </c>
      <c r="AB1277" t="inlineStr">
        <is>
          <t>RNAscope (ACD)</t>
        </is>
      </c>
      <c r="AC1277" t="inlineStr">
        <is>
          <t>prior</t>
        </is>
      </c>
      <c r="AD1277" t="inlineStr">
        <is>
          <t>מפיץ/נציג בישראל</t>
        </is>
      </c>
      <c r="AE1277" t="inlineStr">
        <is>
          <t>חיפוש חלקי</t>
        </is>
      </c>
      <c r="AF1277" t="n">
        <v>2026</v>
      </c>
      <c r="AG1277" t="inlineStr">
        <is>
          <t>Getter Bio-Med (Getter Group); Biotest</t>
        </is>
      </c>
      <c r="AH1277" t="inlineStr">
        <is>
          <t>Getter Bio-Med (Getter Group): +972 3-576-1555 (Getter Group switchboard); Biotest:</t>
        </is>
      </c>
      <c r="AI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277" t="inlineStr">
        <is>
          <t>+1 800-343-7475</t>
        </is>
      </c>
      <c r="AK1277" t="inlineStr">
        <is>
          <t>techsupport@bio-techne.com</t>
        </is>
      </c>
      <c r="AL1277" t="inlineStr">
        <is>
          <t>614 McKinley Place NE, Minneapolis, MN 55413, USA</t>
        </is>
      </c>
      <c r="AM1277" t="inlineStr">
        <is>
          <t>https://rndsystems.com/node/64566</t>
        </is>
      </c>
      <c r="AN1277" t="inlineStr">
        <is>
          <t>https://rndsystems.com/node/64566</t>
        </is>
      </c>
      <c r="AP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Y1278" t="inlineStr">
        <is>
          <t>unknown</t>
        </is>
      </c>
      <c r="Z1278" t="inlineStr"/>
      <c r="AA1278" t="inlineStr"/>
      <c r="AB1278" t="inlineStr"/>
      <c r="AC1278" t="inlineStr"/>
      <c r="AD1278" t="inlineStr">
        <is>
          <t>לא נמצא בסריקת המפיצים</t>
        </is>
      </c>
      <c r="AE1278" t="inlineStr">
        <is>
          <t>סריקת אתרי מפיצים</t>
        </is>
      </c>
      <c r="AG1278" t="inlineStr"/>
      <c r="AH1278" t="inlineStr"/>
      <c r="AJ1278" t="inlineStr"/>
      <c r="AP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t>
        </is>
      </c>
      <c r="J1279" t="inlineStr"/>
      <c r="Y1279" t="inlineStr">
        <is>
          <t>unknown</t>
        </is>
      </c>
      <c r="Z1279" t="inlineStr"/>
      <c r="AA1279" t="inlineStr"/>
      <c r="AB1279" t="inlineStr"/>
      <c r="AC1279" t="inlineStr"/>
      <c r="AD1279" t="inlineStr">
        <is>
          <t>לא נמצא בסריקת המפיצים</t>
        </is>
      </c>
      <c r="AE1279" t="inlineStr">
        <is>
          <t>סריקת אתרי מפיצים</t>
        </is>
      </c>
      <c r="AG1279" t="inlineStr"/>
      <c r="AH1279" t="inlineStr"/>
      <c r="AJ1279" t="inlineStr"/>
      <c r="AP1279" t="inlineStr">
        <is>
          <t>https://www.dutscher.com/search?initialFilters=brand:Tork</t>
        </is>
      </c>
    </row>
    <row r="1280">
      <c r="A1280" t="n">
        <v>1279</v>
      </c>
      <c r="B1280" t="inlineStr">
        <is>
          <t>Toronto Research Chemicals</t>
        </is>
      </c>
      <c r="C1280" t="inlineStr">
        <is>
          <t>Q</t>
        </is>
      </c>
      <c r="F1280" t="inlineStr">
        <is>
          <t>yes</t>
        </is>
      </c>
      <c r="J1280" t="inlineStr"/>
      <c r="Y1280" t="inlineStr">
        <is>
          <t>unknown</t>
        </is>
      </c>
      <c r="Z1280" t="inlineStr"/>
      <c r="AA1280" t="inlineStr"/>
      <c r="AB1280" t="inlineStr"/>
      <c r="AC1280" t="inlineStr"/>
      <c r="AD1280" t="inlineStr">
        <is>
          <t>לא נמצא בסריקת המפיצים</t>
        </is>
      </c>
      <c r="AE1280" t="inlineStr">
        <is>
          <t>סריקת אתרי מפיצים</t>
        </is>
      </c>
      <c r="AG1280" t="inlineStr"/>
      <c r="AH1280" t="inlineStr"/>
      <c r="AJ1280" t="inlineStr"/>
      <c r="AP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t>
        </is>
      </c>
      <c r="J1281" t="inlineStr"/>
      <c r="Y1281" t="inlineStr">
        <is>
          <t>unknown</t>
        </is>
      </c>
      <c r="Z1281" t="inlineStr"/>
      <c r="AA1281" t="inlineStr"/>
      <c r="AB1281" t="inlineStr"/>
      <c r="AC1281" t="inlineStr"/>
      <c r="AD1281" t="inlineStr">
        <is>
          <t>לא נמצא בסריקת המפיצים</t>
        </is>
      </c>
      <c r="AE1281" t="inlineStr">
        <is>
          <t>סריקת אתרי מפיצים</t>
        </is>
      </c>
      <c r="AG1281" t="inlineStr"/>
      <c r="AH1281" t="inlineStr"/>
      <c r="AJ1281" t="inlineStr"/>
      <c r="AP1281" t="inlineStr">
        <is>
          <t>https://www.thomassci.com/browse-by/suppliers/torrey-pines-scientific</t>
        </is>
      </c>
    </row>
    <row r="1282">
      <c r="A1282" t="n">
        <v>1281</v>
      </c>
      <c r="B1282" t="inlineStr">
        <is>
          <t>Tournus equipement</t>
        </is>
      </c>
      <c r="C1282" t="inlineStr">
        <is>
          <t>D</t>
        </is>
      </c>
      <c r="D1282" t="inlineStr">
        <is>
          <t>https://www.dutscher.com/search?initialFilters=brand:Tournus+equipement</t>
        </is>
      </c>
      <c r="F1282" t="inlineStr"/>
      <c r="H1282" t="inlineStr">
        <is>
          <t>https://tournus.com</t>
        </is>
      </c>
      <c r="I1282" t="inlineStr">
        <is>
          <t>clearbit</t>
        </is>
      </c>
      <c r="J1282" t="inlineStr"/>
      <c r="Y1282" t="inlineStr">
        <is>
          <t>unknown</t>
        </is>
      </c>
      <c r="Z1282" t="inlineStr"/>
      <c r="AA1282" t="inlineStr"/>
      <c r="AB1282" t="inlineStr"/>
      <c r="AC1282" t="inlineStr"/>
      <c r="AD1282" t="inlineStr">
        <is>
          <t>לא נמצא בסריקת המפיצים</t>
        </is>
      </c>
      <c r="AE1282" t="inlineStr">
        <is>
          <t>סריקת אתרי מפיצים</t>
        </is>
      </c>
      <c r="AG1282" t="inlineStr"/>
      <c r="AH1282" t="inlineStr"/>
      <c r="AJ1282" t="inlineStr"/>
      <c r="AP1282" t="inlineStr">
        <is>
          <t>https://www.dutscher.com/search?initialFilters=brand:Tournus+equipement</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t>
        </is>
      </c>
      <c r="J1283" t="inlineStr"/>
      <c r="Y1283" t="inlineStr">
        <is>
          <t>unknown</t>
        </is>
      </c>
      <c r="Z1283" t="inlineStr"/>
      <c r="AA1283" t="inlineStr"/>
      <c r="AB1283" t="inlineStr"/>
      <c r="AC1283" t="inlineStr"/>
      <c r="AD1283" t="inlineStr">
        <is>
          <t>לא נמצא בסריקת המפיצים</t>
        </is>
      </c>
      <c r="AE1283" t="inlineStr">
        <is>
          <t>סריקת אתרי מפיצים</t>
        </is>
      </c>
      <c r="AG1283" t="inlineStr"/>
      <c r="AH1283" t="inlineStr"/>
      <c r="AJ1283" t="inlineStr"/>
      <c r="AP1283" t="inlineStr">
        <is>
          <t>https://www.dutscher.com/search?initialFilters=brand:TPP</t>
        </is>
      </c>
    </row>
    <row r="1284">
      <c r="A1284" t="n">
        <v>1283</v>
      </c>
      <c r="B1284" t="inlineStr">
        <is>
          <t>Transene Company, Inc</t>
        </is>
      </c>
      <c r="C1284" t="inlineStr">
        <is>
          <t>T</t>
        </is>
      </c>
      <c r="E1284" t="inlineStr">
        <is>
          <t>https://www.thomassci.com/browse-by/suppliers/transene-company-inc</t>
        </is>
      </c>
      <c r="F1284" t="inlineStr"/>
      <c r="J1284" t="inlineStr"/>
      <c r="Y1284" t="inlineStr">
        <is>
          <t>unknown</t>
        </is>
      </c>
      <c r="Z1284" t="inlineStr"/>
      <c r="AA1284" t="inlineStr"/>
      <c r="AB1284" t="inlineStr"/>
      <c r="AC1284" t="inlineStr"/>
      <c r="AD1284" t="inlineStr">
        <is>
          <t>לא נמצא בסריקת המפיצים</t>
        </is>
      </c>
      <c r="AE1284" t="inlineStr">
        <is>
          <t>סריקת אתרי מפיצים</t>
        </is>
      </c>
      <c r="AG1284" t="inlineStr"/>
      <c r="AH1284" t="inlineStr"/>
      <c r="AJ1284" t="inlineStr"/>
      <c r="AP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https://transform-tech.com</t>
        </is>
      </c>
      <c r="I1285" t="inlineStr">
        <is>
          <t>clearbit</t>
        </is>
      </c>
      <c r="J1285" t="inlineStr"/>
      <c r="Y1285" t="inlineStr">
        <is>
          <t>unknown</t>
        </is>
      </c>
      <c r="Z1285" t="inlineStr"/>
      <c r="AA1285" t="inlineStr"/>
      <c r="AB1285" t="inlineStr"/>
      <c r="AC1285" t="inlineStr"/>
      <c r="AD1285" t="inlineStr">
        <is>
          <t>לא נמצא בסריקת המפיצים</t>
        </is>
      </c>
      <c r="AE1285" t="inlineStr">
        <is>
          <t>סריקת אתרי מפיצים</t>
        </is>
      </c>
      <c r="AG1285" t="inlineStr"/>
      <c r="AH1285" t="inlineStr"/>
      <c r="AJ1285" t="inlineStr"/>
      <c r="AP1285" t="inlineStr">
        <is>
          <t>https://www.thomassci.com/browse-by/suppliers/transforming-technologies</t>
        </is>
      </c>
    </row>
    <row r="1286">
      <c r="A1286" t="n">
        <v>1285</v>
      </c>
      <c r="B1286" t="inlineStr">
        <is>
          <t>Treff Nolato</t>
        </is>
      </c>
      <c r="C1286" t="inlineStr">
        <is>
          <t>D</t>
        </is>
      </c>
      <c r="D1286" t="inlineStr">
        <is>
          <t>https://www.dutscher.com/search?initialFilters=brand:Treff+Nolato</t>
        </is>
      </c>
      <c r="F1286" t="inlineStr"/>
      <c r="J1286" t="inlineStr"/>
      <c r="Y1286" t="inlineStr">
        <is>
          <t>unknown</t>
        </is>
      </c>
      <c r="Z1286" t="inlineStr"/>
      <c r="AA1286" t="inlineStr"/>
      <c r="AB1286" t="inlineStr"/>
      <c r="AC1286" t="inlineStr"/>
      <c r="AD1286" t="inlineStr">
        <is>
          <t>לא נמצא בסריקת המפיצים</t>
        </is>
      </c>
      <c r="AE1286" t="inlineStr">
        <is>
          <t>סריקת אתרי מפיצים</t>
        </is>
      </c>
      <c r="AG1286" t="inlineStr"/>
      <c r="AH1286" t="inlineStr"/>
      <c r="AJ1286" t="inlineStr"/>
      <c r="AP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t>
        </is>
      </c>
      <c r="J1287" t="inlineStr"/>
      <c r="Y1287" t="inlineStr">
        <is>
          <t>unknown</t>
        </is>
      </c>
      <c r="Z1287" t="inlineStr"/>
      <c r="AA1287" t="inlineStr"/>
      <c r="AB1287" t="inlineStr"/>
      <c r="AC1287" t="inlineStr"/>
      <c r="AD1287" t="inlineStr">
        <is>
          <t>לא נמצא בסריקת המפיצים</t>
        </is>
      </c>
      <c r="AE1287" t="inlineStr">
        <is>
          <t>סריקת אתרי מפיצים</t>
        </is>
      </c>
      <c r="AG1287" t="inlineStr"/>
      <c r="AH1287" t="inlineStr"/>
      <c r="AJ1287" t="inlineStr"/>
      <c r="AP1287" t="inlineStr">
        <is>
          <t>https://www.thomassci.com/browse-by/suppliers/treston</t>
        </is>
      </c>
    </row>
    <row r="1288">
      <c r="A1288" t="n">
        <v>1287</v>
      </c>
      <c r="B1288" t="inlineStr">
        <is>
          <t>Trevigen</t>
        </is>
      </c>
      <c r="C1288" t="inlineStr">
        <is>
          <t>Q</t>
        </is>
      </c>
      <c r="F1288" t="inlineStr">
        <is>
          <t>yes</t>
        </is>
      </c>
      <c r="J1288" t="inlineStr"/>
      <c r="Y1288" t="inlineStr">
        <is>
          <t>unknown</t>
        </is>
      </c>
      <c r="Z1288" t="inlineStr"/>
      <c r="AA1288" t="inlineStr"/>
      <c r="AB1288" t="inlineStr"/>
      <c r="AC1288" t="inlineStr"/>
      <c r="AD1288" t="inlineStr">
        <is>
          <t>לא נמצא בסריקת המפיצים</t>
        </is>
      </c>
      <c r="AE1288" t="inlineStr">
        <is>
          <t>סריקת אתרי מפיצים</t>
        </is>
      </c>
      <c r="AG1288" t="inlineStr"/>
      <c r="AH1288" t="inlineStr"/>
      <c r="AJ1288" t="inlineStr"/>
      <c r="AP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t>
        </is>
      </c>
      <c r="J1289" t="inlineStr"/>
      <c r="Y1289" t="inlineStr">
        <is>
          <t>unknown</t>
        </is>
      </c>
      <c r="Z1289" t="inlineStr"/>
      <c r="AA1289" t="inlineStr"/>
      <c r="AB1289" t="inlineStr"/>
      <c r="AC1289" t="inlineStr"/>
      <c r="AD1289" t="inlineStr">
        <is>
          <t>לא נמצא בסריקת המפיצים</t>
        </is>
      </c>
      <c r="AE1289" t="inlineStr">
        <is>
          <t>סריקת אתרי מפיצים</t>
        </is>
      </c>
      <c r="AG1289" t="inlineStr"/>
      <c r="AH1289" t="inlineStr"/>
      <c r="AJ1289" t="inlineStr"/>
      <c r="AP1289" t="inlineStr">
        <is>
          <t>https://www.quartzy.com/suppliers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https://triforestflooring.ca</t>
        </is>
      </c>
      <c r="I1290" t="inlineStr">
        <is>
          <t>clearbit</t>
        </is>
      </c>
      <c r="J1290" t="inlineStr"/>
      <c r="Y1290" t="inlineStr">
        <is>
          <t>unknown</t>
        </is>
      </c>
      <c r="Z1290" t="inlineStr"/>
      <c r="AA1290" t="inlineStr"/>
      <c r="AB1290" t="inlineStr"/>
      <c r="AC1290" t="inlineStr"/>
      <c r="AD1290" t="inlineStr">
        <is>
          <t>לא נמצא בסריקת המפיצים</t>
        </is>
      </c>
      <c r="AE1290" t="inlineStr">
        <is>
          <t>סריקת אתרי מפיצים</t>
        </is>
      </c>
      <c r="AG1290" t="inlineStr"/>
      <c r="AH1290" t="inlineStr"/>
      <c r="AJ1290" t="inlineStr"/>
      <c r="AP1290" t="inlineStr">
        <is>
          <t>https://www.dutscher.com/search?initialFilters=brand:Triforest | https://www.quartzy.com/suppliers | https://www.thomassci.com/browse-by/suppliers/triforest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t>
        </is>
      </c>
      <c r="J1291" t="inlineStr"/>
      <c r="Y1291" t="inlineStr">
        <is>
          <t>unknown</t>
        </is>
      </c>
      <c r="Z1291" t="inlineStr"/>
      <c r="AA1291" t="inlineStr"/>
      <c r="AB1291" t="inlineStr"/>
      <c r="AC1291" t="inlineStr"/>
      <c r="AD1291" t="inlineStr">
        <is>
          <t>לא נמצא בסריקת המפיצים</t>
        </is>
      </c>
      <c r="AE1291" t="inlineStr">
        <is>
          <t>סריקת אתרי מפיצים</t>
        </is>
      </c>
      <c r="AG1291" t="inlineStr"/>
      <c r="AH1291" t="inlineStr"/>
      <c r="AJ1291" t="inlineStr"/>
      <c r="AP1291" t="inlineStr">
        <is>
          <t>https://www.dutscher.com/search?initialFilters=brand:Trionyx</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t>
        </is>
      </c>
      <c r="J1292" t="inlineStr"/>
      <c r="Y1292" t="inlineStr">
        <is>
          <t>unknown</t>
        </is>
      </c>
      <c r="Z1292" t="inlineStr"/>
      <c r="AA1292" t="inlineStr"/>
      <c r="AB1292" t="inlineStr"/>
      <c r="AC1292" t="inlineStr"/>
      <c r="AD1292" t="inlineStr">
        <is>
          <t>לא נמצא בסריקת המפיצים</t>
        </is>
      </c>
      <c r="AE1292" t="inlineStr">
        <is>
          <t>סריקת אתרי מפיצים</t>
        </is>
      </c>
      <c r="AG1292" t="inlineStr"/>
      <c r="AH1292" t="inlineStr"/>
      <c r="AJ1292" t="inlineStr"/>
      <c r="AP1292" t="inlineStr">
        <is>
          <t>https://www.quartzy.com/suppliers | https://www.thomassci.com/browse-by/suppliers/trippnt</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Y1293" t="inlineStr">
        <is>
          <t>unknown</t>
        </is>
      </c>
      <c r="Z1293" t="inlineStr"/>
      <c r="AA1293" t="inlineStr"/>
      <c r="AB1293" t="inlineStr"/>
      <c r="AC1293" t="inlineStr"/>
      <c r="AD1293" t="inlineStr">
        <is>
          <t>לא נמצא בסריקת המפיצים</t>
        </is>
      </c>
      <c r="AE1293" t="inlineStr">
        <is>
          <t>סריקת אתרי מפיצים</t>
        </is>
      </c>
      <c r="AG1293" t="inlineStr"/>
      <c r="AH1293" t="inlineStr"/>
      <c r="AJ1293" t="inlineStr"/>
      <c r="AP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Y1294" t="inlineStr">
        <is>
          <t>unknown</t>
        </is>
      </c>
      <c r="Z1294" t="inlineStr"/>
      <c r="AA1294" t="inlineStr"/>
      <c r="AB1294" t="inlineStr"/>
      <c r="AC1294" t="inlineStr"/>
      <c r="AD1294" t="inlineStr">
        <is>
          <t>לא נמצא בסריקת המפיצים</t>
        </is>
      </c>
      <c r="AE1294" t="inlineStr">
        <is>
          <t>סריקת אתרי מפיצים</t>
        </is>
      </c>
      <c r="AG1294" t="inlineStr"/>
      <c r="AH1294" t="inlineStr"/>
      <c r="AJ1294" t="inlineStr"/>
      <c r="AP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Y1295" t="inlineStr">
        <is>
          <t>unknown</t>
        </is>
      </c>
      <c r="Z1295" t="inlineStr"/>
      <c r="AA1295" t="inlineStr"/>
      <c r="AB1295" t="inlineStr"/>
      <c r="AC1295" t="inlineStr"/>
      <c r="AD1295" t="inlineStr">
        <is>
          <t>לא נמצא בסריקת המפיצים</t>
        </is>
      </c>
      <c r="AE1295" t="inlineStr">
        <is>
          <t>סריקת אתרי מפיצים</t>
        </is>
      </c>
      <c r="AG1295" t="inlineStr"/>
      <c r="AH1295" t="inlineStr"/>
      <c r="AJ1295" t="inlineStr"/>
      <c r="AP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Y1296" t="inlineStr">
        <is>
          <t>unknown</t>
        </is>
      </c>
      <c r="Z1296" t="inlineStr"/>
      <c r="AA1296" t="inlineStr"/>
      <c r="AB1296" t="inlineStr"/>
      <c r="AC1296" t="inlineStr"/>
      <c r="AD1296" t="inlineStr">
        <is>
          <t>לא נמצא בסריקת המפיצים</t>
        </is>
      </c>
      <c r="AE1296" t="inlineStr">
        <is>
          <t>סריקת אתרי מפיצים</t>
        </is>
      </c>
      <c r="AG1296" t="inlineStr"/>
      <c r="AH1296" t="inlineStr"/>
      <c r="AJ1296" t="inlineStr"/>
      <c r="AP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Y1297" t="inlineStr">
        <is>
          <t>unknown</t>
        </is>
      </c>
      <c r="Z1297" t="inlineStr"/>
      <c r="AA1297" t="inlineStr"/>
      <c r="AB1297" t="inlineStr"/>
      <c r="AC1297" t="inlineStr"/>
      <c r="AD1297" t="inlineStr">
        <is>
          <t>לא נמצא בסריקת המפיצים</t>
        </is>
      </c>
      <c r="AE1297" t="inlineStr">
        <is>
          <t>סריקת אתרי מפיצים</t>
        </is>
      </c>
      <c r="AG1297" t="inlineStr"/>
      <c r="AH1297" t="inlineStr"/>
      <c r="AJ1297" t="inlineStr"/>
      <c r="AP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t>
        </is>
      </c>
      <c r="J1298" t="inlineStr"/>
      <c r="Y1298" t="inlineStr">
        <is>
          <t>unknown</t>
        </is>
      </c>
      <c r="Z1298" t="inlineStr"/>
      <c r="AA1298" t="inlineStr"/>
      <c r="AB1298" t="inlineStr"/>
      <c r="AC1298" t="inlineStr"/>
      <c r="AD1298" t="inlineStr">
        <is>
          <t>לא נמצא בסריקת המפיצים</t>
        </is>
      </c>
      <c r="AE1298" t="inlineStr">
        <is>
          <t>סריקת אתרי מפיצים</t>
        </is>
      </c>
      <c r="AG1298" t="inlineStr"/>
      <c r="AH1298" t="inlineStr"/>
      <c r="AJ1298" t="inlineStr"/>
      <c r="AP1298" t="inlineStr">
        <is>
          <t>https://www.thomassci.com/browse-by/suppliers/truescience</t>
        </is>
      </c>
    </row>
    <row r="1299">
      <c r="A1299" t="n">
        <v>1298</v>
      </c>
      <c r="B1299" t="inlineStr">
        <is>
          <t>TubeWriter</t>
        </is>
      </c>
      <c r="C1299" t="inlineStr">
        <is>
          <t>T</t>
        </is>
      </c>
      <c r="E1299" t="inlineStr">
        <is>
          <t>https://www.thomassci.com/browse-by/suppliers/tubewriter</t>
        </is>
      </c>
      <c r="F1299" t="inlineStr"/>
      <c r="J1299" t="inlineStr"/>
      <c r="Y1299" t="inlineStr">
        <is>
          <t>unknown</t>
        </is>
      </c>
      <c r="Z1299" t="inlineStr"/>
      <c r="AA1299" t="inlineStr"/>
      <c r="AB1299" t="inlineStr"/>
      <c r="AC1299" t="inlineStr"/>
      <c r="AD1299" t="inlineStr">
        <is>
          <t>לא נמצא בסריקת המפיצים</t>
        </is>
      </c>
      <c r="AE1299" t="inlineStr">
        <is>
          <t>סריקת אתרי מפיצים</t>
        </is>
      </c>
      <c r="AG1299" t="inlineStr"/>
      <c r="AH1299" t="inlineStr"/>
      <c r="AJ1299" t="inlineStr"/>
      <c r="AP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J1300" t="inlineStr"/>
      <c r="Y1300" t="inlineStr">
        <is>
          <t>unknown</t>
        </is>
      </c>
      <c r="Z1300" t="inlineStr"/>
      <c r="AA1300" t="inlineStr"/>
      <c r="AB1300" t="inlineStr"/>
      <c r="AC1300" t="inlineStr"/>
      <c r="AD1300" t="inlineStr">
        <is>
          <t>לא נמצא בסריקת המפיצים</t>
        </is>
      </c>
      <c r="AE1300" t="inlineStr">
        <is>
          <t>סריקת אתרי מפיצים</t>
        </is>
      </c>
      <c r="AG1300" t="inlineStr"/>
      <c r="AH1300" t="inlineStr"/>
      <c r="AJ1300" t="inlineStr"/>
      <c r="AP1300" t="inlineStr">
        <is>
          <t>https://www.dutscher.com/search?initialFilters=brand:Tuttnauer | https://www.thomassci.com/browse-by/suppliers/tuttnauer-ltd-</t>
        </is>
      </c>
    </row>
    <row r="1301">
      <c r="A1301" t="n">
        <v>1300</v>
      </c>
      <c r="B1301" t="inlineStr">
        <is>
          <t>TWD TradeWinds, Inc.</t>
        </is>
      </c>
      <c r="C1301" t="inlineStr">
        <is>
          <t>T</t>
        </is>
      </c>
      <c r="E1301" t="inlineStr">
        <is>
          <t>https://www.thomassci.com/browse-by/suppliers/twd-tradewinds-inc-</t>
        </is>
      </c>
      <c r="F1301" t="inlineStr"/>
      <c r="J1301" t="inlineStr"/>
      <c r="Y1301" t="inlineStr">
        <is>
          <t>unknown</t>
        </is>
      </c>
      <c r="Z1301" t="inlineStr"/>
      <c r="AA1301" t="inlineStr"/>
      <c r="AB1301" t="inlineStr"/>
      <c r="AC1301" t="inlineStr"/>
      <c r="AD1301" t="inlineStr">
        <is>
          <t>לא נמצא בסריקת המפיצים</t>
        </is>
      </c>
      <c r="AE1301" t="inlineStr">
        <is>
          <t>סריקת אתרי מפיצים</t>
        </is>
      </c>
      <c r="AG1301" t="inlineStr"/>
      <c r="AH1301" t="inlineStr"/>
      <c r="AJ1301" t="inlineStr"/>
      <c r="AP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Y1302" t="inlineStr">
        <is>
          <t>unknown</t>
        </is>
      </c>
      <c r="Z1302" t="inlineStr"/>
      <c r="AA1302" t="inlineStr"/>
      <c r="AB1302" t="inlineStr"/>
      <c r="AC1302" t="inlineStr"/>
      <c r="AD1302" t="inlineStr">
        <is>
          <t>לא נמצא בסריקת המפיצים</t>
        </is>
      </c>
      <c r="AE1302" t="inlineStr">
        <is>
          <t>סריקת אתרי מפיצים</t>
        </is>
      </c>
      <c r="AG1302" t="inlineStr"/>
      <c r="AH1302" t="inlineStr"/>
      <c r="AJ1302" t="inlineStr"/>
      <c r="AP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t>
        </is>
      </c>
      <c r="J1303" t="inlineStr"/>
      <c r="Y1303" t="inlineStr">
        <is>
          <t>unknown</t>
        </is>
      </c>
      <c r="Z1303" t="inlineStr"/>
      <c r="AA1303" t="inlineStr"/>
      <c r="AB1303" t="inlineStr"/>
      <c r="AC1303" t="inlineStr"/>
      <c r="AD1303" t="inlineStr">
        <is>
          <t>לא נמצא בסריקת המפיצים</t>
        </is>
      </c>
      <c r="AE1303" t="inlineStr">
        <is>
          <t>סריקת אתרי מפיצים</t>
        </is>
      </c>
      <c r="AG1303" t="inlineStr"/>
      <c r="AH1303" t="inlineStr"/>
      <c r="AJ1303" t="inlineStr"/>
      <c r="AP1303" t="inlineStr">
        <is>
          <t>https://www.quartzy.com/suppliers | https://www.thomassci.com/browse-by/suppliers/uline</t>
        </is>
      </c>
    </row>
    <row r="1304">
      <c r="A1304" t="n">
        <v>1303</v>
      </c>
      <c r="B1304" t="inlineStr">
        <is>
          <t>Ultra EZgrind™</t>
        </is>
      </c>
      <c r="C1304" t="inlineStr">
        <is>
          <t>T</t>
        </is>
      </c>
      <c r="E1304" t="inlineStr">
        <is>
          <t>https://www.thomassci.com/browse-by/suppliers/ultra-ezgrind</t>
        </is>
      </c>
      <c r="F1304" t="inlineStr"/>
      <c r="J1304" t="inlineStr"/>
      <c r="Y1304" t="inlineStr">
        <is>
          <t>unknown</t>
        </is>
      </c>
      <c r="Z1304" t="inlineStr"/>
      <c r="AA1304" t="inlineStr"/>
      <c r="AB1304" t="inlineStr"/>
      <c r="AC1304" t="inlineStr"/>
      <c r="AD1304" t="inlineStr">
        <is>
          <t>לא נמצא בסריקת המפיצים</t>
        </is>
      </c>
      <c r="AE1304" t="inlineStr">
        <is>
          <t>סריקת אתרי מפיצים</t>
        </is>
      </c>
      <c r="AG1304" t="inlineStr"/>
      <c r="AH1304" t="inlineStr"/>
      <c r="AJ1304" t="inlineStr"/>
      <c r="AP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https://ultratape.com</t>
        </is>
      </c>
      <c r="I1305" t="inlineStr">
        <is>
          <t>clearbit</t>
        </is>
      </c>
      <c r="J1305" t="inlineStr"/>
      <c r="Y1305" t="inlineStr">
        <is>
          <t>unknown</t>
        </is>
      </c>
      <c r="Z1305" t="inlineStr"/>
      <c r="AA1305" t="inlineStr"/>
      <c r="AB1305" t="inlineStr"/>
      <c r="AC1305" t="inlineStr"/>
      <c r="AD1305" t="inlineStr">
        <is>
          <t>לא נמצא בסריקת המפיצים</t>
        </is>
      </c>
      <c r="AE1305" t="inlineStr">
        <is>
          <t>סריקת אתרי מפיצים</t>
        </is>
      </c>
      <c r="AG1305" t="inlineStr"/>
      <c r="AH1305" t="inlineStr"/>
      <c r="AJ1305" t="inlineStr"/>
      <c r="AP1305" t="inlineStr">
        <is>
          <t>https://www.thomassci.com/browse-by/suppliers/ultratape</t>
        </is>
      </c>
    </row>
    <row r="1306">
      <c r="A1306" t="n">
        <v>1305</v>
      </c>
      <c r="B1306" t="inlineStr">
        <is>
          <t>Uniform Technology</t>
        </is>
      </c>
      <c r="C1306" t="inlineStr">
        <is>
          <t>T</t>
        </is>
      </c>
      <c r="E1306" t="inlineStr">
        <is>
          <t>https://www.thomassci.com/browse-by/suppliers/uniform-technology</t>
        </is>
      </c>
      <c r="F1306" t="inlineStr"/>
      <c r="J1306" t="inlineStr"/>
      <c r="Y1306" t="inlineStr">
        <is>
          <t>unknown</t>
        </is>
      </c>
      <c r="Z1306" t="inlineStr"/>
      <c r="AA1306" t="inlineStr"/>
      <c r="AB1306" t="inlineStr"/>
      <c r="AC1306" t="inlineStr"/>
      <c r="AD1306" t="inlineStr">
        <is>
          <t>לא נמצא בסריקת המפיצים</t>
        </is>
      </c>
      <c r="AE1306" t="inlineStr">
        <is>
          <t>סריקת אתרי מפיצים</t>
        </is>
      </c>
      <c r="AG1306" t="inlineStr"/>
      <c r="AH1306" t="inlineStr"/>
      <c r="AJ1306" t="inlineStr"/>
      <c r="AP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Y1307" t="inlineStr">
        <is>
          <t>unknown</t>
        </is>
      </c>
      <c r="Z1307" t="inlineStr"/>
      <c r="AA1307" t="inlineStr"/>
      <c r="AB1307" t="inlineStr"/>
      <c r="AC1307" t="inlineStr"/>
      <c r="AD1307" t="inlineStr">
        <is>
          <t>לא נמצא בסריקת המפיצים</t>
        </is>
      </c>
      <c r="AE1307" t="inlineStr">
        <is>
          <t>סריקת אתרי מפיצים</t>
        </is>
      </c>
      <c r="AG1307" t="inlineStr"/>
      <c r="AH1307" t="inlineStr"/>
      <c r="AJ1307" t="inlineStr"/>
      <c r="AP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H1308" t="inlineStr">
        <is>
          <t>https://unipix.se</t>
        </is>
      </c>
      <c r="I1308" t="inlineStr">
        <is>
          <t>clearbit</t>
        </is>
      </c>
      <c r="J1308" t="inlineStr"/>
      <c r="Y1308" t="inlineStr">
        <is>
          <t>unknown</t>
        </is>
      </c>
      <c r="Z1308" t="inlineStr"/>
      <c r="AA1308" t="inlineStr"/>
      <c r="AB1308" t="inlineStr"/>
      <c r="AC1308" t="inlineStr"/>
      <c r="AD1308" t="inlineStr">
        <is>
          <t>לא נמצא בסריקת המפיצים</t>
        </is>
      </c>
      <c r="AE1308" t="inlineStr">
        <is>
          <t>סריקת אתרי מפיצים</t>
        </is>
      </c>
      <c r="AG1308" t="inlineStr"/>
      <c r="AH1308" t="inlineStr"/>
      <c r="AJ1308" t="inlineStr"/>
      <c r="AP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Y1309" t="inlineStr">
        <is>
          <t>unknown</t>
        </is>
      </c>
      <c r="Z1309" t="inlineStr"/>
      <c r="AA1309" t="inlineStr"/>
      <c r="AB1309" t="inlineStr"/>
      <c r="AC1309" t="inlineStr"/>
      <c r="AD1309" t="inlineStr">
        <is>
          <t>לא נמצא בסריקת המפיצים</t>
        </is>
      </c>
      <c r="AE1309" t="inlineStr">
        <is>
          <t>סריקת אתרי מפיצים</t>
        </is>
      </c>
      <c r="AG1309" t="inlineStr"/>
      <c r="AH1309" t="inlineStr"/>
      <c r="AJ1309" t="inlineStr"/>
      <c r="AP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Y1310" t="inlineStr">
        <is>
          <t>unknown</t>
        </is>
      </c>
      <c r="Z1310" t="inlineStr"/>
      <c r="AA1310" t="inlineStr"/>
      <c r="AB1310" t="inlineStr"/>
      <c r="AC1310" t="inlineStr"/>
      <c r="AD1310" t="inlineStr">
        <is>
          <t>לא נמצא בסריקת המפיצים</t>
        </is>
      </c>
      <c r="AE1310" t="inlineStr">
        <is>
          <t>סריקת אתרי מפיצים</t>
        </is>
      </c>
      <c r="AG1310" t="inlineStr"/>
      <c r="AH1310" t="inlineStr"/>
      <c r="AJ1310" t="inlineStr"/>
      <c r="AP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Y1311" t="inlineStr">
        <is>
          <t>unknown</t>
        </is>
      </c>
      <c r="Z1311" t="inlineStr"/>
      <c r="AA1311" t="inlineStr"/>
      <c r="AB1311" t="inlineStr"/>
      <c r="AC1311" t="inlineStr"/>
      <c r="AD1311" t="inlineStr">
        <is>
          <t>לא נמצא בסריקת המפיצים</t>
        </is>
      </c>
      <c r="AE1311" t="inlineStr">
        <is>
          <t>סריקת אתרי מפיצים</t>
        </is>
      </c>
      <c r="AG1311" t="inlineStr"/>
      <c r="AH1311" t="inlineStr"/>
      <c r="AJ1311" t="inlineStr"/>
      <c r="AP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Y1312" t="inlineStr">
        <is>
          <t>unknown</t>
        </is>
      </c>
      <c r="Z1312" t="inlineStr"/>
      <c r="AA1312" t="inlineStr"/>
      <c r="AB1312" t="inlineStr"/>
      <c r="AC1312" t="inlineStr"/>
      <c r="AD1312" t="inlineStr">
        <is>
          <t>לא נמצא בסריקת המפיצים</t>
        </is>
      </c>
      <c r="AE1312" t="inlineStr">
        <is>
          <t>סריקת אתרי מפיצים</t>
        </is>
      </c>
      <c r="AG1312" t="inlineStr"/>
      <c r="AH1312" t="inlineStr"/>
      <c r="AJ1312" t="inlineStr"/>
      <c r="AP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Y1313" t="inlineStr">
        <is>
          <t>unknown</t>
        </is>
      </c>
      <c r="Z1313" t="inlineStr"/>
      <c r="AA1313" t="inlineStr"/>
      <c r="AB1313" t="inlineStr"/>
      <c r="AC1313" t="inlineStr"/>
      <c r="AD1313" t="inlineStr">
        <is>
          <t>לא נמצא בסריקת המפיצים</t>
        </is>
      </c>
      <c r="AE1313" t="inlineStr">
        <is>
          <t>סריקת אתרי מפיצים</t>
        </is>
      </c>
      <c r="AG1313" t="inlineStr"/>
      <c r="AH1313" t="inlineStr"/>
      <c r="AJ1313" t="inlineStr"/>
      <c r="AP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t>
        </is>
      </c>
      <c r="J1314" t="inlineStr"/>
      <c r="Y1314" t="inlineStr">
        <is>
          <t>unknown</t>
        </is>
      </c>
      <c r="Z1314" t="inlineStr"/>
      <c r="AA1314" t="inlineStr"/>
      <c r="AB1314" t="inlineStr"/>
      <c r="AC1314" t="inlineStr"/>
      <c r="AD1314" t="inlineStr">
        <is>
          <t>לא נמצא בסריקת המפיצים</t>
        </is>
      </c>
      <c r="AE1314" t="inlineStr">
        <is>
          <t>סריקת אתרי מפיצים</t>
        </is>
      </c>
      <c r="AG1314" t="inlineStr"/>
      <c r="AH1314" t="inlineStr"/>
      <c r="AJ1314" t="inlineStr"/>
      <c r="AP1314" t="inlineStr">
        <is>
          <t>https://www.thomassci.com/browse-by/suppliers/ushio-america</t>
        </is>
      </c>
    </row>
    <row r="1315">
      <c r="A1315" t="n">
        <v>1314</v>
      </c>
      <c r="B1315" t="inlineStr">
        <is>
          <t>USultra</t>
        </is>
      </c>
      <c r="C1315" t="inlineStr">
        <is>
          <t>T</t>
        </is>
      </c>
      <c r="E1315" t="inlineStr">
        <is>
          <t>https://www.thomassci.com/browse-by/suppliers/usultra</t>
        </is>
      </c>
      <c r="F1315" t="inlineStr"/>
      <c r="J1315" t="inlineStr"/>
      <c r="Y1315" t="inlineStr">
        <is>
          <t>unknown</t>
        </is>
      </c>
      <c r="Z1315" t="inlineStr"/>
      <c r="AA1315" t="inlineStr"/>
      <c r="AB1315" t="inlineStr"/>
      <c r="AC1315" t="inlineStr"/>
      <c r="AD1315" t="inlineStr">
        <is>
          <t>לא נמצא בסריקת המפיצים</t>
        </is>
      </c>
      <c r="AE1315" t="inlineStr">
        <is>
          <t>סריקת אתרי מפיצים</t>
        </is>
      </c>
      <c r="AG1315" t="inlineStr"/>
      <c r="AH1315" t="inlineStr"/>
      <c r="AJ1315" t="inlineStr"/>
      <c r="AP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Y1316" t="inlineStr">
        <is>
          <t>unknown</t>
        </is>
      </c>
      <c r="Z1316" t="inlineStr"/>
      <c r="AA1316" t="inlineStr"/>
      <c r="AB1316" t="inlineStr"/>
      <c r="AC1316" t="inlineStr"/>
      <c r="AD1316" t="inlineStr">
        <is>
          <t>לא נמצא בסריקת המפיצים</t>
        </is>
      </c>
      <c r="AE1316" t="inlineStr">
        <is>
          <t>סריקת אתרי מפיצים</t>
        </is>
      </c>
      <c r="AG1316" t="inlineStr"/>
      <c r="AH1316" t="inlineStr"/>
      <c r="AJ1316" t="inlineStr"/>
      <c r="AP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Y1317" t="inlineStr">
        <is>
          <t>unknown</t>
        </is>
      </c>
      <c r="Z1317" t="inlineStr"/>
      <c r="AA1317" t="inlineStr"/>
      <c r="AB1317" t="inlineStr"/>
      <c r="AC1317" t="inlineStr"/>
      <c r="AD1317" t="inlineStr">
        <is>
          <t>לא נמצא בסריקת המפיצים</t>
        </is>
      </c>
      <c r="AE1317" t="inlineStr">
        <is>
          <t>סריקת אתרי מפיצים</t>
        </is>
      </c>
      <c r="AG1317" t="inlineStr"/>
      <c r="AH1317" t="inlineStr"/>
      <c r="AJ1317" t="inlineStr"/>
      <c r="AP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t>
        </is>
      </c>
      <c r="J1318" t="inlineStr"/>
      <c r="Y1318" t="inlineStr">
        <is>
          <t>unknown</t>
        </is>
      </c>
      <c r="Z1318" t="inlineStr"/>
      <c r="AA1318" t="inlineStr"/>
      <c r="AB1318" t="inlineStr"/>
      <c r="AC1318" t="inlineStr"/>
      <c r="AD1318" t="inlineStr">
        <is>
          <t>לא נמצא בסריקת המפיצים</t>
        </is>
      </c>
      <c r="AE1318" t="inlineStr">
        <is>
          <t>סריקת אתרי מפיצים</t>
        </is>
      </c>
      <c r="AG1318" t="inlineStr"/>
      <c r="AH1318" t="inlineStr"/>
      <c r="AJ1318" t="inlineStr"/>
      <c r="AP1318" t="inlineStr">
        <is>
          <t>https://www.dutscher.com/search?initialFilters=brand:Uvitec</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t>
        </is>
      </c>
      <c r="J1319" t="inlineStr"/>
      <c r="Y1319" t="inlineStr">
        <is>
          <t>unknown</t>
        </is>
      </c>
      <c r="Z1319" t="inlineStr"/>
      <c r="AA1319" t="inlineStr"/>
      <c r="AB1319" t="inlineStr"/>
      <c r="AC1319" t="inlineStr"/>
      <c r="AD1319" t="inlineStr">
        <is>
          <t>לא נמצא בסריקת המפיצים</t>
        </is>
      </c>
      <c r="AE1319" t="inlineStr">
        <is>
          <t>סריקת אתרי מפיצים</t>
        </is>
      </c>
      <c r="AG1319" t="inlineStr"/>
      <c r="AH1319" t="inlineStr"/>
      <c r="AJ1319" t="inlineStr"/>
      <c r="AP1319" t="inlineStr">
        <is>
          <t>https://www.dutscher.com/search?initialFilters=brand:Vacuubrand</t>
        </is>
      </c>
    </row>
    <row r="1320">
      <c r="A1320" t="n">
        <v>1319</v>
      </c>
      <c r="B1320" t="inlineStr">
        <is>
          <t>Valeo</t>
        </is>
      </c>
      <c r="C1320" t="inlineStr">
        <is>
          <t>T</t>
        </is>
      </c>
      <c r="E1320" t="inlineStr">
        <is>
          <t>https://www.thomassci.com/browse-by/suppliers/valeo</t>
        </is>
      </c>
      <c r="F1320" t="inlineStr"/>
      <c r="H1320" t="inlineStr">
        <is>
          <t>https://valeo.com</t>
        </is>
      </c>
      <c r="I1320" t="inlineStr">
        <is>
          <t>clearbit</t>
        </is>
      </c>
      <c r="J1320" t="inlineStr"/>
      <c r="Y1320" t="inlineStr">
        <is>
          <t>unknown</t>
        </is>
      </c>
      <c r="Z1320" t="inlineStr"/>
      <c r="AA1320" t="inlineStr"/>
      <c r="AB1320" t="inlineStr"/>
      <c r="AC1320" t="inlineStr"/>
      <c r="AD1320" t="inlineStr">
        <is>
          <t>לא נמצא בסריקת המפיצים</t>
        </is>
      </c>
      <c r="AE1320" t="inlineStr">
        <is>
          <t>סריקת אתרי מפיצים</t>
        </is>
      </c>
      <c r="AG1320" t="inlineStr"/>
      <c r="AH1320" t="inlineStr"/>
      <c r="AJ1320" t="inlineStr"/>
      <c r="AP1320" t="inlineStr">
        <is>
          <t>https://www.thomassci.com/browse-by/suppliers/valeo</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t>
        </is>
      </c>
      <c r="J1321" t="inlineStr"/>
      <c r="Y1321" t="inlineStr">
        <is>
          <t>unknown</t>
        </is>
      </c>
      <c r="Z1321" t="inlineStr"/>
      <c r="AA1321" t="inlineStr"/>
      <c r="AB1321" t="inlineStr"/>
      <c r="AC1321" t="inlineStr"/>
      <c r="AD1321" t="inlineStr">
        <is>
          <t>לא נמצא בסריקת המפיצים</t>
        </is>
      </c>
      <c r="AE1321" t="inlineStr">
        <is>
          <t>סריקת אתרי מפיצים</t>
        </is>
      </c>
      <c r="AG1321" t="inlineStr"/>
      <c r="AH1321" t="inlineStr"/>
      <c r="AJ1321" t="inlineStr"/>
      <c r="AP1321" t="inlineStr">
        <is>
          <t>https://www.thomassci.com/browse-by/suppliers/valutek</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t>
        </is>
      </c>
      <c r="J1322" t="inlineStr"/>
      <c r="Y1322" t="inlineStr">
        <is>
          <t>unknown</t>
        </is>
      </c>
      <c r="Z1322" t="inlineStr"/>
      <c r="AA1322" t="inlineStr"/>
      <c r="AB1322" t="inlineStr"/>
      <c r="AC1322" t="inlineStr"/>
      <c r="AD1322" t="inlineStr">
        <is>
          <t>לא נמצא בסריקת המפיצים</t>
        </is>
      </c>
      <c r="AE1322" t="inlineStr">
        <is>
          <t>סריקת אתרי מפיצים</t>
        </is>
      </c>
      <c r="AG1322" t="inlineStr"/>
      <c r="AH1322" t="inlineStr"/>
      <c r="AJ1322" t="inlineStr"/>
      <c r="AP1322" t="inlineStr">
        <is>
          <t>https://www.quartzy.com/suppliers | https://www.thomassci.com/browse-by/suppliers/varizymes</t>
        </is>
      </c>
    </row>
    <row r="1323">
      <c r="A1323" t="n">
        <v>1322</v>
      </c>
      <c r="B1323" t="inlineStr">
        <is>
          <t>Varsal</t>
        </is>
      </c>
      <c r="C1323" t="inlineStr">
        <is>
          <t>T</t>
        </is>
      </c>
      <c r="E1323" t="inlineStr">
        <is>
          <t>https://www.thomassci.com/browse-by/suppliers/varsal</t>
        </is>
      </c>
      <c r="F1323" t="inlineStr"/>
      <c r="J1323" t="inlineStr"/>
      <c r="Y1323" t="inlineStr">
        <is>
          <t>unknown</t>
        </is>
      </c>
      <c r="Z1323" t="inlineStr"/>
      <c r="AA1323" t="inlineStr"/>
      <c r="AB1323" t="inlineStr"/>
      <c r="AC1323" t="inlineStr"/>
      <c r="AD1323" t="inlineStr">
        <is>
          <t>לא נמצא בסריקת המפיצים</t>
        </is>
      </c>
      <c r="AE1323" t="inlineStr">
        <is>
          <t>סריקת אתרי מפיצים</t>
        </is>
      </c>
      <c r="AG1323" t="inlineStr"/>
      <c r="AH1323" t="inlineStr"/>
      <c r="AJ1323" t="inlineStr"/>
      <c r="AP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t>
        </is>
      </c>
      <c r="J1324" t="inlineStr"/>
      <c r="Y1324" t="inlineStr">
        <is>
          <t>unknown</t>
        </is>
      </c>
      <c r="Z1324" t="inlineStr"/>
      <c r="AA1324" t="inlineStr"/>
      <c r="AB1324" t="inlineStr"/>
      <c r="AC1324" t="inlineStr"/>
      <c r="AD1324" t="inlineStr">
        <is>
          <t>לא נמצא בסריקת המפיצים</t>
        </is>
      </c>
      <c r="AE1324" t="inlineStr">
        <is>
          <t>סריקת אתרי מפיצים</t>
        </is>
      </c>
      <c r="AG1324" t="inlineStr"/>
      <c r="AH1324" t="inlineStr"/>
      <c r="AJ1324" t="inlineStr"/>
      <c r="AP1324" t="inlineStr">
        <is>
          <t>https://www.quartzy.com/suppliers</t>
        </is>
      </c>
    </row>
    <row r="1325">
      <c r="A1325" t="n">
        <v>1324</v>
      </c>
      <c r="B1325" t="inlineStr">
        <is>
          <t>Vector Laboratories</t>
        </is>
      </c>
      <c r="C1325" t="inlineStr">
        <is>
          <t>Q</t>
        </is>
      </c>
      <c r="F1325" t="inlineStr">
        <is>
          <t>yes</t>
        </is>
      </c>
      <c r="H1325" t="inlineStr">
        <is>
          <t>https://vectorlabs.com</t>
        </is>
      </c>
      <c r="I1325" t="inlineStr">
        <is>
          <t>clearbit</t>
        </is>
      </c>
      <c r="J1325" t="inlineStr"/>
      <c r="Y1325" t="inlineStr">
        <is>
          <t>unknown</t>
        </is>
      </c>
      <c r="Z1325" t="inlineStr"/>
      <c r="AA1325" t="inlineStr"/>
      <c r="AB1325" t="inlineStr"/>
      <c r="AC1325" t="inlineStr"/>
      <c r="AD1325" t="inlineStr">
        <is>
          <t>לא נמצא בסריקת המפיצים</t>
        </is>
      </c>
      <c r="AE1325" t="inlineStr">
        <is>
          <t>סריקת אתרי מפיצים</t>
        </is>
      </c>
      <c r="AG1325" t="inlineStr"/>
      <c r="AH1325" t="inlineStr"/>
      <c r="AJ1325" t="inlineStr"/>
      <c r="AP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Y1326" t="inlineStr">
        <is>
          <t>unknown</t>
        </is>
      </c>
      <c r="Z1326" t="inlineStr"/>
      <c r="AA1326" t="inlineStr"/>
      <c r="AB1326" t="inlineStr"/>
      <c r="AC1326" t="inlineStr"/>
      <c r="AD1326" t="inlineStr">
        <is>
          <t>לא נמצא בסריקת המפיצים</t>
        </is>
      </c>
      <c r="AE1326" t="inlineStr">
        <is>
          <t>סריקת אתרי מפיצים</t>
        </is>
      </c>
      <c r="AG1326" t="inlineStr"/>
      <c r="AH1326" t="inlineStr"/>
      <c r="AJ1326" t="inlineStr"/>
      <c r="AP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t>
        </is>
      </c>
      <c r="J1327" t="inlineStr"/>
      <c r="Y1327" t="inlineStr">
        <is>
          <t>unknown</t>
        </is>
      </c>
      <c r="Z1327" t="inlineStr"/>
      <c r="AA1327" t="inlineStr"/>
      <c r="AB1327" t="inlineStr"/>
      <c r="AC1327" t="inlineStr"/>
      <c r="AD1327" t="inlineStr">
        <is>
          <t>לא נמצא בסריקת המפיצים</t>
        </is>
      </c>
      <c r="AE1327" t="inlineStr">
        <is>
          <t>סריקת אתרי מפיצים</t>
        </is>
      </c>
      <c r="AG1327" t="inlineStr"/>
      <c r="AH1327" t="inlineStr"/>
      <c r="AJ1327" t="inlineStr"/>
      <c r="AP1327" t="inlineStr">
        <is>
          <t>https://www.thomassci.com/browse-by/suppliers/vee-gee-scientific</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P1328" t="n">
        <v>200</v>
      </c>
      <c r="Q1328" t="n">
        <v>2024</v>
      </c>
      <c r="R1328" t="inlineStr">
        <is>
          <t>estimate</t>
        </is>
      </c>
      <c r="S1328" t="inlineStr">
        <is>
          <t>prior</t>
        </is>
      </c>
      <c r="T1328" t="n">
        <v>25.6</v>
      </c>
      <c r="U1328" t="inlineStr">
        <is>
          <t>EUR 23.26 million</t>
        </is>
      </c>
      <c r="V1328" t="inlineStr">
        <is>
          <t>FY2024</t>
        </is>
      </c>
      <c r="W1328" t="inlineStr">
        <is>
          <t>company</t>
        </is>
      </c>
      <c r="X1328" t="inlineStr">
        <is>
          <t>prior</t>
        </is>
      </c>
      <c r="Y1328" t="inlineStr">
        <is>
          <t>reported</t>
        </is>
      </c>
      <c r="Z1328" t="inlineStr">
        <is>
          <t>UDK 169 / UDK 139</t>
        </is>
      </c>
      <c r="AA1328" t="inlineStr">
        <is>
          <t>NDA 702 Dumas analyzer</t>
        </is>
      </c>
      <c r="AB1328" t="inlineStr">
        <is>
          <t>AREX-6 / ARE hotplate stirrers and DKL digesters</t>
        </is>
      </c>
      <c r="AC1328" t="inlineStr">
        <is>
          <t>prior</t>
        </is>
      </c>
      <c r="AD1328" t="inlineStr">
        <is>
          <t>מפיץ/נציג בישראל</t>
        </is>
      </c>
      <c r="AE1328" t="inlineStr">
        <is>
          <t>אומת</t>
        </is>
      </c>
      <c r="AF1328" t="n">
        <v>2026</v>
      </c>
      <c r="AG1328" t="inlineStr">
        <is>
          <t>Labotal</t>
        </is>
      </c>
      <c r="AH1328" t="inlineStr">
        <is>
          <t>Labotal: +972 2-579-9222 Sales@labotal.co.il</t>
        </is>
      </c>
      <c r="AI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8" t="inlineStr">
        <is>
          <t>+39 039 628811</t>
        </is>
      </c>
      <c r="AL1328" t="inlineStr">
        <is>
          <t>Via Stazione 16, 20865 Usmate (MB), Italy</t>
        </is>
      </c>
      <c r="AM1328" t="inlineStr">
        <is>
          <t>https://velp.com/en-ww/where-we-are.aspx</t>
        </is>
      </c>
      <c r="AN1328" t="inlineStr">
        <is>
          <t>https://velp.com/en-ww/where-we-are.aspx</t>
        </is>
      </c>
      <c r="AP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P1329" t="n">
        <v>200</v>
      </c>
      <c r="Q1329" t="n">
        <v>2024</v>
      </c>
      <c r="R1329" t="inlineStr">
        <is>
          <t>estimate</t>
        </is>
      </c>
      <c r="S1329" t="inlineStr">
        <is>
          <t>prior</t>
        </is>
      </c>
      <c r="T1329" t="n">
        <v>25.6</v>
      </c>
      <c r="U1329" t="inlineStr">
        <is>
          <t>EUR 23.26 million</t>
        </is>
      </c>
      <c r="V1329" t="inlineStr">
        <is>
          <t>FY2024</t>
        </is>
      </c>
      <c r="W1329" t="inlineStr">
        <is>
          <t>company</t>
        </is>
      </c>
      <c r="X1329" t="inlineStr">
        <is>
          <t>prior</t>
        </is>
      </c>
      <c r="Y1329" t="inlineStr">
        <is>
          <t>reported</t>
        </is>
      </c>
      <c r="Z1329" t="inlineStr">
        <is>
          <t>UDK 169 / UDK 139</t>
        </is>
      </c>
      <c r="AA1329" t="inlineStr">
        <is>
          <t>NDA 702 Dumas analyzer</t>
        </is>
      </c>
      <c r="AB1329" t="inlineStr">
        <is>
          <t>AREX-6 / ARE hotplate stirrers and DKL digesters</t>
        </is>
      </c>
      <c r="AC1329" t="inlineStr">
        <is>
          <t>prior</t>
        </is>
      </c>
      <c r="AD1329" t="inlineStr">
        <is>
          <t>מפיץ/נציג בישראל</t>
        </is>
      </c>
      <c r="AE1329" t="inlineStr">
        <is>
          <t>אומת</t>
        </is>
      </c>
      <c r="AF1329" t="n">
        <v>2026</v>
      </c>
      <c r="AG1329" t="inlineStr">
        <is>
          <t>Labotal</t>
        </is>
      </c>
      <c r="AH1329" t="inlineStr">
        <is>
          <t>Labotal: +972 2-579-9222 Sales@labotal.co.il</t>
        </is>
      </c>
      <c r="AI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9" t="inlineStr">
        <is>
          <t>+39 039 628811</t>
        </is>
      </c>
      <c r="AL1329" t="inlineStr">
        <is>
          <t>Via Stazione 16, 20865 Usmate (MB), Italy</t>
        </is>
      </c>
      <c r="AM1329" t="inlineStr">
        <is>
          <t>https://velp.com/en-ww/where-we-are.aspx</t>
        </is>
      </c>
      <c r="AN1329" t="inlineStr">
        <is>
          <t>https://velp.com/en-ww/where-we-are.aspx</t>
        </is>
      </c>
      <c r="AP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t>
        </is>
      </c>
      <c r="J1330" t="inlineStr"/>
      <c r="Y1330" t="inlineStr">
        <is>
          <t>unknown</t>
        </is>
      </c>
      <c r="Z1330" t="inlineStr"/>
      <c r="AA1330" t="inlineStr"/>
      <c r="AB1330" t="inlineStr"/>
      <c r="AC1330" t="inlineStr"/>
      <c r="AD1330" t="inlineStr">
        <is>
          <t>לא נמצא בסריקת המפיצים</t>
        </is>
      </c>
      <c r="AE1330" t="inlineStr">
        <is>
          <t>סריקת אתרי מפיצים</t>
        </is>
      </c>
      <c r="AG1330" t="inlineStr"/>
      <c r="AH1330" t="inlineStr"/>
      <c r="AJ1330" t="inlineStr"/>
      <c r="AP1330" t="inlineStr">
        <is>
          <t>https://www.thomassci.com/browse-by/suppliers/veltek-associates</t>
        </is>
      </c>
    </row>
    <row r="1331">
      <c r="A1331" t="n">
        <v>1330</v>
      </c>
      <c r="B1331" t="inlineStr">
        <is>
          <t>Venair</t>
        </is>
      </c>
      <c r="C1331" t="inlineStr">
        <is>
          <t>D</t>
        </is>
      </c>
      <c r="D1331" t="inlineStr">
        <is>
          <t>https://www.dutscher.com/search?initialFilters=brand:Venair</t>
        </is>
      </c>
      <c r="F1331" t="inlineStr"/>
      <c r="J1331" t="inlineStr"/>
      <c r="Y1331" t="inlineStr">
        <is>
          <t>unknown</t>
        </is>
      </c>
      <c r="Z1331" t="inlineStr"/>
      <c r="AA1331" t="inlineStr"/>
      <c r="AB1331" t="inlineStr"/>
      <c r="AC1331" t="inlineStr"/>
      <c r="AD1331" t="inlineStr">
        <is>
          <t>לא נמצא בסריקת המפיצים</t>
        </is>
      </c>
      <c r="AE1331" t="inlineStr">
        <is>
          <t>סריקת אתרי מפיצים</t>
        </is>
      </c>
      <c r="AG1331" t="inlineStr"/>
      <c r="AH1331" t="inlineStr"/>
      <c r="AJ1331" t="inlineStr"/>
      <c r="AP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Y1332" t="inlineStr">
        <is>
          <t>unknown</t>
        </is>
      </c>
      <c r="Z1332" t="inlineStr"/>
      <c r="AA1332" t="inlineStr"/>
      <c r="AB1332" t="inlineStr"/>
      <c r="AC1332" t="inlineStr"/>
      <c r="AD1332" t="inlineStr">
        <is>
          <t>לא נמצא בסריקת המפיצים</t>
        </is>
      </c>
      <c r="AE1332" t="inlineStr">
        <is>
          <t>סריקת אתרי מפיצים</t>
        </is>
      </c>
      <c r="AG1332" t="inlineStr"/>
      <c r="AH1332" t="inlineStr"/>
      <c r="AJ1332" t="inlineStr"/>
      <c r="AP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Y1333" t="inlineStr">
        <is>
          <t>unknown</t>
        </is>
      </c>
      <c r="Z1333" t="inlineStr"/>
      <c r="AA1333" t="inlineStr"/>
      <c r="AB1333" t="inlineStr"/>
      <c r="AC1333" t="inlineStr"/>
      <c r="AD1333" t="inlineStr">
        <is>
          <t>לא נמצא בסריקת המפיצים</t>
        </is>
      </c>
      <c r="AE1333" t="inlineStr">
        <is>
          <t>סריקת אתרי מפיצים</t>
        </is>
      </c>
      <c r="AG1333" t="inlineStr"/>
      <c r="AH1333" t="inlineStr"/>
      <c r="AJ1333" t="inlineStr"/>
      <c r="AP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t>
        </is>
      </c>
      <c r="J1334" t="inlineStr"/>
      <c r="Y1334" t="inlineStr">
        <is>
          <t>unknown</t>
        </is>
      </c>
      <c r="Z1334" t="inlineStr"/>
      <c r="AA1334" t="inlineStr"/>
      <c r="AB1334" t="inlineStr"/>
      <c r="AC1334" t="inlineStr"/>
      <c r="AD1334" t="inlineStr">
        <is>
          <t>לא נמצא בסריקת המפיצים</t>
        </is>
      </c>
      <c r="AE1334" t="inlineStr">
        <is>
          <t>סריקת אתרי מפיצים</t>
        </is>
      </c>
      <c r="AG1334" t="inlineStr"/>
      <c r="AH1334" t="inlineStr"/>
      <c r="AJ1334" t="inlineStr"/>
      <c r="AP1334" t="inlineStr">
        <is>
          <t>https://www.thomassci.com/browse-by/suppliers/victory-scientific</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Y1335" t="inlineStr">
        <is>
          <t>unknown</t>
        </is>
      </c>
      <c r="Z1335" t="inlineStr"/>
      <c r="AA1335" t="inlineStr"/>
      <c r="AB1335" t="inlineStr"/>
      <c r="AC1335" t="inlineStr"/>
      <c r="AD1335" t="inlineStr">
        <is>
          <t>לא נמצא בסריקת המפיצים</t>
        </is>
      </c>
      <c r="AE1335" t="inlineStr">
        <is>
          <t>סריקת אתרי מפיצים</t>
        </is>
      </c>
      <c r="AG1335" t="inlineStr"/>
      <c r="AH1335" t="inlineStr"/>
      <c r="AJ1335" t="inlineStr"/>
      <c r="AP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Y1336" t="inlineStr">
        <is>
          <t>unknown</t>
        </is>
      </c>
      <c r="Z1336" t="inlineStr"/>
      <c r="AA1336" t="inlineStr"/>
      <c r="AB1336" t="inlineStr"/>
      <c r="AC1336" t="inlineStr"/>
      <c r="AD1336" t="inlineStr">
        <is>
          <t>לא נמצא בסריקת המפיצים</t>
        </is>
      </c>
      <c r="AE1336" t="inlineStr">
        <is>
          <t>סריקת אתרי מפיצים</t>
        </is>
      </c>
      <c r="AG1336" t="inlineStr"/>
      <c r="AH1336" t="inlineStr"/>
      <c r="AJ1336" t="inlineStr"/>
      <c r="AP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Y1337" t="inlineStr">
        <is>
          <t>unknown</t>
        </is>
      </c>
      <c r="Z1337" t="inlineStr"/>
      <c r="AA1337" t="inlineStr"/>
      <c r="AB1337" t="inlineStr"/>
      <c r="AC1337" t="inlineStr"/>
      <c r="AD1337" t="inlineStr">
        <is>
          <t>לא נמצא בסריקת המפיצים</t>
        </is>
      </c>
      <c r="AE1337" t="inlineStr">
        <is>
          <t>סריקת אתרי מפיצים</t>
        </is>
      </c>
      <c r="AG1337" t="inlineStr"/>
      <c r="AH1337" t="inlineStr"/>
      <c r="AJ1337" t="inlineStr"/>
      <c r="AP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Y1338" t="inlineStr">
        <is>
          <t>unknown</t>
        </is>
      </c>
      <c r="Z1338" t="inlineStr"/>
      <c r="AA1338" t="inlineStr"/>
      <c r="AB1338" t="inlineStr"/>
      <c r="AC1338" t="inlineStr"/>
      <c r="AD1338" t="inlineStr">
        <is>
          <t>לא נמצא בסריקת המפיצים</t>
        </is>
      </c>
      <c r="AE1338" t="inlineStr">
        <is>
          <t>סריקת אתרי מפיצים</t>
        </is>
      </c>
      <c r="AG1338" t="inlineStr"/>
      <c r="AH1338" t="inlineStr"/>
      <c r="AJ1338" t="inlineStr"/>
      <c r="AP1338" t="inlineStr">
        <is>
          <t>https://www.thomassci.com/browse-by/suppliers/vitl-life-science-solutions</t>
        </is>
      </c>
    </row>
    <row r="1339">
      <c r="A1339" t="n">
        <v>1338</v>
      </c>
      <c r="B1339" t="inlineStr">
        <is>
          <t>Vivitide</t>
        </is>
      </c>
      <c r="C1339" t="inlineStr">
        <is>
          <t>Q</t>
        </is>
      </c>
      <c r="F1339" t="inlineStr">
        <is>
          <t>yes</t>
        </is>
      </c>
      <c r="J1339" t="inlineStr"/>
      <c r="Y1339" t="inlineStr">
        <is>
          <t>unknown</t>
        </is>
      </c>
      <c r="Z1339" t="inlineStr"/>
      <c r="AA1339" t="inlineStr"/>
      <c r="AB1339" t="inlineStr"/>
      <c r="AC1339" t="inlineStr"/>
      <c r="AD1339" t="inlineStr">
        <is>
          <t>לא נמצא בסריקת המפיצים</t>
        </is>
      </c>
      <c r="AE1339" t="inlineStr">
        <is>
          <t>סריקת אתרי מפיצים</t>
        </is>
      </c>
      <c r="AG1339" t="inlineStr"/>
      <c r="AH1339" t="inlineStr"/>
      <c r="AJ1339" t="inlineStr"/>
      <c r="AP1339" t="inlineStr">
        <is>
          <t>https://www.quartzy.com/suppliers</t>
        </is>
      </c>
    </row>
    <row r="1340">
      <c r="A1340" t="n">
        <v>1339</v>
      </c>
      <c r="B1340" t="inlineStr">
        <is>
          <t>Voss</t>
        </is>
      </c>
      <c r="C1340" t="inlineStr">
        <is>
          <t>T</t>
        </is>
      </c>
      <c r="E1340" t="inlineStr">
        <is>
          <t>https://www.thomassci.com/browse-by/suppliers/voss</t>
        </is>
      </c>
      <c r="F1340" t="inlineStr"/>
      <c r="J1340" t="inlineStr"/>
      <c r="Y1340" t="inlineStr">
        <is>
          <t>unknown</t>
        </is>
      </c>
      <c r="Z1340" t="inlineStr"/>
      <c r="AA1340" t="inlineStr"/>
      <c r="AB1340" t="inlineStr"/>
      <c r="AC1340" t="inlineStr"/>
      <c r="AD1340" t="inlineStr">
        <is>
          <t>לא נמצא בסריקת המפיצים</t>
        </is>
      </c>
      <c r="AE1340" t="inlineStr">
        <is>
          <t>סריקת אתרי מפיצים</t>
        </is>
      </c>
      <c r="AG1340" t="inlineStr"/>
      <c r="AH1340" t="inlineStr"/>
      <c r="AJ1340" t="inlineStr"/>
      <c r="AP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Y1341" t="inlineStr">
        <is>
          <t>unknown</t>
        </is>
      </c>
      <c r="Z1341" t="inlineStr"/>
      <c r="AA1341" t="inlineStr"/>
      <c r="AB1341" t="inlineStr"/>
      <c r="AC1341" t="inlineStr"/>
      <c r="AD1341" t="inlineStr">
        <is>
          <t>לא נמצא בסריקת המפיצים</t>
        </is>
      </c>
      <c r="AE1341" t="inlineStr">
        <is>
          <t>סריקת אתרי מפיצים</t>
        </is>
      </c>
      <c r="AG1341" t="inlineStr"/>
      <c r="AH1341" t="inlineStr"/>
      <c r="AJ1341" t="inlineStr"/>
      <c r="AP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Y1342" t="inlineStr">
        <is>
          <t>unknown</t>
        </is>
      </c>
      <c r="Z1342" t="inlineStr"/>
      <c r="AA1342" t="inlineStr"/>
      <c r="AB1342" t="inlineStr"/>
      <c r="AC1342" t="inlineStr"/>
      <c r="AD1342" t="inlineStr">
        <is>
          <t>לא נמצא בסריקת המפיצים</t>
        </is>
      </c>
      <c r="AE1342" t="inlineStr">
        <is>
          <t>סריקת אתרי מפיצים</t>
        </is>
      </c>
      <c r="AG1342" t="inlineStr"/>
      <c r="AH1342" t="inlineStr"/>
      <c r="AJ1342" t="inlineStr"/>
      <c r="AP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t>
        </is>
      </c>
      <c r="J1343" t="inlineStr"/>
      <c r="Y1343" t="inlineStr">
        <is>
          <t>unknown</t>
        </is>
      </c>
      <c r="Z1343" t="inlineStr"/>
      <c r="AA1343" t="inlineStr"/>
      <c r="AB1343" t="inlineStr"/>
      <c r="AC1343" t="inlineStr"/>
      <c r="AD1343" t="inlineStr">
        <is>
          <t>לא נמצא בסריקת המפיצים</t>
        </is>
      </c>
      <c r="AE1343" t="inlineStr">
        <is>
          <t>סריקת אתרי מפיצים</t>
        </is>
      </c>
      <c r="AG1343" t="inlineStr"/>
      <c r="AH1343" t="inlineStr"/>
      <c r="AJ1343" t="inlineStr"/>
      <c r="AP1343" t="inlineStr">
        <is>
          <t>https://www.thomassci.com/browse-by/suppliers/walter-stern</t>
        </is>
      </c>
    </row>
    <row r="1344">
      <c r="A1344" t="n">
        <v>1343</v>
      </c>
      <c r="B1344" t="inlineStr">
        <is>
          <t>Waring</t>
        </is>
      </c>
      <c r="C1344" t="inlineStr">
        <is>
          <t>T</t>
        </is>
      </c>
      <c r="E1344" t="inlineStr">
        <is>
          <t>https://www.thomassci.com/browse-by/suppliers/waring</t>
        </is>
      </c>
      <c r="F1344" t="inlineStr"/>
      <c r="J1344" t="inlineStr"/>
      <c r="Y1344" t="inlineStr">
        <is>
          <t>unknown</t>
        </is>
      </c>
      <c r="Z1344" t="inlineStr"/>
      <c r="AA1344" t="inlineStr"/>
      <c r="AB1344" t="inlineStr"/>
      <c r="AC1344" t="inlineStr"/>
      <c r="AD1344" t="inlineStr">
        <is>
          <t>לא נמצא בסריקת המפיצים</t>
        </is>
      </c>
      <c r="AE1344" t="inlineStr">
        <is>
          <t>סריקת אתרי מפיצים</t>
        </is>
      </c>
      <c r="AG1344" t="inlineStr"/>
      <c r="AH1344" t="inlineStr"/>
      <c r="AJ1344" t="inlineStr"/>
      <c r="AP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t>
        </is>
      </c>
      <c r="J1345" t="inlineStr"/>
      <c r="Y1345" t="inlineStr">
        <is>
          <t>unknown</t>
        </is>
      </c>
      <c r="Z1345" t="inlineStr"/>
      <c r="AA1345" t="inlineStr"/>
      <c r="AB1345" t="inlineStr"/>
      <c r="AC1345" t="inlineStr"/>
      <c r="AD1345" t="inlineStr">
        <is>
          <t>לא נמצא בסריקת המפיצים</t>
        </is>
      </c>
      <c r="AE1345" t="inlineStr">
        <is>
          <t>סריקת אתרי מפיצים</t>
        </is>
      </c>
      <c r="AG1345" t="inlineStr"/>
      <c r="AH1345" t="inlineStr"/>
      <c r="AJ1345" t="inlineStr"/>
      <c r="AP1345" t="inlineStr">
        <is>
          <t>https://www.thomassci.com/browse-by/suppliers/water-saver-faucet-co-</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P1346" t="n">
        <v>7900</v>
      </c>
      <c r="Q1346" t="n">
        <v>2025</v>
      </c>
      <c r="R1346" t="inlineStr">
        <is>
          <t>company</t>
        </is>
      </c>
      <c r="S1346" t="inlineStr">
        <is>
          <t>prior</t>
        </is>
      </c>
      <c r="T1346" t="n">
        <v>3165</v>
      </c>
      <c r="U1346" t="inlineStr">
        <is>
          <t>USD 3,165 million</t>
        </is>
      </c>
      <c r="V1346" t="inlineStr">
        <is>
          <t>FY2025</t>
        </is>
      </c>
      <c r="W1346" t="inlineStr">
        <is>
          <t>company</t>
        </is>
      </c>
      <c r="X1346" t="inlineStr">
        <is>
          <t>prior</t>
        </is>
      </c>
      <c r="Y1346" t="inlineStr">
        <is>
          <t>reported</t>
        </is>
      </c>
      <c r="Z1346" t="inlineStr">
        <is>
          <t>ACQUITY Premier UPLC</t>
        </is>
      </c>
      <c r="AA1346" t="inlineStr">
        <is>
          <t>Xevo TQ Absolute</t>
        </is>
      </c>
      <c r="AB1346" t="inlineStr">
        <is>
          <t>Empower CDS</t>
        </is>
      </c>
      <c r="AC1346" t="inlineStr">
        <is>
          <t>prior</t>
        </is>
      </c>
      <c r="AD1346" t="inlineStr">
        <is>
          <t>חברה-בת בישראל</t>
        </is>
      </c>
      <c r="AE1346" t="inlineStr">
        <is>
          <t>חיפוש חלקי</t>
        </is>
      </c>
      <c r="AF1346" t="n">
        <v>2024</v>
      </c>
      <c r="AG1346" t="inlineStr">
        <is>
          <t>Waters (TC) Israel Ltd.; Bargal Analytical Instruments Ltd.</t>
        </is>
      </c>
      <c r="AH1346" t="inlineStr">
        <is>
          <t>Waters (TC) Israel Ltd.:; Bargal Analytical Instruments Ltd.: +972-3-979-6533 sales@bargal.co.il</t>
        </is>
      </c>
      <c r="AI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J1346" t="inlineStr">
        <is>
          <t>+1 508 478 2000</t>
        </is>
      </c>
      <c r="AL1346" t="inlineStr">
        <is>
          <t>34 Maple Street, Milford, MA 01757, USA</t>
        </is>
      </c>
      <c r="AN1346" t="inlineStr">
        <is>
          <t>https://www.globaldata.com/company-profile/waters-corp/locations/</t>
        </is>
      </c>
      <c r="AP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Y1347" t="inlineStr">
        <is>
          <t>unknown</t>
        </is>
      </c>
      <c r="Z1347" t="inlineStr"/>
      <c r="AA1347" t="inlineStr"/>
      <c r="AB1347" t="inlineStr"/>
      <c r="AC1347" t="inlineStr"/>
      <c r="AD1347" t="inlineStr">
        <is>
          <t>לא נמצא בסריקת המפיצים</t>
        </is>
      </c>
      <c r="AE1347" t="inlineStr">
        <is>
          <t>סריקת אתרי מפיצים</t>
        </is>
      </c>
      <c r="AG1347" t="inlineStr"/>
      <c r="AH1347" t="inlineStr"/>
      <c r="AJ1347" t="inlineStr"/>
      <c r="AL1347" t="inlineStr">
        <is>
          <t>La Queue-les-Yvelines</t>
        </is>
      </c>
      <c r="AO1347" t="inlineStr">
        <is>
          <t>Q134687219</t>
        </is>
      </c>
      <c r="AP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Y1348" t="inlineStr">
        <is>
          <t>unknown</t>
        </is>
      </c>
      <c r="Z1348" t="inlineStr"/>
      <c r="AA1348" t="inlineStr"/>
      <c r="AB1348" t="inlineStr"/>
      <c r="AC1348" t="inlineStr"/>
      <c r="AD1348" t="inlineStr">
        <is>
          <t>לא נמצא בסריקת המפיצים</t>
        </is>
      </c>
      <c r="AE1348" t="inlineStr">
        <is>
          <t>סריקת אתרי מפיצים</t>
        </is>
      </c>
      <c r="AG1348" t="inlineStr"/>
      <c r="AH1348" t="inlineStr"/>
      <c r="AJ1348" t="inlineStr"/>
      <c r="AP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t>
        </is>
      </c>
      <c r="J1349" t="inlineStr"/>
      <c r="Y1349" t="inlineStr">
        <is>
          <t>unknown</t>
        </is>
      </c>
      <c r="Z1349" t="inlineStr"/>
      <c r="AA1349" t="inlineStr"/>
      <c r="AB1349" t="inlineStr"/>
      <c r="AC1349" t="inlineStr"/>
      <c r="AD1349" t="inlineStr">
        <is>
          <t>לא נמצא בסריקת המפיצים</t>
        </is>
      </c>
      <c r="AE1349" t="inlineStr">
        <is>
          <t>סריקת אתרי מפיצים</t>
        </is>
      </c>
      <c r="AG1349" t="inlineStr"/>
      <c r="AH1349" t="inlineStr"/>
      <c r="AJ1349" t="inlineStr"/>
      <c r="AP1349" t="inlineStr">
        <is>
          <t>https://www.thomassci.com/browse-by/suppliers/wearwell</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J1350" t="inlineStr"/>
      <c r="Y1350" t="inlineStr">
        <is>
          <t>unknown</t>
        </is>
      </c>
      <c r="Z1350" t="inlineStr"/>
      <c r="AA1350" t="inlineStr"/>
      <c r="AB1350" t="inlineStr"/>
      <c r="AC1350" t="inlineStr"/>
      <c r="AD1350" t="inlineStr">
        <is>
          <t>לא נמצא בסריקת המפיצים</t>
        </is>
      </c>
      <c r="AE1350" t="inlineStr">
        <is>
          <t>סריקת אתרי מפיצים</t>
        </is>
      </c>
      <c r="AG1350" t="inlineStr"/>
      <c r="AH1350" t="inlineStr"/>
      <c r="AJ1350" t="inlineStr"/>
      <c r="AP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t>
        </is>
      </c>
      <c r="J1351" t="inlineStr"/>
      <c r="Y1351" t="inlineStr">
        <is>
          <t>unknown</t>
        </is>
      </c>
      <c r="Z1351" t="inlineStr"/>
      <c r="AA1351" t="inlineStr"/>
      <c r="AB1351" t="inlineStr"/>
      <c r="AC1351" t="inlineStr"/>
      <c r="AD1351" t="inlineStr">
        <is>
          <t>לא נמצא בסריקת המפיצים</t>
        </is>
      </c>
      <c r="AE1351" t="inlineStr">
        <is>
          <t>סריקת אתרי מפיצים</t>
        </is>
      </c>
      <c r="AG1351" t="inlineStr"/>
      <c r="AH1351" t="inlineStr"/>
      <c r="AJ1351" t="inlineStr"/>
      <c r="AP1351" t="inlineStr">
        <is>
          <t>https://www.quartzy.com/suppliers</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t>
        </is>
      </c>
      <c r="J1352" t="inlineStr"/>
      <c r="Y1352" t="inlineStr">
        <is>
          <t>unknown</t>
        </is>
      </c>
      <c r="Z1352" t="inlineStr"/>
      <c r="AA1352" t="inlineStr"/>
      <c r="AB1352" t="inlineStr"/>
      <c r="AC1352" t="inlineStr"/>
      <c r="AD1352" t="inlineStr">
        <is>
          <t>לא נמצא בסריקת המפיצים</t>
        </is>
      </c>
      <c r="AE1352" t="inlineStr">
        <is>
          <t>סריקת אתרי מפיצים</t>
        </is>
      </c>
      <c r="AG1352" t="inlineStr"/>
      <c r="AH1352" t="inlineStr"/>
      <c r="AJ1352" t="inlineStr"/>
      <c r="AP1352" t="inlineStr">
        <is>
          <t>https://www.thomassci.com/browse-by/suppliers/wells-lamont-industrial</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Y1353" t="inlineStr">
        <is>
          <t>unknown</t>
        </is>
      </c>
      <c r="Z1353" t="inlineStr"/>
      <c r="AA1353" t="inlineStr"/>
      <c r="AB1353" t="inlineStr"/>
      <c r="AC1353" t="inlineStr"/>
      <c r="AD1353" t="inlineStr">
        <is>
          <t>לא נמצא בסריקת המפיצים</t>
        </is>
      </c>
      <c r="AE1353" t="inlineStr">
        <is>
          <t>סריקת אתרי מפיצים</t>
        </is>
      </c>
      <c r="AG1353" t="inlineStr"/>
      <c r="AH1353" t="inlineStr"/>
      <c r="AJ1353" t="inlineStr"/>
      <c r="AP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https://westchestergear.com</t>
        </is>
      </c>
      <c r="I1354" t="inlineStr">
        <is>
          <t>clearbit</t>
        </is>
      </c>
      <c r="J1354" t="inlineStr"/>
      <c r="Y1354" t="inlineStr">
        <is>
          <t>unknown</t>
        </is>
      </c>
      <c r="Z1354" t="inlineStr"/>
      <c r="AA1354" t="inlineStr"/>
      <c r="AB1354" t="inlineStr"/>
      <c r="AC1354" t="inlineStr"/>
      <c r="AD1354" t="inlineStr">
        <is>
          <t>לא נמצא בסריקת המפיצים</t>
        </is>
      </c>
      <c r="AE1354" t="inlineStr">
        <is>
          <t>סריקת אתרי מפיצים</t>
        </is>
      </c>
      <c r="AG1354" t="inlineStr"/>
      <c r="AH1354" t="inlineStr"/>
      <c r="AJ1354" t="inlineStr"/>
      <c r="AP1354" t="inlineStr">
        <is>
          <t>https://www.thomassci.com/browse-by/suppliers/west-chester-protective-gear</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t>
        </is>
      </c>
      <c r="J1355" t="inlineStr"/>
      <c r="Y1355" t="inlineStr">
        <is>
          <t>unknown</t>
        </is>
      </c>
      <c r="Z1355" t="inlineStr"/>
      <c r="AA1355" t="inlineStr"/>
      <c r="AB1355" t="inlineStr"/>
      <c r="AC1355" t="inlineStr"/>
      <c r="AD1355" t="inlineStr">
        <is>
          <t>לא נמצא בסריקת המפיצים</t>
        </is>
      </c>
      <c r="AE1355" t="inlineStr">
        <is>
          <t>סריקת אתרי מפיצים</t>
        </is>
      </c>
      <c r="AG1355" t="inlineStr"/>
      <c r="AH1355" t="inlineStr"/>
      <c r="AJ1355" t="inlineStr"/>
      <c r="AP1355" t="inlineStr">
        <is>
          <t>https://www.thomassci.com/browse-by/suppliers/west-pharmaceutical-services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P1356" t="n">
        <v>1800</v>
      </c>
      <c r="Q1356" t="n">
        <v>2025</v>
      </c>
      <c r="R1356" t="inlineStr">
        <is>
          <t>company</t>
        </is>
      </c>
      <c r="S1356" t="inlineStr">
        <is>
          <t>prior</t>
        </is>
      </c>
      <c r="T1356" t="n">
        <v>106</v>
      </c>
      <c r="U1356" t="inlineStr">
        <is>
          <t>USD 105.7 million</t>
        </is>
      </c>
      <c r="V1356" t="inlineStr">
        <is>
          <t>FY2023</t>
        </is>
      </c>
      <c r="W1356" t="inlineStr">
        <is>
          <t>estimate</t>
        </is>
      </c>
      <c r="X1356" t="inlineStr">
        <is>
          <t>prior</t>
        </is>
      </c>
      <c r="Y1356" t="inlineStr">
        <is>
          <t>mixed</t>
        </is>
      </c>
      <c r="Z1356" t="inlineStr">
        <is>
          <t>DURAN laboratory glass bottles</t>
        </is>
      </c>
      <c r="AA1356" t="inlineStr">
        <is>
          <t>WHEATON vials &amp; serum bottles</t>
        </is>
      </c>
      <c r="AB1356" t="inlineStr">
        <is>
          <t>KIMBLE KIMAX glassware</t>
        </is>
      </c>
      <c r="AC1356" t="inlineStr">
        <is>
          <t>prior</t>
        </is>
      </c>
      <c r="AD1356" t="inlineStr">
        <is>
          <t>מפיץ/נציג בישראל</t>
        </is>
      </c>
      <c r="AE1356" t="inlineStr">
        <is>
          <t>חיפוש חלקי</t>
        </is>
      </c>
      <c r="AF1356" t="n">
        <v>2026</v>
      </c>
      <c r="AG1356" t="inlineStr">
        <is>
          <t>Danyel Biotech Ltd. (Gamida for Life group)</t>
        </is>
      </c>
      <c r="AH1356" t="inlineStr">
        <is>
          <t>Danyel Biotech Ltd. (Gamida for Life group): 1-800-711-911 (also +972 8-936-6066)</t>
        </is>
      </c>
      <c r="AI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1356" t="inlineStr">
        <is>
          <t>+49 9342 802-0</t>
        </is>
      </c>
      <c r="AL1356" t="inlineStr">
        <is>
          <t>Otto-Schott-Str. 21, 97877 Wertheim, Germany</t>
        </is>
      </c>
      <c r="AM1356" t="inlineStr">
        <is>
          <t>https://www.dwk.com/request-a-quote</t>
        </is>
      </c>
      <c r="AN1356" t="inlineStr">
        <is>
          <t>https://dwk.com/na/locations/wertheim-germany</t>
        </is>
      </c>
      <c r="AP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t>
        </is>
      </c>
      <c r="J1357" t="inlineStr"/>
      <c r="Y1357" t="inlineStr">
        <is>
          <t>unknown</t>
        </is>
      </c>
      <c r="Z1357" t="inlineStr"/>
      <c r="AA1357" t="inlineStr"/>
      <c r="AB1357" t="inlineStr"/>
      <c r="AC1357" t="inlineStr"/>
      <c r="AD1357" t="inlineStr">
        <is>
          <t>לא נמצא בסריקת המפיצים</t>
        </is>
      </c>
      <c r="AE1357" t="inlineStr">
        <is>
          <t>סריקת אתרי מפיצים</t>
        </is>
      </c>
      <c r="AG1357" t="inlineStr"/>
      <c r="AH1357" t="inlineStr"/>
      <c r="AJ1357" t="inlineStr"/>
      <c r="AP1357" t="inlineStr">
        <is>
          <t>https://www.thomassci.com/browse-by/suppliers/whirl-pak</t>
        </is>
      </c>
    </row>
    <row r="1358">
      <c r="A1358" t="n">
        <v>1357</v>
      </c>
      <c r="B1358" t="inlineStr">
        <is>
          <t>Wilburn Medical</t>
        </is>
      </c>
      <c r="C1358" t="inlineStr">
        <is>
          <t>T+Q</t>
        </is>
      </c>
      <c r="E1358" t="inlineStr">
        <is>
          <t>https://www.thomassci.com/browse-by/suppliers/wilburn-medical</t>
        </is>
      </c>
      <c r="F1358" t="inlineStr">
        <is>
          <t>yes</t>
        </is>
      </c>
      <c r="J1358" t="inlineStr"/>
      <c r="Y1358" t="inlineStr">
        <is>
          <t>unknown</t>
        </is>
      </c>
      <c r="Z1358" t="inlineStr"/>
      <c r="AA1358" t="inlineStr"/>
      <c r="AB1358" t="inlineStr"/>
      <c r="AC1358" t="inlineStr"/>
      <c r="AD1358" t="inlineStr">
        <is>
          <t>לא נמצא בסריקת המפיצים</t>
        </is>
      </c>
      <c r="AE1358" t="inlineStr">
        <is>
          <t>סריקת אתרי מפיצים</t>
        </is>
      </c>
      <c r="AG1358" t="inlineStr"/>
      <c r="AH1358" t="inlineStr"/>
      <c r="AJ1358" t="inlineStr"/>
      <c r="AP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Y1359" t="inlineStr">
        <is>
          <t>unknown</t>
        </is>
      </c>
      <c r="Z1359" t="inlineStr"/>
      <c r="AA1359" t="inlineStr"/>
      <c r="AB1359" t="inlineStr"/>
      <c r="AC1359" t="inlineStr"/>
      <c r="AD1359" t="inlineStr">
        <is>
          <t>לא נמצא בסריקת המפיצים</t>
        </is>
      </c>
      <c r="AE1359" t="inlineStr">
        <is>
          <t>סריקת אתרי מפיצים</t>
        </is>
      </c>
      <c r="AG1359" t="inlineStr"/>
      <c r="AH1359" t="inlineStr"/>
      <c r="AJ1359" t="inlineStr"/>
      <c r="AP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Y1360" t="inlineStr">
        <is>
          <t>unknown</t>
        </is>
      </c>
      <c r="Z1360" t="inlineStr"/>
      <c r="AA1360" t="inlineStr"/>
      <c r="AB1360" t="inlineStr"/>
      <c r="AC1360" t="inlineStr"/>
      <c r="AD1360" t="inlineStr">
        <is>
          <t>לא נמצא בסריקת המפיצים</t>
        </is>
      </c>
      <c r="AE1360" t="inlineStr">
        <is>
          <t>סריקת אתרי מפיצים</t>
        </is>
      </c>
      <c r="AG1360" t="inlineStr"/>
      <c r="AH1360" t="inlineStr"/>
      <c r="AJ1360" t="inlineStr"/>
      <c r="AP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Y1361" t="inlineStr">
        <is>
          <t>unknown</t>
        </is>
      </c>
      <c r="Z1361" t="inlineStr"/>
      <c r="AA1361" t="inlineStr"/>
      <c r="AB1361" t="inlineStr"/>
      <c r="AC1361" t="inlineStr"/>
      <c r="AD1361" t="inlineStr">
        <is>
          <t>לא נמצא בסריקת המפיצים</t>
        </is>
      </c>
      <c r="AE1361" t="inlineStr">
        <is>
          <t>סריקת אתרי מפיצים</t>
        </is>
      </c>
      <c r="AG1361" t="inlineStr"/>
      <c r="AH1361" t="inlineStr"/>
      <c r="AJ1361" t="inlineStr"/>
      <c r="AP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Y1362" t="inlineStr">
        <is>
          <t>unknown</t>
        </is>
      </c>
      <c r="Z1362" t="inlineStr"/>
      <c r="AA1362" t="inlineStr"/>
      <c r="AB1362" t="inlineStr"/>
      <c r="AC1362" t="inlineStr"/>
      <c r="AD1362" t="inlineStr">
        <is>
          <t>לא נמצא בסריקת המפיצים</t>
        </is>
      </c>
      <c r="AE1362" t="inlineStr">
        <is>
          <t>סריקת אתרי מפיצים</t>
        </is>
      </c>
      <c r="AG1362" t="inlineStr"/>
      <c r="AH1362" t="inlineStr"/>
      <c r="AJ1362" t="inlineStr"/>
      <c r="AP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Y1363" t="inlineStr">
        <is>
          <t>unknown</t>
        </is>
      </c>
      <c r="Z1363" t="inlineStr"/>
      <c r="AA1363" t="inlineStr"/>
      <c r="AB1363" t="inlineStr"/>
      <c r="AC1363" t="inlineStr"/>
      <c r="AD1363" t="inlineStr">
        <is>
          <t>לא נמצא בסריקת המפיצים</t>
        </is>
      </c>
      <c r="AE1363" t="inlineStr">
        <is>
          <t>סריקת אתרי מפיצים</t>
        </is>
      </c>
      <c r="AG1363" t="inlineStr"/>
      <c r="AH1363" t="inlineStr"/>
      <c r="AJ1363" t="inlineStr"/>
      <c r="AP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t>
        </is>
      </c>
      <c r="J1364" t="inlineStr"/>
      <c r="Y1364" t="inlineStr">
        <is>
          <t>unknown</t>
        </is>
      </c>
      <c r="Z1364" t="inlineStr"/>
      <c r="AA1364" t="inlineStr"/>
      <c r="AB1364" t="inlineStr"/>
      <c r="AC1364" t="inlineStr"/>
      <c r="AD1364" t="inlineStr">
        <is>
          <t>מפיץ/נציג בישראל</t>
        </is>
      </c>
      <c r="AE1364" t="inlineStr">
        <is>
          <t>סריקת אתרי מפיצים</t>
        </is>
      </c>
      <c r="AF1364" t="n">
        <v>2026</v>
      </c>
      <c r="AG1364" t="inlineStr">
        <is>
          <t>Enco Scientific Services Ltd. (Enco Diagnostics)</t>
        </is>
      </c>
      <c r="AH1364" t="inlineStr">
        <is>
          <t>Enco Scientific Services Ltd. (Enco Diagnostics):</t>
        </is>
      </c>
      <c r="AJ1364" t="inlineStr"/>
      <c r="AP1364" t="inlineStr">
        <is>
          <t>https://www.quartzy.com/suppliers | https://www.enco.co.il/about.php</t>
        </is>
      </c>
    </row>
    <row r="1365">
      <c r="A1365" t="n">
        <v>1364</v>
      </c>
      <c r="B1365" t="inlineStr">
        <is>
          <t>WPI</t>
        </is>
      </c>
      <c r="C1365" t="inlineStr">
        <is>
          <t>D</t>
        </is>
      </c>
      <c r="D1365" t="inlineStr">
        <is>
          <t>https://www.dutscher.com/search?initialFilters=brand:WPI</t>
        </is>
      </c>
      <c r="F1365" t="inlineStr"/>
      <c r="J1365" t="inlineStr"/>
      <c r="Y1365" t="inlineStr">
        <is>
          <t>unknown</t>
        </is>
      </c>
      <c r="Z1365" t="inlineStr"/>
      <c r="AA1365" t="inlineStr"/>
      <c r="AB1365" t="inlineStr"/>
      <c r="AC1365" t="inlineStr"/>
      <c r="AD1365" t="inlineStr">
        <is>
          <t>לא נמצא בסריקת המפיצים</t>
        </is>
      </c>
      <c r="AE1365" t="inlineStr">
        <is>
          <t>סריקת אתרי מפיצים</t>
        </is>
      </c>
      <c r="AG1365" t="inlineStr"/>
      <c r="AH1365" t="inlineStr"/>
      <c r="AJ1365" t="inlineStr"/>
      <c r="AP1365" t="inlineStr">
        <is>
          <t>https://www.dutscher.com/search?initialFilters=brand:WPI</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Y1366" t="inlineStr">
        <is>
          <t>unknown</t>
        </is>
      </c>
      <c r="Z1366" t="inlineStr"/>
      <c r="AA1366" t="inlineStr"/>
      <c r="AB1366" t="inlineStr"/>
      <c r="AC1366" t="inlineStr"/>
      <c r="AD1366" t="inlineStr">
        <is>
          <t>לא נמצא בסריקת המפיצים</t>
        </is>
      </c>
      <c r="AE1366" t="inlineStr">
        <is>
          <t>סריקת אתרי מפיצים</t>
        </is>
      </c>
      <c r="AG1366" t="inlineStr"/>
      <c r="AH1366" t="inlineStr"/>
      <c r="AJ1366" t="inlineStr"/>
      <c r="AP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t>
        </is>
      </c>
      <c r="J1367" t="inlineStr"/>
      <c r="Y1367" t="inlineStr">
        <is>
          <t>unknown</t>
        </is>
      </c>
      <c r="Z1367" t="inlineStr"/>
      <c r="AA1367" t="inlineStr"/>
      <c r="AB1367" t="inlineStr"/>
      <c r="AC1367" t="inlineStr"/>
      <c r="AD1367" t="inlineStr">
        <is>
          <t>לא נמצא בסריקת המפיצים</t>
        </is>
      </c>
      <c r="AE1367" t="inlineStr">
        <is>
          <t>סריקת אתרי מפיצים</t>
        </is>
      </c>
      <c r="AG1367" t="inlineStr"/>
      <c r="AH1367" t="inlineStr"/>
      <c r="AJ1367" t="inlineStr"/>
      <c r="AP1367" t="inlineStr">
        <is>
          <t>https://www.thomassci.com/browse-by/suppliers/x-treme-series</t>
        </is>
      </c>
    </row>
    <row r="1368">
      <c r="A1368" t="n">
        <v>1367</v>
      </c>
      <c r="B1368" t="inlineStr">
        <is>
          <t>Xenosep Technologies</t>
        </is>
      </c>
      <c r="C1368" t="inlineStr">
        <is>
          <t>T</t>
        </is>
      </c>
      <c r="E1368" t="inlineStr">
        <is>
          <t>https://www.thomassci.com/browse-by/suppliers/xenosep-technologies</t>
        </is>
      </c>
      <c r="F1368" t="inlineStr"/>
      <c r="J1368" t="inlineStr"/>
      <c r="Y1368" t="inlineStr">
        <is>
          <t>unknown</t>
        </is>
      </c>
      <c r="Z1368" t="inlineStr"/>
      <c r="AA1368" t="inlineStr"/>
      <c r="AB1368" t="inlineStr"/>
      <c r="AC1368" t="inlineStr"/>
      <c r="AD1368" t="inlineStr">
        <is>
          <t>לא נמצא בסריקת המפיצים</t>
        </is>
      </c>
      <c r="AE1368" t="inlineStr">
        <is>
          <t>סריקת אתרי מפיצים</t>
        </is>
      </c>
      <c r="AG1368" t="inlineStr"/>
      <c r="AH1368" t="inlineStr"/>
      <c r="AJ1368" t="inlineStr"/>
      <c r="AP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Y1369" t="inlineStr">
        <is>
          <t>unknown</t>
        </is>
      </c>
      <c r="Z1369" t="inlineStr"/>
      <c r="AA1369" t="inlineStr"/>
      <c r="AB1369" t="inlineStr"/>
      <c r="AC1369" t="inlineStr"/>
      <c r="AD1369" t="inlineStr">
        <is>
          <t>לא נמצא בסריקת המפיצים</t>
        </is>
      </c>
      <c r="AE1369" t="inlineStr">
        <is>
          <t>סריקת אתרי מפיצים</t>
        </is>
      </c>
      <c r="AG1369" t="inlineStr"/>
      <c r="AH1369" t="inlineStr"/>
      <c r="AJ1369" t="inlineStr"/>
      <c r="AP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Y1370" t="inlineStr">
        <is>
          <t>unknown</t>
        </is>
      </c>
      <c r="Z1370" t="inlineStr"/>
      <c r="AA1370" t="inlineStr"/>
      <c r="AB1370" t="inlineStr"/>
      <c r="AC1370" t="inlineStr"/>
      <c r="AD1370" t="inlineStr">
        <is>
          <t>לא נמצא בסריקת המפיצים</t>
        </is>
      </c>
      <c r="AE1370" t="inlineStr">
        <is>
          <t>סריקת אתרי מפיצים</t>
        </is>
      </c>
      <c r="AG1370" t="inlineStr"/>
      <c r="AH1370" t="inlineStr"/>
      <c r="AJ1370" t="inlineStr"/>
      <c r="AP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t>
        </is>
      </c>
      <c r="J1371" t="inlineStr"/>
      <c r="Y1371" t="inlineStr">
        <is>
          <t>unknown</t>
        </is>
      </c>
      <c r="Z1371" t="inlineStr"/>
      <c r="AA1371" t="inlineStr"/>
      <c r="AB1371" t="inlineStr"/>
      <c r="AC1371" t="inlineStr"/>
      <c r="AD1371" t="inlineStr">
        <is>
          <t>לא נמצא בסריקת המפיצים</t>
        </is>
      </c>
      <c r="AE1371" t="inlineStr">
        <is>
          <t>סריקת אתרי מפיצים</t>
        </is>
      </c>
      <c r="AG1371" t="inlineStr"/>
      <c r="AH1371" t="inlineStr"/>
      <c r="AJ1371" t="inlineStr"/>
      <c r="AP1371" t="inlineStr">
        <is>
          <t>https://www.dutscher.com/search?initialFilters=brand:Xylem</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P1372" t="n">
        <v>776</v>
      </c>
      <c r="Q1372" t="n">
        <v>2025</v>
      </c>
      <c r="R1372" t="inlineStr">
        <is>
          <t>company</t>
        </is>
      </c>
      <c r="S1372" t="inlineStr">
        <is>
          <t>prior</t>
        </is>
      </c>
      <c r="T1372" t="n">
        <v>293</v>
      </c>
      <c r="U1372" t="inlineStr">
        <is>
          <t>JPY 43.66 billion</t>
        </is>
      </c>
      <c r="V1372" t="inlineStr">
        <is>
          <t>FY2025 (ended Sep 2025)</t>
        </is>
      </c>
      <c r="W1372" t="inlineStr">
        <is>
          <t>company</t>
        </is>
      </c>
      <c r="X1372" t="inlineStr">
        <is>
          <t>prior</t>
        </is>
      </c>
      <c r="Y1372" t="inlineStr">
        <is>
          <t>reported</t>
        </is>
      </c>
      <c r="Z1372" t="inlineStr">
        <is>
          <t>DKN / DKM constant temperature ovens</t>
        </is>
      </c>
      <c r="AA1372" t="inlineStr">
        <is>
          <t>SM / SQ series autoclaves</t>
        </is>
      </c>
      <c r="AB1372" t="inlineStr">
        <is>
          <t>Auto Pure WL series</t>
        </is>
      </c>
      <c r="AC1372" t="inlineStr">
        <is>
          <t>prior</t>
        </is>
      </c>
      <c r="AD1372" t="inlineStr">
        <is>
          <t>מפיץ/נציג בישראל</t>
        </is>
      </c>
      <c r="AE1372" t="inlineStr">
        <is>
          <t>חיפוש חלקי</t>
        </is>
      </c>
      <c r="AF1372" t="n">
        <v>2018</v>
      </c>
      <c r="AG1372" t="inlineStr">
        <is>
          <t>S.L. Moran Ltd.</t>
        </is>
      </c>
      <c r="AH1372" t="inlineStr">
        <is>
          <t>S.L. Moran Ltd.: +972 74-702-9898</t>
        </is>
      </c>
      <c r="AI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2" t="inlineStr">
        <is>
          <t>+81 3-5548-7101</t>
        </is>
      </c>
      <c r="AL1372" t="inlineStr">
        <is>
          <t>Harumi Triton Square Office Tower Y (36F), 1-8-11 Harumi, Chuo-ku, Tokyo 104-6136, Japan</t>
        </is>
      </c>
      <c r="AM1372" t="inlineStr">
        <is>
          <t>https://www.yamato-scientific.com/support/inquiry/</t>
        </is>
      </c>
      <c r="AN1372" t="inlineStr">
        <is>
          <t>https://www.yamato-scientific.com/company/outline/</t>
        </is>
      </c>
      <c r="AP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P1373" t="n">
        <v>776</v>
      </c>
      <c r="Q1373" t="n">
        <v>2025</v>
      </c>
      <c r="R1373" t="inlineStr">
        <is>
          <t>company</t>
        </is>
      </c>
      <c r="S1373" t="inlineStr">
        <is>
          <t>prior</t>
        </is>
      </c>
      <c r="T1373" t="n">
        <v>293</v>
      </c>
      <c r="U1373" t="inlineStr">
        <is>
          <t>JPY 43.66 billion</t>
        </is>
      </c>
      <c r="V1373" t="inlineStr">
        <is>
          <t>FY2025 (ended Sep 2025)</t>
        </is>
      </c>
      <c r="W1373" t="inlineStr">
        <is>
          <t>company</t>
        </is>
      </c>
      <c r="X1373" t="inlineStr">
        <is>
          <t>prior</t>
        </is>
      </c>
      <c r="Y1373" t="inlineStr">
        <is>
          <t>reported</t>
        </is>
      </c>
      <c r="Z1373" t="inlineStr">
        <is>
          <t>DKN / DKM constant temperature ovens</t>
        </is>
      </c>
      <c r="AA1373" t="inlineStr">
        <is>
          <t>SM / SQ series autoclaves</t>
        </is>
      </c>
      <c r="AB1373" t="inlineStr">
        <is>
          <t>Auto Pure WL series</t>
        </is>
      </c>
      <c r="AC1373" t="inlineStr">
        <is>
          <t>prior</t>
        </is>
      </c>
      <c r="AD1373" t="inlineStr">
        <is>
          <t>מפיץ/נציג בישראל</t>
        </is>
      </c>
      <c r="AE1373" t="inlineStr">
        <is>
          <t>חיפוש חלקי</t>
        </is>
      </c>
      <c r="AF1373" t="n">
        <v>2018</v>
      </c>
      <c r="AG1373" t="inlineStr">
        <is>
          <t>S.L. Moran Ltd.</t>
        </is>
      </c>
      <c r="AH1373" t="inlineStr">
        <is>
          <t>S.L. Moran Ltd.: +972 74-702-9898</t>
        </is>
      </c>
      <c r="AI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3" t="inlineStr">
        <is>
          <t>+81 3-5548-7101</t>
        </is>
      </c>
      <c r="AL1373" t="inlineStr">
        <is>
          <t>Harumi Triton Square Office Tower Y (36F), 1-8-11 Harumi, Chuo-ku, Tokyo 104-6136, Japan</t>
        </is>
      </c>
      <c r="AM1373" t="inlineStr">
        <is>
          <t>https://www.yamato-scientific.com/support/inquiry/</t>
        </is>
      </c>
      <c r="AN1373" t="inlineStr">
        <is>
          <t>https://www.yamato-scientific.com/company/outline/</t>
        </is>
      </c>
      <c r="AP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4">
      <c r="A1374" t="n">
        <v>1373</v>
      </c>
      <c r="B1374" t="inlineStr">
        <is>
          <t>YMC</t>
        </is>
      </c>
      <c r="C1374" t="inlineStr">
        <is>
          <t>T</t>
        </is>
      </c>
      <c r="E1374" t="inlineStr">
        <is>
          <t>https://www.thomassci.com/browse-by/suppliers/ymc</t>
        </is>
      </c>
      <c r="F1374" t="inlineStr"/>
      <c r="J1374" t="inlineStr"/>
      <c r="Y1374" t="inlineStr">
        <is>
          <t>unknown</t>
        </is>
      </c>
      <c r="Z1374" t="inlineStr"/>
      <c r="AA1374" t="inlineStr"/>
      <c r="AB1374" t="inlineStr"/>
      <c r="AC1374" t="inlineStr"/>
      <c r="AD1374" t="inlineStr">
        <is>
          <t>לא נמצא בסריקת המפיצים</t>
        </is>
      </c>
      <c r="AE1374" t="inlineStr">
        <is>
          <t>סריקת אתרי מפיצים</t>
        </is>
      </c>
      <c r="AG1374" t="inlineStr"/>
      <c r="AH1374" t="inlineStr"/>
      <c r="AJ1374" t="inlineStr"/>
      <c r="AP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t>
        </is>
      </c>
      <c r="J1375" t="inlineStr"/>
      <c r="Y1375" t="inlineStr">
        <is>
          <t>unknown</t>
        </is>
      </c>
      <c r="Z1375" t="inlineStr"/>
      <c r="AA1375" t="inlineStr"/>
      <c r="AB1375" t="inlineStr"/>
      <c r="AC1375" t="inlineStr"/>
      <c r="AD1375" t="inlineStr">
        <is>
          <t>לא נמצא בסריקת המפיצים</t>
        </is>
      </c>
      <c r="AE1375" t="inlineStr">
        <is>
          <t>סריקת אתרי מפיצים</t>
        </is>
      </c>
      <c r="AG1375" t="inlineStr"/>
      <c r="AH1375" t="inlineStr"/>
      <c r="AJ1375" t="inlineStr"/>
      <c r="AP1375" t="inlineStr">
        <is>
          <t>https://www.thomassci.com/browse-by/suppliers/ysi</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t>
        </is>
      </c>
      <c r="J1376" t="inlineStr"/>
      <c r="Y1376" t="inlineStr">
        <is>
          <t>unknown</t>
        </is>
      </c>
      <c r="Z1376" t="inlineStr"/>
      <c r="AA1376" t="inlineStr"/>
      <c r="AB1376" t="inlineStr"/>
      <c r="AC1376" t="inlineStr"/>
      <c r="AD1376" t="inlineStr">
        <is>
          <t>לא נמצא בסריקת המפיצים</t>
        </is>
      </c>
      <c r="AE1376" t="inlineStr">
        <is>
          <t>סריקת אתרי מפיצים</t>
        </is>
      </c>
      <c r="AG1376" t="inlineStr"/>
      <c r="AH1376" t="inlineStr"/>
      <c r="AJ1376" t="inlineStr"/>
      <c r="AP1376" t="inlineStr">
        <is>
          <t>https://www.thomassci.com/browse-by/suppliers/yukon-medical</t>
        </is>
      </c>
    </row>
    <row r="1377">
      <c r="A1377" t="n">
        <v>1376</v>
      </c>
      <c r="B1377" t="inlineStr">
        <is>
          <t>Zep</t>
        </is>
      </c>
      <c r="C1377" t="inlineStr">
        <is>
          <t>T</t>
        </is>
      </c>
      <c r="E1377" t="inlineStr">
        <is>
          <t>https://www.thomassci.com/browse-by/suppliers/zep</t>
        </is>
      </c>
      <c r="F1377" t="inlineStr"/>
      <c r="J1377" t="inlineStr"/>
      <c r="Y1377" t="inlineStr">
        <is>
          <t>unknown</t>
        </is>
      </c>
      <c r="Z1377" t="inlineStr"/>
      <c r="AA1377" t="inlineStr"/>
      <c r="AB1377" t="inlineStr"/>
      <c r="AC1377" t="inlineStr"/>
      <c r="AD1377" t="inlineStr">
        <is>
          <t>לא נמצא בסריקת המפיצים</t>
        </is>
      </c>
      <c r="AE1377" t="inlineStr">
        <is>
          <t>סריקת אתרי מפיצים</t>
        </is>
      </c>
      <c r="AG1377" t="inlineStr"/>
      <c r="AH1377" t="inlineStr"/>
      <c r="AJ1377" t="inlineStr"/>
      <c r="AP1377" t="inlineStr">
        <is>
          <t>https://www.thomassci.com/browse-by/suppliers/zep</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t>
        </is>
      </c>
      <c r="J1378" t="inlineStr"/>
      <c r="Y1378" t="inlineStr">
        <is>
          <t>unknown</t>
        </is>
      </c>
      <c r="Z1378" t="inlineStr"/>
      <c r="AA1378" t="inlineStr"/>
      <c r="AB1378" t="inlineStr"/>
      <c r="AC1378" t="inlineStr"/>
      <c r="AD1378" t="inlineStr">
        <is>
          <t>לא נמצא בסריקת המפיצים</t>
        </is>
      </c>
      <c r="AE1378" t="inlineStr">
        <is>
          <t>סריקת אתרי מפיצים</t>
        </is>
      </c>
      <c r="AG1378" t="inlineStr"/>
      <c r="AH1378" t="inlineStr"/>
      <c r="AJ1378" t="inlineStr"/>
      <c r="AP1378" t="inlineStr">
        <is>
          <t>https://www.thomassci.com/browse-by/suppliers/zeptometrix</t>
        </is>
      </c>
    </row>
    <row r="1379">
      <c r="A1379" t="n">
        <v>1378</v>
      </c>
      <c r="B1379" t="inlineStr">
        <is>
          <t>Zhejiang Fangye BioTech</t>
        </is>
      </c>
      <c r="C1379" t="inlineStr">
        <is>
          <t>T</t>
        </is>
      </c>
      <c r="E1379" t="inlineStr">
        <is>
          <t>https://www.thomassci.com/browse-by/suppliers/zhejiang-fangye-biotech</t>
        </is>
      </c>
      <c r="F1379" t="inlineStr"/>
      <c r="J1379" t="inlineStr"/>
      <c r="Y1379" t="inlineStr">
        <is>
          <t>unknown</t>
        </is>
      </c>
      <c r="Z1379" t="inlineStr"/>
      <c r="AA1379" t="inlineStr"/>
      <c r="AB1379" t="inlineStr"/>
      <c r="AC1379" t="inlineStr"/>
      <c r="AD1379" t="inlineStr">
        <is>
          <t>לא נמצא בסריקת המפיצים</t>
        </is>
      </c>
      <c r="AE1379" t="inlineStr">
        <is>
          <t>סריקת אתרי מפיצים</t>
        </is>
      </c>
      <c r="AG1379" t="inlineStr"/>
      <c r="AH1379" t="inlineStr"/>
      <c r="AJ1379" t="inlineStr"/>
      <c r="AP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https://zoll.de</t>
        </is>
      </c>
      <c r="I1380" t="inlineStr">
        <is>
          <t>clearbit</t>
        </is>
      </c>
      <c r="J1380" t="inlineStr"/>
      <c r="Y1380" t="inlineStr">
        <is>
          <t>unknown</t>
        </is>
      </c>
      <c r="Z1380" t="inlineStr"/>
      <c r="AA1380" t="inlineStr"/>
      <c r="AB1380" t="inlineStr"/>
      <c r="AC1380" t="inlineStr"/>
      <c r="AD1380" t="inlineStr">
        <is>
          <t>לא נמצא בסריקת המפיצים</t>
        </is>
      </c>
      <c r="AE1380" t="inlineStr">
        <is>
          <t>סריקת אתרי מפיצים</t>
        </is>
      </c>
      <c r="AG1380" t="inlineStr"/>
      <c r="AH1380" t="inlineStr"/>
      <c r="AJ1380" t="inlineStr"/>
      <c r="AP1380" t="inlineStr">
        <is>
          <t>https://www.thomassci.com/browse-by/suppliers/zoll</t>
        </is>
      </c>
    </row>
    <row r="1381">
      <c r="A1381" t="n">
        <v>1380</v>
      </c>
      <c r="B1381" t="inlineStr">
        <is>
          <t>Zwiebel</t>
        </is>
      </c>
      <c r="C1381" t="inlineStr">
        <is>
          <t>D</t>
        </is>
      </c>
      <c r="D1381" t="inlineStr">
        <is>
          <t>https://www.dutscher.com/search?initialFilters=brand:Zwiebel</t>
        </is>
      </c>
      <c r="F1381" t="inlineStr"/>
      <c r="H1381" t="inlineStr">
        <is>
          <t>https://zwiebel.fr</t>
        </is>
      </c>
      <c r="I1381" t="inlineStr">
        <is>
          <t>clearbit</t>
        </is>
      </c>
      <c r="J1381" t="inlineStr"/>
      <c r="Y1381" t="inlineStr">
        <is>
          <t>unknown</t>
        </is>
      </c>
      <c r="Z1381" t="inlineStr"/>
      <c r="AA1381" t="inlineStr"/>
      <c r="AB1381" t="inlineStr"/>
      <c r="AC1381" t="inlineStr"/>
      <c r="AD1381" t="inlineStr">
        <is>
          <t>לא נמצא בסריקת המפיצים</t>
        </is>
      </c>
      <c r="AE1381" t="inlineStr">
        <is>
          <t>סריקת אתרי מפיצים</t>
        </is>
      </c>
      <c r="AG1381" t="inlineStr"/>
      <c r="AH1381" t="inlineStr"/>
      <c r="AJ1381" t="inlineStr"/>
      <c r="AP1381" t="inlineStr">
        <is>
          <t>https://www.dutscher.com/search?initialFilters=brand:Zwiebel</t>
        </is>
      </c>
    </row>
    <row r="1382">
      <c r="A1382" t="n">
        <v>1381</v>
      </c>
      <c r="B1382" t="inlineStr">
        <is>
          <t>Zymo Research Corporation</t>
        </is>
      </c>
      <c r="C1382" t="inlineStr">
        <is>
          <t>T+Q</t>
        </is>
      </c>
      <c r="E1382" t="inlineStr">
        <is>
          <t>https://www.thomassci.com/browse-by/suppliers/zymo-research-corporation</t>
        </is>
      </c>
      <c r="F1382" t="inlineStr">
        <is>
          <t>yes</t>
        </is>
      </c>
      <c r="J1382" t="inlineStr"/>
      <c r="Y1382" t="inlineStr">
        <is>
          <t>unknown</t>
        </is>
      </c>
      <c r="Z1382" t="inlineStr">
        <is>
          <t>Zymo-Spin I Columns</t>
        </is>
      </c>
      <c r="AA1382" t="inlineStr">
        <is>
          <t>ZymoPURE II Plasmid Midiprep Kits</t>
        </is>
      </c>
      <c r="AB1382" t="inlineStr">
        <is>
          <t>RNA Clean &amp; Concentrator-5 Kits</t>
        </is>
      </c>
      <c r="AC1382" t="inlineStr">
        <is>
          <t>thomassci</t>
        </is>
      </c>
      <c r="AD1382" t="inlineStr">
        <is>
          <t>לא נמצא בסריקת המפיצים</t>
        </is>
      </c>
      <c r="AE1382" t="inlineStr">
        <is>
          <t>סריקת אתרי מפיצים</t>
        </is>
      </c>
      <c r="AG1382" t="inlineStr"/>
      <c r="AH1382" t="inlineStr"/>
      <c r="AJ1382" t="inlineStr"/>
      <c r="AP1382" t="inlineStr">
        <is>
          <t>https://www.quartzy.com/suppliers | https://www.thomassci.com/browse-by/suppliers/zymo-research-corporation</t>
        </is>
      </c>
    </row>
  </sheetData>
  <autoFilter ref="A1:AP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4"/>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53</v>
      </c>
      <c r="B2" t="inlineStr">
        <is>
          <t>Agilent</t>
        </is>
      </c>
      <c r="C2" t="inlineStr">
        <is>
          <t>Eldan Electronic Instruments Ltd. (Neopharm group)</t>
        </is>
      </c>
      <c r="D2" t="inlineStr">
        <is>
          <t>אלדן</t>
        </is>
      </c>
      <c r="E2" t="inlineStr">
        <is>
          <t>מפיץ</t>
        </is>
      </c>
      <c r="F2" t="inlineStr">
        <is>
          <t>Agilent authorised distributor for Israel (chromatography, spectroscopy, mass spectrometry, lab products, cell analysis); Petach Tikva, tel. +972-3-9371111, info@eldan.biz, per Agilent's live Israel contact page</t>
        </is>
      </c>
      <c r="G2" t="inlineStr">
        <is>
          <t>https://www.eldan.biz</t>
        </is>
      </c>
      <c r="H2" t="inlineStr">
        <is>
          <t>+972-3-937-1111</t>
        </is>
      </c>
      <c r="I2" t="inlineStr">
        <is>
          <t>info@eldan.biz</t>
        </is>
      </c>
      <c r="J2" t="inlineStr">
        <is>
          <t>6 Hashiloach Street, P.O. Box 7641, Petach Tikva 49170</t>
        </is>
      </c>
      <c r="K2" t="inlineStr"/>
      <c r="L2" t="n">
        <v>2026</v>
      </c>
      <c r="M2" t="inlineStr">
        <is>
          <t>עדכני</t>
        </is>
      </c>
      <c r="N2" t="inlineStr">
        <is>
          <t>prior_research</t>
        </is>
      </c>
      <c r="P2" t="inlineStr">
        <is>
          <t>https://www.agilent.com/en/contact-us/israel</t>
        </is>
      </c>
    </row>
    <row r="3">
      <c r="A3" t="n">
        <v>56</v>
      </c>
      <c r="B3" t="inlineStr">
        <is>
          <t>Agilent Technologies</t>
        </is>
      </c>
      <c r="C3" t="inlineStr">
        <is>
          <t>Eldan Electronic Instruments Ltd. (Neopharm group)</t>
        </is>
      </c>
      <c r="D3" t="inlineStr">
        <is>
          <t>אלדן</t>
        </is>
      </c>
      <c r="E3" t="inlineStr">
        <is>
          <t>מפיץ</t>
        </is>
      </c>
      <c r="F3" t="inlineStr">
        <is>
          <t>Agilent authorised distributor for Israel (chromatography, spectroscopy, mass spectrometry, lab products, cell analysis); Petach Tikva, tel. +972-3-9371111, info@eldan.biz, per Agilent's live Israel contact page</t>
        </is>
      </c>
      <c r="G3" t="inlineStr">
        <is>
          <t>https://www.eldan.biz</t>
        </is>
      </c>
      <c r="H3" t="inlineStr">
        <is>
          <t>+972-3-937-1111</t>
        </is>
      </c>
      <c r="I3" t="inlineStr">
        <is>
          <t>info@eldan.biz</t>
        </is>
      </c>
      <c r="J3" t="inlineStr">
        <is>
          <t>6 Hashiloach Street, P.O. Box 7641, Petach Tikva 49170</t>
        </is>
      </c>
      <c r="K3" t="inlineStr"/>
      <c r="L3" t="n">
        <v>2026</v>
      </c>
      <c r="M3" t="inlineStr">
        <is>
          <t>עדכני</t>
        </is>
      </c>
      <c r="N3" t="inlineStr">
        <is>
          <t>prior_research</t>
        </is>
      </c>
      <c r="P3" t="inlineStr">
        <is>
          <t>https://www.agilent.com/en/contact-us/israel</t>
        </is>
      </c>
    </row>
    <row r="4">
      <c r="A4" t="n">
        <v>99</v>
      </c>
      <c r="B4" t="inlineStr">
        <is>
          <t>Analytik Jena</t>
        </is>
      </c>
      <c r="C4" t="inlineStr">
        <is>
          <t>Lifegene</t>
        </is>
      </c>
      <c r="D4" t="inlineStr"/>
      <c r="E4" t="inlineStr">
        <is>
          <t>מפיץ</t>
        </is>
      </c>
      <c r="F4" t="inlineStr">
        <is>
          <t>Biometra thermal cyclers (TAdvanced, TOne, TRobot II) described on Lifegene's live pages as premium PCR instruments from Analytik Jena</t>
        </is>
      </c>
      <c r="G4" t="inlineStr">
        <is>
          <t>https://www.lifegene.co.il</t>
        </is>
      </c>
      <c r="H4" t="inlineStr">
        <is>
          <t>+972 8-644-4314</t>
        </is>
      </c>
      <c r="I4" t="inlineStr">
        <is>
          <t>info@lifegene.co.il</t>
        </is>
      </c>
      <c r="J4" t="inlineStr">
        <is>
          <t>4 Ha'maayan St., Modi'in 7171101 (directory lists Modi'in; other sources say Mevo Horon – verify)</t>
        </is>
      </c>
      <c r="K4" t="inlineStr"/>
      <c r="L4" t="n">
        <v>2026</v>
      </c>
      <c r="M4" t="inlineStr">
        <is>
          <t>עדכני</t>
        </is>
      </c>
      <c r="N4" t="inlineStr">
        <is>
          <t>prior_research</t>
        </is>
      </c>
      <c r="P4" t="inlineStr">
        <is>
          <t>https://www.lifegene.co.il/biometra_tadvanced_pcr</t>
        </is>
      </c>
    </row>
    <row r="5">
      <c r="A5" t="n">
        <v>99</v>
      </c>
      <c r="B5" t="inlineStr">
        <is>
          <t>Analytik Jena</t>
        </is>
      </c>
      <c r="C5" t="inlineStr">
        <is>
          <t>Tamar Laboratory Supplies</t>
        </is>
      </c>
      <c r="D5" t="inlineStr"/>
      <c r="E5" t="inlineStr">
        <is>
          <t>מפיץ</t>
        </is>
      </c>
      <c r="F5" t="inlineStr">
        <is>
          <t>qTOWER³ real-time PCR thermal cycler (live product page) and 'PCR instruments from Biometra' (live project page)</t>
        </is>
      </c>
      <c r="G5" t="inlineStr">
        <is>
          <t>https://tamar.co.il</t>
        </is>
      </c>
      <c r="H5" t="inlineStr">
        <is>
          <t>+972 2-533-6070 (also 02-579-9777)</t>
        </is>
      </c>
      <c r="I5" t="inlineStr"/>
      <c r="J5" t="inlineStr">
        <is>
          <t>HaAla St., Mevaseret Zion 90805</t>
        </is>
      </c>
      <c r="K5" t="inlineStr"/>
      <c r="L5" t="n">
        <v>2026</v>
      </c>
      <c r="M5" t="inlineStr">
        <is>
          <t>עדכני</t>
        </is>
      </c>
      <c r="N5" t="inlineStr">
        <is>
          <t>prior_research</t>
        </is>
      </c>
      <c r="P5" t="inlineStr">
        <is>
          <t>https://tamar.co.il/qtower%C2%B3</t>
        </is>
      </c>
    </row>
    <row r="6">
      <c r="A6" t="n">
        <v>99</v>
      </c>
      <c r="B6" t="inlineStr">
        <is>
          <t>Analytik Jena</t>
        </is>
      </c>
      <c r="C6" t="inlineStr">
        <is>
          <t>Lumitron</t>
        </is>
      </c>
      <c r="D6" t="inlineStr">
        <is>
          <t>לומיטרון</t>
        </is>
      </c>
      <c r="E6" t="inlineStr">
        <is>
          <t>מפיץ</t>
        </is>
      </c>
      <c r="F6" t="inlineStr">
        <is>
          <t>UVP bio-imaging systems - Lumitron's live About page describes UVP as a part of Analytik Jena</t>
        </is>
      </c>
      <c r="G6" t="inlineStr">
        <is>
          <t>https://www.lumitron.co.il</t>
        </is>
      </c>
      <c r="H6" t="inlineStr">
        <is>
          <t>+972 52-525-6287</t>
        </is>
      </c>
      <c r="I6" t="inlineStr"/>
      <c r="J6" t="inlineStr">
        <is>
          <t>17 Hamiflasim St., Petah Tikva</t>
        </is>
      </c>
      <c r="K6" t="inlineStr"/>
      <c r="L6" t="n">
        <v>2026</v>
      </c>
      <c r="M6" t="inlineStr">
        <is>
          <t>עדכני</t>
        </is>
      </c>
      <c r="N6" t="inlineStr">
        <is>
          <t>prior_research</t>
        </is>
      </c>
      <c r="P6" t="inlineStr">
        <is>
          <t>https://www.lumitron.co.il/about-us/</t>
        </is>
      </c>
    </row>
    <row r="7">
      <c r="A7" t="n">
        <v>108</v>
      </c>
      <c r="B7" t="inlineStr">
        <is>
          <t>Anton Paar</t>
        </is>
      </c>
      <c r="C7" t="inlineStr">
        <is>
          <t>Prime Lab Scientific Instruments Ltd.</t>
        </is>
      </c>
      <c r="D7" t="inlineStr">
        <is>
          <t>פריים לאב</t>
        </is>
      </c>
      <c r="E7" t="inlineStr">
        <is>
          <t>מפיץ</t>
        </is>
      </c>
      <c r="F7"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7" t="inlineStr">
        <is>
          <t>https://primelab.co.il</t>
        </is>
      </c>
      <c r="H7" t="inlineStr"/>
      <c r="I7" t="inlineStr"/>
      <c r="J7" t="inlineStr"/>
      <c r="K7" t="inlineStr"/>
      <c r="L7" t="n">
        <v>2026</v>
      </c>
      <c r="M7" t="inlineStr">
        <is>
          <t>עדכני</t>
        </is>
      </c>
      <c r="N7" t="inlineStr">
        <is>
          <t>prior_research</t>
        </is>
      </c>
      <c r="P7" t="inlineStr">
        <is>
          <t>https://primelab.co.il/</t>
        </is>
      </c>
    </row>
    <row r="8">
      <c r="A8" t="n">
        <v>149</v>
      </c>
      <c r="B8" t="inlineStr">
        <is>
          <t>Azenta</t>
        </is>
      </c>
      <c r="C8" t="inlineStr">
        <is>
          <t>HyLabs (Hy Laboratories Ltd.)</t>
        </is>
      </c>
      <c r="D8" t="inlineStr"/>
      <c r="E8" t="inlineStr">
        <is>
          <t>מפיץ</t>
        </is>
      </c>
      <c r="F8"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8" t="inlineStr">
        <is>
          <t>https://www.hylabs.co.il</t>
        </is>
      </c>
      <c r="H8" t="inlineStr">
        <is>
          <t>+972-8-936-6475</t>
        </is>
      </c>
      <c r="I8" t="inlineStr"/>
      <c r="J8" t="inlineStr">
        <is>
          <t>8 Prof. Menakhem Plaut St., Rehovot (Prospeo lists 6 Plaut St., Rehovot 7670606)</t>
        </is>
      </c>
      <c r="K8" t="inlineStr"/>
      <c r="L8" t="n">
        <v>2026</v>
      </c>
      <c r="M8" t="inlineStr">
        <is>
          <t>עדכני</t>
        </is>
      </c>
      <c r="N8" t="inlineStr">
        <is>
          <t>prior_research</t>
        </is>
      </c>
      <c r="P8" t="inlineStr">
        <is>
          <t>https://www.hylabs.co.il/services/genewiz-genomics-services/</t>
        </is>
      </c>
    </row>
    <row r="9">
      <c r="A9" t="n">
        <v>149</v>
      </c>
      <c r="B9" t="inlineStr">
        <is>
          <t>Azenta</t>
        </is>
      </c>
      <c r="C9" t="inlineStr">
        <is>
          <t>Tamar Laboratory Supplies Ltd.</t>
        </is>
      </c>
      <c r="D9" t="inlineStr">
        <is>
          <t>תמר ציוד מעבדתי</t>
        </is>
      </c>
      <c r="E9" t="inlineStr">
        <is>
          <t>מפיץ</t>
        </is>
      </c>
      <c r="F9"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9" t="inlineStr">
        <is>
          <t>https://www.tamar.co.il</t>
        </is>
      </c>
      <c r="H9" t="inlineStr">
        <is>
          <t>+972 2-533-6070 (also 02-579-9777)</t>
        </is>
      </c>
      <c r="I9" t="inlineStr"/>
      <c r="J9" t="inlineStr">
        <is>
          <t>HaAla St., Mevaseret Zion 90805</t>
        </is>
      </c>
      <c r="K9" t="inlineStr"/>
      <c r="L9" t="n">
        <v>2026</v>
      </c>
      <c r="M9" t="inlineStr">
        <is>
          <t>עדכני</t>
        </is>
      </c>
      <c r="N9" t="inlineStr">
        <is>
          <t>prior_research</t>
        </is>
      </c>
      <c r="P9" t="inlineStr">
        <is>
          <t>https://www.tamar.co.il/represented-companies/</t>
        </is>
      </c>
    </row>
    <row r="10">
      <c r="A10" t="n">
        <v>150</v>
      </c>
      <c r="B10" t="inlineStr">
        <is>
          <t>Azenta Life Sciences (formerly 4titude)</t>
        </is>
      </c>
      <c r="C10" t="inlineStr">
        <is>
          <t>HyLabs (Hy Laboratories Ltd.)</t>
        </is>
      </c>
      <c r="D10" t="inlineStr"/>
      <c r="E10" t="inlineStr">
        <is>
          <t>מפיץ</t>
        </is>
      </c>
      <c r="F10"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0" t="inlineStr">
        <is>
          <t>https://www.hylabs.co.il</t>
        </is>
      </c>
      <c r="H10" t="inlineStr">
        <is>
          <t>+972-8-936-6475</t>
        </is>
      </c>
      <c r="I10" t="inlineStr"/>
      <c r="J10" t="inlineStr">
        <is>
          <t>8 Prof. Menakhem Plaut St., Rehovot (Prospeo lists 6 Plaut St., Rehovot 7670606)</t>
        </is>
      </c>
      <c r="K10" t="inlineStr"/>
      <c r="L10" t="n">
        <v>2026</v>
      </c>
      <c r="M10" t="inlineStr">
        <is>
          <t>עדכני</t>
        </is>
      </c>
      <c r="N10" t="inlineStr">
        <is>
          <t>prior_research</t>
        </is>
      </c>
      <c r="P10" t="inlineStr">
        <is>
          <t>https://www.hylabs.co.il/services/genewiz-genomics-services/</t>
        </is>
      </c>
    </row>
    <row r="11">
      <c r="A11" t="n">
        <v>150</v>
      </c>
      <c r="B11" t="inlineStr">
        <is>
          <t>Azenta Life Sciences (formerly 4titude)</t>
        </is>
      </c>
      <c r="C11" t="inlineStr">
        <is>
          <t>Tamar Laboratory Supplies Ltd.</t>
        </is>
      </c>
      <c r="D11" t="inlineStr">
        <is>
          <t>תמר ציוד מעבדתי</t>
        </is>
      </c>
      <c r="E11" t="inlineStr">
        <is>
          <t>מפיץ</t>
        </is>
      </c>
      <c r="F11"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1" t="inlineStr">
        <is>
          <t>https://www.tamar.co.il</t>
        </is>
      </c>
      <c r="H11" t="inlineStr">
        <is>
          <t>+972 2-533-6070 (also 02-579-9777)</t>
        </is>
      </c>
      <c r="I11" t="inlineStr"/>
      <c r="J11" t="inlineStr">
        <is>
          <t>HaAla St., Mevaseret Zion 90805</t>
        </is>
      </c>
      <c r="K11" t="inlineStr"/>
      <c r="L11" t="n">
        <v>2026</v>
      </c>
      <c r="M11" t="inlineStr">
        <is>
          <t>עדכני</t>
        </is>
      </c>
      <c r="N11" t="inlineStr">
        <is>
          <t>prior_research</t>
        </is>
      </c>
      <c r="P11" t="inlineStr">
        <is>
          <t>https://www.tamar.co.il/represented-companies/</t>
        </is>
      </c>
    </row>
    <row r="12">
      <c r="A12" t="n">
        <v>165</v>
      </c>
      <c r="B12" t="inlineStr">
        <is>
          <t>BD Biosciences</t>
        </is>
      </c>
      <c r="C12" t="inlineStr">
        <is>
          <t>Augusta Life Sciences Israel Ltd. (Waters subsidiary, ex-BD Biosciences &amp; Diagnostic Solutions)</t>
        </is>
      </c>
      <c r="D12" t="inlineStr"/>
      <c r="E12" t="inlineStr">
        <is>
          <t>חברה-בת</t>
        </is>
      </c>
      <c r="F12"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12" t="inlineStr">
        <is>
          <t>https://www.waters.com</t>
        </is>
      </c>
      <c r="H12" t="inlineStr"/>
      <c r="I12" t="inlineStr"/>
      <c r="J12" t="inlineStr"/>
      <c r="K12" t="inlineStr"/>
      <c r="L12" t="n">
        <v>2026</v>
      </c>
      <c r="M12" t="inlineStr">
        <is>
          <t>עדכני</t>
        </is>
      </c>
      <c r="N12" t="inlineStr">
        <is>
          <t>prior_research</t>
        </is>
      </c>
      <c r="P12" t="inlineStr">
        <is>
          <t>https://www.waters.com/nextgen/us/en/about-waters/corporate-governance/legal-and-privacy-notices/bdtransaction.html</t>
        </is>
      </c>
    </row>
    <row r="13">
      <c r="A13" t="n">
        <v>165</v>
      </c>
      <c r="B13" t="inlineStr">
        <is>
          <t>BD Biosciences</t>
        </is>
      </c>
      <c r="C13" t="inlineStr">
        <is>
          <t>BD Israel (Becton Dickinson)</t>
        </is>
      </c>
      <c r="D13" t="inlineStr"/>
      <c r="E13" t="inlineStr">
        <is>
          <t>חברה-בת</t>
        </is>
      </c>
      <c r="F13"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13" t="inlineStr">
        <is>
          <t>https://www.bd.com/en-il</t>
        </is>
      </c>
      <c r="H13" t="inlineStr"/>
      <c r="I13" t="inlineStr"/>
      <c r="J13" t="inlineStr">
        <is>
          <t>Caesarea</t>
        </is>
      </c>
      <c r="K13" t="inlineStr"/>
      <c r="L13" t="n">
        <v>2026</v>
      </c>
      <c r="M13" t="inlineStr">
        <is>
          <t>עדכני</t>
        </is>
      </c>
      <c r="N13" t="inlineStr">
        <is>
          <t>prior_research</t>
        </is>
      </c>
      <c r="P13" t="inlineStr">
        <is>
          <t>https://jobs.bd.com/location-israel</t>
        </is>
      </c>
    </row>
    <row r="14">
      <c r="A14" t="n">
        <v>165</v>
      </c>
      <c r="B14" t="inlineStr">
        <is>
          <t>BD Biosciences</t>
        </is>
      </c>
      <c r="C14" t="inlineStr">
        <is>
          <t>Lapidot Group (Lapidot Medical)</t>
        </is>
      </c>
      <c r="D14" t="inlineStr">
        <is>
          <t>לפידות</t>
        </is>
      </c>
      <c r="E14" t="inlineStr">
        <is>
          <t>מפיץ</t>
        </is>
      </c>
      <c r="F14" t="inlineStr">
        <is>
          <t>lists BD as a business partner ('global medical technology company'); product scope not stated - likely BD Medical lines, not confirmed for Biosciences/Diagnostics</t>
        </is>
      </c>
      <c r="G14" t="inlineStr">
        <is>
          <t>https://www.lapidot.com</t>
        </is>
      </c>
      <c r="H14" t="inlineStr">
        <is>
          <t>+972-4-6309630 / +972-74-7797836</t>
        </is>
      </c>
      <c r="I14" t="inlineStr">
        <is>
          <t>customerservice@lapidot.com</t>
        </is>
      </c>
      <c r="J14" t="inlineStr">
        <is>
          <t>8 Hashita St., P.O. Box 3552, Caesarea Industrial Park 3088900</t>
        </is>
      </c>
      <c r="K14" t="inlineStr"/>
      <c r="M14" t="inlineStr">
        <is>
          <t>ראיה ישנה</t>
        </is>
      </c>
      <c r="N14" t="inlineStr">
        <is>
          <t>prior_research</t>
        </is>
      </c>
      <c r="P14" t="inlineStr">
        <is>
          <t>https://www.lapidot.com/en/partners/</t>
        </is>
      </c>
    </row>
    <row r="15">
      <c r="A15" t="n">
        <v>168</v>
      </c>
      <c r="B15" t="inlineStr">
        <is>
          <t>Beckman Coulter</t>
        </is>
      </c>
      <c r="C15" t="inlineStr">
        <is>
          <t>Rhenium Ltd.</t>
        </is>
      </c>
      <c r="D15" t="inlineStr">
        <is>
          <t>רניום</t>
        </is>
      </c>
      <c r="E15" t="inlineStr">
        <is>
          <t>מפיץ</t>
        </is>
      </c>
      <c r="F15" t="inlineStr">
        <is>
          <t>Beckman Coulter Life Sciences distributor for Israel - 20 Hasatat St., P.O.B. 180, Modi'in 7171101, +972 8 955 8888, per Beckman Coulter Life Sciences' live Israel contact page</t>
        </is>
      </c>
      <c r="G15" t="inlineStr">
        <is>
          <t>https://www.rhenium.co.il</t>
        </is>
      </c>
      <c r="H15" t="inlineStr">
        <is>
          <t>+972 8-955-8888</t>
        </is>
      </c>
      <c r="I15" t="inlineStr"/>
      <c r="J15" t="inlineStr">
        <is>
          <t>20 Hasatat St., P.O. Box 180, Modi'in 7171101</t>
        </is>
      </c>
      <c r="K15" t="inlineStr"/>
      <c r="L15" t="n">
        <v>2026</v>
      </c>
      <c r="M15" t="inlineStr">
        <is>
          <t>עדכני</t>
        </is>
      </c>
      <c r="N15" t="inlineStr">
        <is>
          <t>prior_research</t>
        </is>
      </c>
      <c r="P15" t="inlineStr">
        <is>
          <t>https://www.beckman.com/contact-us/israel</t>
        </is>
      </c>
    </row>
    <row r="16">
      <c r="A16" t="n">
        <v>168</v>
      </c>
      <c r="B16" t="inlineStr">
        <is>
          <t>Beckman Coulter</t>
        </is>
      </c>
      <c r="C16" t="inlineStr">
        <is>
          <t>Beckman Coulter (Israel) Ltd.</t>
        </is>
      </c>
      <c r="D16" t="inlineStr"/>
      <c r="E16" t="inlineStr">
        <is>
          <t>חברה-בת</t>
        </is>
      </c>
      <c r="F16" t="inlineStr">
        <is>
          <t>Beckman Coulter Diagnostics legal entity in Israel (2 Pekeris St., Park Tamar, Rehovot) listed under the BEC Diagnostics reporting group in Beckman Coulter's EU data-controller list; commercial role (direct diagnostics sales/service) not established</t>
        </is>
      </c>
      <c r="G16" t="inlineStr"/>
      <c r="H16" t="inlineStr"/>
      <c r="I16" t="inlineStr"/>
      <c r="J16" t="inlineStr"/>
      <c r="K16" t="inlineStr"/>
      <c r="L16" t="n">
        <v>2026</v>
      </c>
      <c r="M16" t="inlineStr">
        <is>
          <t>חדש</t>
        </is>
      </c>
      <c r="N16" t="inlineStr">
        <is>
          <t>prior_research</t>
        </is>
      </c>
      <c r="P16" t="inlineStr">
        <is>
          <t>https://media.beckmancoulter.com/-/media/diagnostics/eu-assets/pdf/controller-list.pdf?rev=e10665d675ed4f24adf07082e61099f6&amp;hash=DF4541DC81268F0844822FB104DF7F66</t>
        </is>
      </c>
    </row>
    <row r="17">
      <c r="A17" t="n">
        <v>189</v>
      </c>
      <c r="B17" t="inlineStr">
        <is>
          <t>Binder</t>
        </is>
      </c>
      <c r="C17" t="inlineStr">
        <is>
          <t>Labotal Scientific Equipment Ltd.</t>
        </is>
      </c>
      <c r="D17" t="inlineStr">
        <is>
          <t>לבוטל ציוד מדעי</t>
        </is>
      </c>
      <c r="E17" t="inlineStr">
        <is>
          <t>מפיץ</t>
        </is>
      </c>
      <c r="F17" t="inlineStr">
        <is>
          <t>Binder incubators, drying ovens and climate/simulation chambers - Labotal's live 'Binder' represented-firm page (founded 1983 by Peter M. Binder), live 'Represented Firms' page and drying-systems category</t>
        </is>
      </c>
      <c r="G17" t="inlineStr">
        <is>
          <t>https://labotal.co.il</t>
        </is>
      </c>
      <c r="H17" t="inlineStr">
        <is>
          <t>+972 2-579-9222</t>
        </is>
      </c>
      <c r="I17" t="inlineStr">
        <is>
          <t>Sales@labotal.co.il</t>
        </is>
      </c>
      <c r="J17" t="inlineStr">
        <is>
          <t>Hashalom Rd., Abu Ghosh 9084500 (mail: Mevaseret Zion)</t>
        </is>
      </c>
      <c r="K17" t="inlineStr">
        <is>
          <t>https://labotal.co.il/contact/</t>
        </is>
      </c>
      <c r="L17" t="n">
        <v>2026</v>
      </c>
      <c r="M17" t="inlineStr">
        <is>
          <t>עדכני</t>
        </is>
      </c>
      <c r="N17" t="inlineStr">
        <is>
          <t>prior_research</t>
        </is>
      </c>
      <c r="P17" t="inlineStr">
        <is>
          <t>https://labotal.co.il/firms/binder/?lang=en</t>
        </is>
      </c>
    </row>
    <row r="18">
      <c r="A18" t="n">
        <v>192</v>
      </c>
      <c r="B18" t="inlineStr">
        <is>
          <t>Bio-Rad</t>
        </is>
      </c>
      <c r="C18" t="inlineStr">
        <is>
          <t>Bio-Rad Israel Ltd. (Bio-Rad Laboratories (Rishon))</t>
        </is>
      </c>
      <c r="D18" t="inlineStr">
        <is>
          <t>ביו-ראד ישראל</t>
        </is>
      </c>
      <c r="E18" t="inlineStr">
        <is>
          <t>חברה-בת</t>
        </is>
      </c>
      <c r="F18" t="inlineStr">
        <is>
          <t>direct sales &amp; service of life-science and clinical-diagnostics products (Rishon LeZion; branch since 1991)</t>
        </is>
      </c>
      <c r="G18" t="inlineStr">
        <is>
          <t>https://www.bio-rad.com</t>
        </is>
      </c>
      <c r="H18" t="inlineStr"/>
      <c r="I18" t="inlineStr"/>
      <c r="J18" t="inlineStr">
        <is>
          <t>Netiv HaOr, Haifa</t>
        </is>
      </c>
      <c r="K18" t="inlineStr">
        <is>
          <t>https://www.bio-rad.com/en-il/contact-us</t>
        </is>
      </c>
      <c r="M18" t="inlineStr"/>
      <c r="N18" t="inlineStr">
        <is>
          <t>prior_research</t>
        </is>
      </c>
      <c r="P18" t="inlineStr">
        <is>
          <t>https://www.bio-rad.com/en-il/corporate/careers</t>
        </is>
      </c>
    </row>
    <row r="19">
      <c r="A19" t="n">
        <v>192</v>
      </c>
      <c r="B19" t="inlineStr">
        <is>
          <t>Bio-Rad</t>
        </is>
      </c>
      <c r="C19" t="inlineStr">
        <is>
          <t>Bio-Rad Haifa Ltd.</t>
        </is>
      </c>
      <c r="D19" t="inlineStr">
        <is>
          <t>ביו-ראד חיפה</t>
        </is>
      </c>
      <c r="E19" t="inlineStr">
        <is>
          <t>חברה-בת</t>
        </is>
      </c>
      <c r="F19"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19" t="inlineStr">
        <is>
          <t>https://www.bio-rad.com</t>
        </is>
      </c>
      <c r="H19" t="inlineStr"/>
      <c r="I19" t="inlineStr"/>
      <c r="J19" t="inlineStr">
        <is>
          <t>Netiv HaOr, Haifa</t>
        </is>
      </c>
      <c r="K19" t="inlineStr">
        <is>
          <t>https://www.bio-rad.com/en-il/contact-us</t>
        </is>
      </c>
      <c r="L19" t="n">
        <v>2006</v>
      </c>
      <c r="M19" t="inlineStr">
        <is>
          <t>ראיה ישנה</t>
        </is>
      </c>
      <c r="N19" t="inlineStr">
        <is>
          <t>prior_research</t>
        </is>
      </c>
      <c r="P19" t="inlineStr">
        <is>
          <t>https://www.bio-rad.com/webroot/web/pdf/general/trading_terms/AGB_IL.pdf</t>
        </is>
      </c>
    </row>
    <row r="20">
      <c r="A20" t="n">
        <v>217</v>
      </c>
      <c r="B20" t="inlineStr">
        <is>
          <t>Biotage</t>
        </is>
      </c>
      <c r="C20" t="inlineStr">
        <is>
          <t>Bargal Analytical Instruments Ltd.</t>
        </is>
      </c>
      <c r="D20" t="inlineStr">
        <is>
          <t>ברגל ציוד אנליטי</t>
        </is>
      </c>
      <c r="E20" t="inlineStr">
        <is>
          <t>מפיץ</t>
        </is>
      </c>
      <c r="F20"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20" t="inlineStr">
        <is>
          <t>https://www.bargal.co.il</t>
        </is>
      </c>
      <c r="H20" t="inlineStr">
        <is>
          <t>+972-3-979-6533</t>
        </is>
      </c>
      <c r="I20" t="inlineStr">
        <is>
          <t>sales@bargal.co.il</t>
        </is>
      </c>
      <c r="J20" t="inlineStr">
        <is>
          <t>10 Shaked Street, Modi'in Industrial Park, Shoham 6085102</t>
        </is>
      </c>
      <c r="K20" t="inlineStr"/>
      <c r="L20" t="n">
        <v>2026</v>
      </c>
      <c r="M20" t="inlineStr">
        <is>
          <t>עדכני</t>
        </is>
      </c>
      <c r="N20" t="inlineStr">
        <is>
          <t>prior_research</t>
        </is>
      </c>
      <c r="P20" t="inlineStr">
        <is>
          <t>https://www.biotage.com/company/contact</t>
        </is>
      </c>
    </row>
    <row r="21">
      <c r="A21" t="n">
        <v>246</v>
      </c>
      <c r="B21" t="inlineStr">
        <is>
          <t>Brand</t>
        </is>
      </c>
      <c r="C21" t="inlineStr">
        <is>
          <t>Labotal Scientific Equipment Ltd.</t>
        </is>
      </c>
      <c r="D21" t="inlineStr">
        <is>
          <t>לבוטל</t>
        </is>
      </c>
      <c r="E21" t="inlineStr">
        <is>
          <t>מפיץ</t>
        </is>
      </c>
      <c r="F21"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1" t="inlineStr">
        <is>
          <t>https://labotal.co.il</t>
        </is>
      </c>
      <c r="H21" t="inlineStr">
        <is>
          <t>+972 2-579-9222</t>
        </is>
      </c>
      <c r="I21" t="inlineStr">
        <is>
          <t>Sales@labotal.co.il</t>
        </is>
      </c>
      <c r="J21" t="inlineStr">
        <is>
          <t>Hashalom Rd., Abu Ghosh 9084500 (mail: Mevaseret Zion)</t>
        </is>
      </c>
      <c r="K21" t="inlineStr">
        <is>
          <t>https://labotal.co.il/contact/</t>
        </is>
      </c>
      <c r="L21" t="n">
        <v>2026</v>
      </c>
      <c r="M21" t="inlineStr">
        <is>
          <t>עדכני</t>
        </is>
      </c>
      <c r="N21" t="inlineStr">
        <is>
          <t>prior_research</t>
        </is>
      </c>
      <c r="P21" t="inlineStr">
        <is>
          <t>https://www.vacuubrand.com/service-advice/contact/contacts-worldwide</t>
        </is>
      </c>
    </row>
    <row r="22">
      <c r="A22" t="n">
        <v>246</v>
      </c>
      <c r="B22" t="inlineStr">
        <is>
          <t>Brand</t>
        </is>
      </c>
      <c r="C22" t="inlineStr">
        <is>
          <t>Yoel Naim Ltd.</t>
        </is>
      </c>
      <c r="D22" t="inlineStr"/>
      <c r="E22" t="inlineStr">
        <is>
          <t>מפיץ</t>
        </is>
      </c>
      <c r="F22" t="inlineStr">
        <is>
          <t>BRAND (liquid handling, volumetric ware) distributor and service partner for Israel - named on BRAND's live 'Sales and Consulting worldwide' page (industrial area, Rehovot); website not found</t>
        </is>
      </c>
      <c r="G22" t="inlineStr"/>
      <c r="H22" t="inlineStr"/>
      <c r="I22" t="inlineStr"/>
      <c r="J22" t="inlineStr"/>
      <c r="K22" t="inlineStr"/>
      <c r="L22" t="n">
        <v>2026</v>
      </c>
      <c r="M22" t="inlineStr">
        <is>
          <t>חדש</t>
        </is>
      </c>
      <c r="N22" t="inlineStr">
        <is>
          <t>prior_research</t>
        </is>
      </c>
      <c r="P22" t="inlineStr">
        <is>
          <t>https://www.brand.de/en/company/sales-worldwide</t>
        </is>
      </c>
    </row>
    <row r="23">
      <c r="A23" t="n">
        <v>247</v>
      </c>
      <c r="B23" t="inlineStr">
        <is>
          <t>BrandTech®</t>
        </is>
      </c>
      <c r="C23" t="inlineStr">
        <is>
          <t>Labotal Scientific Equipment Ltd.</t>
        </is>
      </c>
      <c r="D23" t="inlineStr">
        <is>
          <t>לבוטל</t>
        </is>
      </c>
      <c r="E23" t="inlineStr">
        <is>
          <t>מפיץ</t>
        </is>
      </c>
      <c r="F23"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3" t="inlineStr">
        <is>
          <t>https://labotal.co.il</t>
        </is>
      </c>
      <c r="H23" t="inlineStr">
        <is>
          <t>+972 2-579-9222</t>
        </is>
      </c>
      <c r="I23" t="inlineStr">
        <is>
          <t>Sales@labotal.co.il</t>
        </is>
      </c>
      <c r="J23" t="inlineStr">
        <is>
          <t>Hashalom Rd., Abu Ghosh 9084500 (mail: Mevaseret Zion)</t>
        </is>
      </c>
      <c r="K23" t="inlineStr">
        <is>
          <t>https://labotal.co.il/contact/</t>
        </is>
      </c>
      <c r="L23" t="n">
        <v>2026</v>
      </c>
      <c r="M23" t="inlineStr">
        <is>
          <t>עדכני</t>
        </is>
      </c>
      <c r="N23" t="inlineStr">
        <is>
          <t>prior_research</t>
        </is>
      </c>
      <c r="P23" t="inlineStr">
        <is>
          <t>https://www.vacuubrand.com/service-advice/contact/contacts-worldwide</t>
        </is>
      </c>
    </row>
    <row r="24">
      <c r="A24" t="n">
        <v>247</v>
      </c>
      <c r="B24" t="inlineStr">
        <is>
          <t>BrandTech®</t>
        </is>
      </c>
      <c r="C24" t="inlineStr">
        <is>
          <t>Yoel Naim Ltd.</t>
        </is>
      </c>
      <c r="D24" t="inlineStr"/>
      <c r="E24" t="inlineStr">
        <is>
          <t>מפיץ</t>
        </is>
      </c>
      <c r="F24" t="inlineStr">
        <is>
          <t>BRAND (liquid handling, volumetric ware) distributor and service partner for Israel - named on BRAND's live 'Sales and Consulting worldwide' page (industrial area, Rehovot); website not found</t>
        </is>
      </c>
      <c r="G24" t="inlineStr"/>
      <c r="H24" t="inlineStr"/>
      <c r="I24" t="inlineStr"/>
      <c r="J24" t="inlineStr"/>
      <c r="K24" t="inlineStr"/>
      <c r="L24" t="n">
        <v>2026</v>
      </c>
      <c r="M24" t="inlineStr">
        <is>
          <t>חדש</t>
        </is>
      </c>
      <c r="N24" t="inlineStr">
        <is>
          <t>prior_research</t>
        </is>
      </c>
      <c r="P24" t="inlineStr">
        <is>
          <t>https://www.brand.de/en/company/sales-worldwide</t>
        </is>
      </c>
    </row>
    <row r="25">
      <c r="A25" t="n">
        <v>257</v>
      </c>
      <c r="B25" t="inlineStr">
        <is>
          <t>Buchi</t>
        </is>
      </c>
      <c r="C25" t="inlineStr">
        <is>
          <t>Dr. Golik Scientific Solutions</t>
        </is>
      </c>
      <c r="D25" t="inlineStr">
        <is>
          <t>ד"ר גוליק</t>
        </is>
      </c>
      <c r="E25" t="inlineStr">
        <is>
          <t>מפיץ</t>
        </is>
      </c>
      <c r="F25"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25" t="inlineStr">
        <is>
          <t>https://www.golik.co.il</t>
        </is>
      </c>
      <c r="H25" t="inlineStr">
        <is>
          <t>+972-3-518-7555</t>
        </is>
      </c>
      <c r="I25" t="inlineStr">
        <is>
          <t>marketing@golik.co.il</t>
        </is>
      </c>
      <c r="J25" t="inlineStr">
        <is>
          <t>34 Kibbutz Galuyot St, Tel Aviv 66550</t>
        </is>
      </c>
      <c r="K25" t="inlineStr"/>
      <c r="L25" t="n">
        <v>2026</v>
      </c>
      <c r="M25" t="inlineStr">
        <is>
          <t>עדכני</t>
        </is>
      </c>
      <c r="N25" t="inlineStr">
        <is>
          <t>prior_research</t>
        </is>
      </c>
      <c r="P25" t="inlineStr">
        <is>
          <t>https://www.golik.co.il/manufacturers/buchi</t>
        </is>
      </c>
    </row>
    <row r="26">
      <c r="A26" t="n">
        <v>294</v>
      </c>
      <c r="B26" t="inlineStr">
        <is>
          <t>Cell Signaling Technology</t>
        </is>
      </c>
      <c r="C26" t="inlineStr">
        <is>
          <t>Ornat BioChemicals &amp; Lab Equipment Ltd.</t>
        </is>
      </c>
      <c r="D26" t="inlineStr">
        <is>
          <t>אורנת</t>
        </is>
      </c>
      <c r="E26" t="inlineStr">
        <is>
          <t>מפיץ</t>
        </is>
      </c>
      <c r="F26" t="inlineStr">
        <is>
          <t>Listed as Ornat partner brand on the FISEB (Federation of Israeli Societies for Experimental Biology) vendors page; undated</t>
        </is>
      </c>
      <c r="G26" t="inlineStr">
        <is>
          <t>https://www.ornat.co.il</t>
        </is>
      </c>
      <c r="M26" t="inlineStr">
        <is>
          <t>עדכני</t>
        </is>
      </c>
      <c r="N26" t="inlineStr">
        <is>
          <t>manufacturer_or_press</t>
        </is>
      </c>
      <c r="P26" t="inlineStr">
        <is>
          <t>https://www.fiseb.org/vendors/</t>
        </is>
      </c>
    </row>
    <row r="27">
      <c r="A27" t="n">
        <v>345</v>
      </c>
      <c r="B27" t="inlineStr">
        <is>
          <t>Cole parmer</t>
        </is>
      </c>
      <c r="C27" t="inlineStr">
        <is>
          <t>Medent Scientific Instruments</t>
        </is>
      </c>
      <c r="D27" t="inlineStr">
        <is>
          <t>מדנט מכשור מדעי</t>
        </is>
      </c>
      <c r="E27" t="inlineStr">
        <is>
          <t>מפיץ</t>
        </is>
      </c>
      <c r="F2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7" t="inlineStr">
        <is>
          <t>https://www.medent.co.il</t>
        </is>
      </c>
      <c r="H27" t="inlineStr">
        <is>
          <t>+972 72-395-0508 (sales); +972 8-683-6306 (service)</t>
        </is>
      </c>
      <c r="I27" t="inlineStr">
        <is>
          <t>info@medent.co.il</t>
        </is>
      </c>
      <c r="J27" t="inlineStr">
        <is>
          <t>110 Mordei HaGetaot St., Beer Sheva 8420643</t>
        </is>
      </c>
      <c r="K27" t="inlineStr">
        <is>
          <t>https://www.medent.co.il/scientific.equipment/%D7%A6%D7%95%D7%A8-%D7%A7%D7%A9%D7%A8/</t>
        </is>
      </c>
      <c r="L27" t="n">
        <v>2026</v>
      </c>
      <c r="M27" t="inlineStr">
        <is>
          <t>עדכני</t>
        </is>
      </c>
      <c r="N27" t="inlineStr">
        <is>
          <t>prior_research</t>
        </is>
      </c>
      <c r="P27" t="inlineStr">
        <is>
          <t>https://medent.co.il/scientific.equipment/product/%D7%A1%D7%A4%D7%A7%D7%98%D7%A8%D7%95%D7%A4%D7%95%D7%98%D7%95%D7%9E%D7%98%D7%A8-uvvis-%D7%9E%D7%A2%D7%91%D7%93%D7%AA%D7%99-%D7%93%D7%92%D7%9D-6305-%D7%AA%D7%95%D7%A6%D7%A8%D7%AA-jenway/</t>
        </is>
      </c>
    </row>
    <row r="28">
      <c r="A28" t="n">
        <v>362</v>
      </c>
      <c r="B28" t="inlineStr">
        <is>
          <t>Corning</t>
        </is>
      </c>
      <c r="C28" t="inlineStr">
        <is>
          <t>Getter Group (Getter Bio-Med)</t>
        </is>
      </c>
      <c r="D28" t="inlineStr">
        <is>
          <t>קבוצת גטר</t>
        </is>
      </c>
      <c r="E28" t="inlineStr">
        <is>
          <t>מפיץ</t>
        </is>
      </c>
      <c r="F28" t="inlineStr">
        <is>
          <t>Corning - Getter Group's live English about page lists Corning among the brands it exclusively represents in Israel and a Hebrew brand page profiles Corning; life-science vs. other Corning lines still not specified</t>
        </is>
      </c>
      <c r="G28" t="inlineStr">
        <is>
          <t>https://www.getter.co.il</t>
        </is>
      </c>
      <c r="H28" t="inlineStr">
        <is>
          <t>+972 3-576-1555 (Getter Group switchboard)</t>
        </is>
      </c>
      <c r="I28" t="inlineStr"/>
      <c r="J28" t="inlineStr">
        <is>
          <t>7 Shimshon St., Petah Tikva 4912502</t>
        </is>
      </c>
      <c r="K28" t="inlineStr"/>
      <c r="L28" t="n">
        <v>2026</v>
      </c>
      <c r="M28" t="inlineStr">
        <is>
          <t>עדכני</t>
        </is>
      </c>
      <c r="N28" t="inlineStr">
        <is>
          <t>prior_research</t>
        </is>
      </c>
      <c r="P28" t="inlineStr">
        <is>
          <t>https://www.getter.co.il/about-en/</t>
        </is>
      </c>
    </row>
    <row r="29">
      <c r="A29" t="n">
        <v>388</v>
      </c>
      <c r="B29" t="inlineStr">
        <is>
          <t>Cytiva</t>
        </is>
      </c>
      <c r="C29" t="inlineStr">
        <is>
          <t>Danyel Biotech</t>
        </is>
      </c>
      <c r="D29" t="inlineStr"/>
      <c r="E29" t="inlineStr">
        <is>
          <t>מפיץ</t>
        </is>
      </c>
      <c r="F29" t="inlineStr">
        <is>
          <t>Cytiva chromatography (ÄKTA) and Biacore - live 'Biacore (Cytiva)' brand page on Danyel's site; other Cytiva lines (Whatman, Amersham, Pall) not confirmed</t>
        </is>
      </c>
      <c r="G29" t="inlineStr">
        <is>
          <t>https://www.danyel.co.il</t>
        </is>
      </c>
      <c r="H29" t="inlineStr">
        <is>
          <t>1-800-711-911 (also +972 8-936-6066)</t>
        </is>
      </c>
      <c r="I29" t="inlineStr"/>
      <c r="J29" t="inlineStr">
        <is>
          <t>8 Hamada St., Science Park, Rehovot 7670308</t>
        </is>
      </c>
      <c r="K29" t="inlineStr">
        <is>
          <t>https://www.danyel.co.il/contact-us/</t>
        </is>
      </c>
      <c r="L29" t="n">
        <v>2026</v>
      </c>
      <c r="M29" t="inlineStr">
        <is>
          <t>עדכני</t>
        </is>
      </c>
      <c r="N29" t="inlineStr">
        <is>
          <t>prior_research</t>
        </is>
      </c>
      <c r="P29" t="inlineStr">
        <is>
          <t>https://www.danyel.co.il/biacore-cytiva/</t>
        </is>
      </c>
    </row>
    <row r="30">
      <c r="A30" t="n">
        <v>388</v>
      </c>
      <c r="B30" t="inlineStr">
        <is>
          <t>Cytiva</t>
        </is>
      </c>
      <c r="C30" t="inlineStr">
        <is>
          <t>Lifegene Ltd.</t>
        </is>
      </c>
      <c r="D30" t="inlineStr">
        <is>
          <t>לייפג'ין</t>
        </is>
      </c>
      <c r="E30" t="inlineStr">
        <is>
          <t>מפיץ</t>
        </is>
      </c>
      <c r="F30" t="inlineStr">
        <is>
          <t>Whatman filtration products (a Cytiva brand) sold through the Lifegene catalogue</t>
        </is>
      </c>
      <c r="G30" t="inlineStr">
        <is>
          <t>https://www.lifegene.co.il</t>
        </is>
      </c>
      <c r="H30" t="inlineStr">
        <is>
          <t>+972 8-644-4314</t>
        </is>
      </c>
      <c r="I30" t="inlineStr">
        <is>
          <t>info@lifegene.co.il</t>
        </is>
      </c>
      <c r="J30" t="inlineStr">
        <is>
          <t>4 Ha'maayan St., Modi'in 7171101 (directory lists Modi'in; other sources say Mevo Horon – verify)</t>
        </is>
      </c>
      <c r="K30" t="inlineStr"/>
      <c r="M30" t="inlineStr">
        <is>
          <t>ראיה ישנה</t>
        </is>
      </c>
      <c r="N30" t="inlineStr">
        <is>
          <t>prior_research</t>
        </is>
      </c>
      <c r="P30" t="inlineStr">
        <is>
          <t>https://lifegene.co.il/product/puradisc-13-syringe-filter-045µm-polypropylene-100-pk/</t>
        </is>
      </c>
    </row>
    <row r="31">
      <c r="A31" t="n">
        <v>418</v>
      </c>
      <c r="B31" t="inlineStr">
        <is>
          <t>Duran</t>
        </is>
      </c>
      <c r="C31" t="inlineStr">
        <is>
          <t>Danyel Biotech Ltd. (Gamida for Life group)</t>
        </is>
      </c>
      <c r="D31" t="inlineStr">
        <is>
          <t>דניאל ביוטק</t>
        </is>
      </c>
      <c r="E31" t="inlineStr">
        <is>
          <t>מפיץ</t>
        </is>
      </c>
      <c r="F3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1" t="inlineStr">
        <is>
          <t>https://www.danyel.co.il</t>
        </is>
      </c>
      <c r="H31" t="inlineStr">
        <is>
          <t>1-800-711-911 (also +972 8-936-6066)</t>
        </is>
      </c>
      <c r="I31" t="inlineStr"/>
      <c r="J31" t="inlineStr">
        <is>
          <t>8 Hamada St., Science Park, Rehovot 7670308</t>
        </is>
      </c>
      <c r="K31" t="inlineStr">
        <is>
          <t>https://www.danyel.co.il/contact-us/</t>
        </is>
      </c>
      <c r="L31" t="n">
        <v>2026</v>
      </c>
      <c r="M31" t="inlineStr">
        <is>
          <t>עדכני</t>
        </is>
      </c>
      <c r="N31" t="inlineStr">
        <is>
          <t>prior_research</t>
        </is>
      </c>
      <c r="P31" t="inlineStr">
        <is>
          <t>https://www.danyel.co.il/scilabware/</t>
        </is>
      </c>
    </row>
    <row r="32">
      <c r="A32" t="n">
        <v>422</v>
      </c>
      <c r="B32" t="inlineStr">
        <is>
          <t>DWK Life Sciences (Wheaton)</t>
        </is>
      </c>
      <c r="C32" t="inlineStr">
        <is>
          <t>Danyel Biotech Ltd. (Gamida for Life group)</t>
        </is>
      </c>
      <c r="D32" t="inlineStr">
        <is>
          <t>דניאל ביוטק</t>
        </is>
      </c>
      <c r="E32" t="inlineStr">
        <is>
          <t>מפיץ</t>
        </is>
      </c>
      <c r="F3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2" t="inlineStr">
        <is>
          <t>https://www.danyel.co.il</t>
        </is>
      </c>
      <c r="H32" t="inlineStr">
        <is>
          <t>1-800-711-911 (also +972 8-936-6066)</t>
        </is>
      </c>
      <c r="I32" t="inlineStr"/>
      <c r="J32" t="inlineStr">
        <is>
          <t>8 Hamada St., Science Park, Rehovot 7670308</t>
        </is>
      </c>
      <c r="K32" t="inlineStr">
        <is>
          <t>https://www.danyel.co.il/contact-us/</t>
        </is>
      </c>
      <c r="L32" t="n">
        <v>2026</v>
      </c>
      <c r="M32" t="inlineStr">
        <is>
          <t>עדכני</t>
        </is>
      </c>
      <c r="N32" t="inlineStr">
        <is>
          <t>prior_research</t>
        </is>
      </c>
      <c r="P32" t="inlineStr">
        <is>
          <t>https://www.danyel.co.il/scilabware/</t>
        </is>
      </c>
    </row>
    <row r="33">
      <c r="A33" t="n">
        <v>451</v>
      </c>
      <c r="B33" t="inlineStr">
        <is>
          <t>Electrothermal (Cole-Parmer)</t>
        </is>
      </c>
      <c r="C33" t="inlineStr">
        <is>
          <t>Medent Scientific Instruments</t>
        </is>
      </c>
      <c r="D33" t="inlineStr">
        <is>
          <t>מדנט מכשור מדעי</t>
        </is>
      </c>
      <c r="E33" t="inlineStr">
        <is>
          <t>מפיץ</t>
        </is>
      </c>
      <c r="F3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3" t="inlineStr">
        <is>
          <t>https://www.medent.co.il</t>
        </is>
      </c>
      <c r="H33" t="inlineStr">
        <is>
          <t>+972 72-395-0508 (sales); +972 8-683-6306 (service)</t>
        </is>
      </c>
      <c r="I33" t="inlineStr">
        <is>
          <t>info@medent.co.il</t>
        </is>
      </c>
      <c r="J33" t="inlineStr">
        <is>
          <t>110 Mordei HaGetaot St., Beer Sheva 8420643</t>
        </is>
      </c>
      <c r="K33" t="inlineStr">
        <is>
          <t>https://www.medent.co.il/scientific.equipment/%D7%A6%D7%95%D7%A8-%D7%A7%D7%A9%D7%A8/</t>
        </is>
      </c>
      <c r="L33" t="n">
        <v>2026</v>
      </c>
      <c r="M33" t="inlineStr">
        <is>
          <t>עדכני</t>
        </is>
      </c>
      <c r="N33" t="inlineStr">
        <is>
          <t>prior_research</t>
        </is>
      </c>
      <c r="P33" t="inlineStr">
        <is>
          <t>https://medent.co.il/scientific.equipment/product/%D7%A1%D7%A4%D7%A7%D7%98%D7%A8%D7%95%D7%A4%D7%95%D7%98%D7%95%D7%9E%D7%98%D7%A8-uvvis-%D7%9E%D7%A2%D7%91%D7%93%D7%AA%D7%99-%D7%93%D7%92%D7%9D-6305-%D7%AA%D7%95%D7%A6%D7%A8%D7%AA-jenway/</t>
        </is>
      </c>
    </row>
    <row r="34">
      <c r="A34" t="n">
        <v>470</v>
      </c>
      <c r="B34" t="inlineStr">
        <is>
          <t>Eppendorf</t>
        </is>
      </c>
      <c r="C34" t="inlineStr">
        <is>
          <t>Lumitron Ltd. (Comtel Technologies &amp; Engineering group)</t>
        </is>
      </c>
      <c r="D34" t="inlineStr">
        <is>
          <t>לומיטרון</t>
        </is>
      </c>
      <c r="E34" t="inlineStr">
        <is>
          <t>מפיץ</t>
        </is>
      </c>
      <c r="F34" t="inlineStr">
        <is>
          <t>Eppendorf importer/distributor - live Lumitron product pages for Eppendorf centrifuges (5910 Ri, MiniSpin), pipettes (Multipette M4), bioreactors (BioFlo 120, BioBLU), shakers/incubators (CellXpert CS220, Innova S44i), Eporator and micromanipulators</t>
        </is>
      </c>
      <c r="G34" t="inlineStr">
        <is>
          <t>https://www.lumitron.co.il</t>
        </is>
      </c>
      <c r="H34" t="inlineStr">
        <is>
          <t>+972 52-525-6287</t>
        </is>
      </c>
      <c r="I34" t="inlineStr"/>
      <c r="J34" t="inlineStr">
        <is>
          <t>17 Hamiflasim St., Petah Tikva</t>
        </is>
      </c>
      <c r="K34" t="inlineStr"/>
      <c r="L34" t="n">
        <v>2026</v>
      </c>
      <c r="M34" t="inlineStr">
        <is>
          <t>עדכני</t>
        </is>
      </c>
      <c r="N34" t="inlineStr">
        <is>
          <t>prior_research</t>
        </is>
      </c>
      <c r="P34" t="inlineStr">
        <is>
          <t>https://www.lumitron.co.il/products/bioflo120-bioreactor-fermenter-2/?lang=en</t>
        </is>
      </c>
    </row>
    <row r="35">
      <c r="A35" t="n">
        <v>477</v>
      </c>
      <c r="B35" t="inlineStr">
        <is>
          <t>Esco</t>
        </is>
      </c>
      <c r="C35" t="inlineStr">
        <is>
          <t>Danyel Biotech</t>
        </is>
      </c>
      <c r="D35" t="inlineStr"/>
      <c r="E35" t="inlineStr">
        <is>
          <t>מפיץ</t>
        </is>
      </c>
      <c r="F35" t="inlineStr">
        <is>
          <t>Esco Life Sciences division: biological safety cabinets (Airstream Class I/III, Labculture Class II A2/B1/B2), fume hoods, general-purpose ovens and incubators, CO2 incubators and ULT freezers - Danyel's live dedicated Esco page</t>
        </is>
      </c>
      <c r="G35" t="inlineStr">
        <is>
          <t>https://www.danyel.co.il</t>
        </is>
      </c>
      <c r="H35" t="inlineStr">
        <is>
          <t>1-800-711-911 (also +972 8-936-6066)</t>
        </is>
      </c>
      <c r="I35" t="inlineStr"/>
      <c r="J35" t="inlineStr">
        <is>
          <t>8 Hamada St., Science Park, Rehovot 7670308</t>
        </is>
      </c>
      <c r="K35" t="inlineStr">
        <is>
          <t>https://www.danyel.co.il/contact-us/</t>
        </is>
      </c>
      <c r="L35" t="n">
        <v>2026</v>
      </c>
      <c r="M35" t="inlineStr">
        <is>
          <t>עדכני</t>
        </is>
      </c>
      <c r="N35" t="inlineStr">
        <is>
          <t>prior_research</t>
        </is>
      </c>
      <c r="P35" t="inlineStr">
        <is>
          <t>https://www.danyel.co.il/esco/</t>
        </is>
      </c>
    </row>
    <row r="36">
      <c r="A36" t="n">
        <v>552</v>
      </c>
      <c r="B36" t="inlineStr">
        <is>
          <t>Gilson Co. Inc.</t>
        </is>
      </c>
      <c r="C36" t="inlineStr">
        <is>
          <t>Agentek (1987) Ltd.</t>
        </is>
      </c>
      <c r="D36" t="inlineStr">
        <is>
          <t>אגנטק</t>
        </is>
      </c>
      <c r="E36" t="inlineStr">
        <is>
          <t>מפיץ</t>
        </is>
      </c>
      <c r="F36" t="inlineStr">
        <is>
          <t>Gilson liquid handling (per Agentek vendors list)</t>
        </is>
      </c>
      <c r="G36" t="inlineStr">
        <is>
          <t>https://agentek.co.il</t>
        </is>
      </c>
      <c r="H36" t="inlineStr">
        <is>
          <t>+972 9-965-7000</t>
        </is>
      </c>
      <c r="I36" t="inlineStr"/>
      <c r="J36" t="inlineStr">
        <is>
          <t>Greenwork Yakum Business Park, Yakum 6097200</t>
        </is>
      </c>
      <c r="K36" t="inlineStr">
        <is>
          <t>https://agentek.co.il/contact/</t>
        </is>
      </c>
      <c r="M36" t="inlineStr">
        <is>
          <t>ראיה ישנה</t>
        </is>
      </c>
      <c r="N36" t="inlineStr">
        <is>
          <t>prior_research</t>
        </is>
      </c>
      <c r="P36" t="inlineStr">
        <is>
          <t>https://agentek.co.il/vendors/</t>
        </is>
      </c>
    </row>
    <row r="37">
      <c r="A37" t="n">
        <v>552</v>
      </c>
      <c r="B37" t="inlineStr">
        <is>
          <t>Gilson Co. Inc.</t>
        </is>
      </c>
      <c r="C37" t="inlineStr">
        <is>
          <t>Lifegene Ltd.</t>
        </is>
      </c>
      <c r="D37" t="inlineStr">
        <is>
          <t>לייפג'ין</t>
        </is>
      </c>
      <c r="E37" t="inlineStr">
        <is>
          <t>מפיץ</t>
        </is>
      </c>
      <c r="F37" t="inlineStr">
        <is>
          <t>Gilson PIPETMAN G/L/M/M Connected and NEO pipettes, multichannel pipettes, PIPETMAN DIAMOND tips and PlateMaster P220 - Lifegene's live 'פיפטורים Gilson' page, Gilson product category and product pages</t>
        </is>
      </c>
      <c r="G37" t="inlineStr">
        <is>
          <t>https://www.lifegene.co.il</t>
        </is>
      </c>
      <c r="H37" t="inlineStr">
        <is>
          <t>+972 8-644-4314</t>
        </is>
      </c>
      <c r="I37" t="inlineStr">
        <is>
          <t>info@lifegene.co.il</t>
        </is>
      </c>
      <c r="J37" t="inlineStr">
        <is>
          <t>4 Ha'maayan St., Modi'in 7171101 (directory lists Modi'in; other sources say Mevo Horon – verify)</t>
        </is>
      </c>
      <c r="K37" t="inlineStr"/>
      <c r="L37" t="n">
        <v>2026</v>
      </c>
      <c r="M37" t="inlineStr">
        <is>
          <t>עדכני</t>
        </is>
      </c>
      <c r="N37" t="inlineStr">
        <is>
          <t>prior_research</t>
        </is>
      </c>
      <c r="P37" t="inlineStr">
        <is>
          <t>https://www.lifegene.co.il/gilson_pipettes</t>
        </is>
      </c>
    </row>
    <row r="38">
      <c r="A38" t="n">
        <v>573</v>
      </c>
      <c r="B38" t="inlineStr">
        <is>
          <t>Greiner Bio-One</t>
        </is>
      </c>
      <c r="C38" t="inlineStr">
        <is>
          <t>Danyel Biotech Ltd. (Gamida for Life group)</t>
        </is>
      </c>
      <c r="D38" t="inlineStr">
        <is>
          <t>דניאל ביוטק</t>
        </is>
      </c>
      <c r="E38" t="inlineStr">
        <is>
          <t>מפיץ</t>
        </is>
      </c>
      <c r="F38"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38" t="inlineStr">
        <is>
          <t>https://www.danyel.co.il</t>
        </is>
      </c>
      <c r="H38" t="inlineStr">
        <is>
          <t>1-800-711-911 (also +972 8-936-6066)</t>
        </is>
      </c>
      <c r="I38" t="inlineStr"/>
      <c r="J38" t="inlineStr">
        <is>
          <t>8 Hamada St., Science Park, Rehovot 7670308</t>
        </is>
      </c>
      <c r="K38" t="inlineStr">
        <is>
          <t>https://www.danyel.co.il/contact-us/</t>
        </is>
      </c>
      <c r="L38" t="n">
        <v>2026</v>
      </c>
      <c r="M38" t="inlineStr">
        <is>
          <t>עדכני</t>
        </is>
      </c>
      <c r="N38" t="inlineStr">
        <is>
          <t>prior_research</t>
        </is>
      </c>
      <c r="P38" t="inlineStr">
        <is>
          <t>https://www.gbo.com/en-int/company/subsidiaries-distributors</t>
        </is>
      </c>
    </row>
    <row r="39">
      <c r="A39" t="n">
        <v>584</v>
      </c>
      <c r="B39" t="inlineStr">
        <is>
          <t>Hach</t>
        </is>
      </c>
      <c r="C39" t="inlineStr">
        <is>
          <t>Modotec Ltd.</t>
        </is>
      </c>
      <c r="D39" t="inlineStr">
        <is>
          <t>מודוטק בע"מ</t>
        </is>
      </c>
      <c r="E39" t="inlineStr">
        <is>
          <t>מפיץ</t>
        </is>
      </c>
      <c r="F39"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39" t="inlineStr">
        <is>
          <t>https://www.modotec.co.il</t>
        </is>
      </c>
      <c r="H39" t="inlineStr">
        <is>
          <t>+972-4-991-9988</t>
        </is>
      </c>
      <c r="I39" t="inlineStr"/>
      <c r="J39" t="inlineStr">
        <is>
          <t>16 Moshe Bernstein St., South Industrial Park, Acre (Akko) 2422238</t>
        </is>
      </c>
      <c r="K39" t="inlineStr"/>
      <c r="L39" t="n">
        <v>2026</v>
      </c>
      <c r="M39" t="inlineStr">
        <is>
          <t>עדכני</t>
        </is>
      </c>
      <c r="N39" t="inlineStr">
        <is>
          <t>prior_research</t>
        </is>
      </c>
      <c r="P39" t="inlineStr">
        <is>
          <t>https://www.modotec.co.il/%D7%A1%D7%A4%D7%A7%D7%99%D7%9D/</t>
        </is>
      </c>
    </row>
    <row r="40">
      <c r="A40" t="n">
        <v>585</v>
      </c>
      <c r="B40" t="inlineStr">
        <is>
          <t>Haier</t>
        </is>
      </c>
      <c r="C40" t="inlineStr">
        <is>
          <t>Ex-Lab</t>
        </is>
      </c>
      <c r="D40" t="inlineStr">
        <is>
          <t>אקס-לאב</t>
        </is>
      </c>
      <c r="E40" t="inlineStr">
        <is>
          <t>מפיץ</t>
        </is>
      </c>
      <c r="F40"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40" t="inlineStr">
        <is>
          <t>https://ex-lab.com</t>
        </is>
      </c>
      <c r="H40" t="inlineStr"/>
      <c r="I40" t="inlineStr"/>
      <c r="J40" t="inlineStr">
        <is>
          <t>4 Nevatim St., Petah Tikva</t>
        </is>
      </c>
      <c r="K40" t="inlineStr"/>
      <c r="L40" t="n">
        <v>2026</v>
      </c>
      <c r="M40" t="inlineStr">
        <is>
          <t>עדכני</t>
        </is>
      </c>
      <c r="N40" t="inlineStr">
        <is>
          <t>prior_research</t>
        </is>
      </c>
      <c r="P40" t="inlineStr">
        <is>
          <t>https://ex-lab.com/products/%D7%9E%D7%A7%D7%A4%D7%99%D7%90-%D7%9E%D7%A2%D7%91%D7%93%D7%AA%D7%99-haier-80c/</t>
        </is>
      </c>
    </row>
    <row r="41">
      <c r="A41" t="n">
        <v>587</v>
      </c>
      <c r="B41" t="inlineStr">
        <is>
          <t>Hamilton</t>
        </is>
      </c>
      <c r="C41" t="inlineStr">
        <is>
          <t>Danyel Biotech Ltd. (Gamida for Life group)</t>
        </is>
      </c>
      <c r="D41" t="inlineStr">
        <is>
          <t>דניאל ביוטק</t>
        </is>
      </c>
      <c r="E41" t="inlineStr">
        <is>
          <t>מפיץ</t>
        </is>
      </c>
      <c r="F41" t="inlineStr">
        <is>
          <t>Hamilton laboratory products - listed for Israel (Rehovot, danyel.co.il) on Hamilton's live 'Find a Distributor' laboratory-products page; Hamilton business lines (robotics/storage) not itemised in the snippet</t>
        </is>
      </c>
      <c r="G41" t="inlineStr">
        <is>
          <t>https://www.danyel.co.il</t>
        </is>
      </c>
      <c r="H41" t="inlineStr">
        <is>
          <t>1-800-711-911 (also +972 8-936-6066)</t>
        </is>
      </c>
      <c r="I41" t="inlineStr"/>
      <c r="J41" t="inlineStr">
        <is>
          <t>8 Hamada St., Science Park, Rehovot 7670308</t>
        </is>
      </c>
      <c r="K41" t="inlineStr">
        <is>
          <t>https://www.danyel.co.il/contact-us/</t>
        </is>
      </c>
      <c r="L41" t="n">
        <v>2026</v>
      </c>
      <c r="M41" t="inlineStr">
        <is>
          <t>עדכני</t>
        </is>
      </c>
      <c r="N41" t="inlineStr">
        <is>
          <t>prior_research</t>
        </is>
      </c>
      <c r="P41" t="inlineStr">
        <is>
          <t>https://www.hamiltoncompany.com/laboratory-product-distribution-list</t>
        </is>
      </c>
    </row>
    <row r="42">
      <c r="A42" t="n">
        <v>587</v>
      </c>
      <c r="B42" t="inlineStr">
        <is>
          <t>Hamilton</t>
        </is>
      </c>
      <c r="C42" t="inlineStr">
        <is>
          <t>Ophir Analytical Ltd.</t>
        </is>
      </c>
      <c r="D42" t="inlineStr"/>
      <c r="E42" t="inlineStr">
        <is>
          <t>מפיץ</t>
        </is>
      </c>
      <c r="F42" t="inlineStr">
        <is>
          <t>Hamilton laboratory products - listed for Israel (Rosh Ha'ayin) on Hamilton's live laboratory-products distributor page: lab syringes for life science and chemistry, lab needles, Microlab 600 diluter/dispenser, GC septa, HPLC columns</t>
        </is>
      </c>
      <c r="G42" t="inlineStr">
        <is>
          <t>https://ophiranalytical.com</t>
        </is>
      </c>
      <c r="H42" t="inlineStr">
        <is>
          <t>+972 3-902-2277</t>
        </is>
      </c>
      <c r="I42" t="inlineStr"/>
      <c r="J42" t="inlineStr">
        <is>
          <t>Rosh Ha'ayin</t>
        </is>
      </c>
      <c r="K42" t="inlineStr"/>
      <c r="L42" t="n">
        <v>2026</v>
      </c>
      <c r="M42" t="inlineStr">
        <is>
          <t>חדש</t>
        </is>
      </c>
      <c r="N42" t="inlineStr">
        <is>
          <t>prior_research</t>
        </is>
      </c>
      <c r="P42" t="inlineStr">
        <is>
          <t>https://www.hamiltoncompany.com/laboratory-product-distribution-list</t>
        </is>
      </c>
    </row>
    <row r="43">
      <c r="A43" t="n">
        <v>587</v>
      </c>
      <c r="B43" t="inlineStr">
        <is>
          <t>Hamilton</t>
        </is>
      </c>
      <c r="C43" t="inlineStr">
        <is>
          <t>Tarom Applied Technologies Ltd.</t>
        </is>
      </c>
      <c r="D43" t="inlineStr"/>
      <c r="E43" t="inlineStr">
        <is>
          <t>מפיץ</t>
        </is>
      </c>
      <c r="F43" t="inlineStr">
        <is>
          <t>Hamilton Process Analytics sensors - listed for Israel (Petach-Tikva, tarom.co.il) on Hamilton's live sensor distributor page</t>
        </is>
      </c>
      <c r="G43" t="inlineStr">
        <is>
          <t>http://www.tarom.co.il</t>
        </is>
      </c>
      <c r="H43" t="inlineStr"/>
      <c r="I43" t="inlineStr"/>
      <c r="J43" t="inlineStr"/>
      <c r="K43" t="inlineStr"/>
      <c r="L43" t="n">
        <v>2026</v>
      </c>
      <c r="M43" t="inlineStr">
        <is>
          <t>חדש</t>
        </is>
      </c>
      <c r="N43" t="inlineStr">
        <is>
          <t>prior_research</t>
        </is>
      </c>
      <c r="P43" t="inlineStr">
        <is>
          <t>https://www.hamiltoncompany.com/process-analystics-sensor-product-distribution-list</t>
        </is>
      </c>
    </row>
    <row r="44">
      <c r="A44" t="n">
        <v>590</v>
      </c>
      <c r="B44" t="inlineStr">
        <is>
          <t>Hanna Instruments</t>
        </is>
      </c>
      <c r="C44" t="inlineStr">
        <is>
          <t>Medent Scientific Instruments</t>
        </is>
      </c>
      <c r="D44" t="inlineStr">
        <is>
          <t>מדנט מכשור מדעי</t>
        </is>
      </c>
      <c r="E44" t="inlineStr">
        <is>
          <t>מפיץ</t>
        </is>
      </c>
      <c r="F44"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44" t="inlineStr">
        <is>
          <t>https://www.medent.co.il</t>
        </is>
      </c>
      <c r="H44" t="inlineStr">
        <is>
          <t>+972 72-395-0508 (sales); +972 8-683-6306 (service)</t>
        </is>
      </c>
      <c r="I44" t="inlineStr">
        <is>
          <t>info@medent.co.il</t>
        </is>
      </c>
      <c r="J44" t="inlineStr">
        <is>
          <t>110 Mordei HaGetaot St., Beer Sheva 8420643</t>
        </is>
      </c>
      <c r="K44" t="inlineStr">
        <is>
          <t>https://www.medent.co.il/scientific.equipment/%D7%A6%D7%95%D7%A8-%D7%A7%D7%A9%D7%A8/</t>
        </is>
      </c>
      <c r="L44" t="n">
        <v>2026</v>
      </c>
      <c r="M44" t="inlineStr">
        <is>
          <t>עדכני</t>
        </is>
      </c>
      <c r="N44" t="inlineStr">
        <is>
          <t>prior_research</t>
        </is>
      </c>
      <c r="P44" t="inlineStr">
        <is>
          <t>https://www.medent.co.il/en/project/page/2/</t>
        </is>
      </c>
    </row>
    <row r="45">
      <c r="A45" t="n">
        <v>590</v>
      </c>
      <c r="B45" t="inlineStr">
        <is>
          <t>Hanna Instruments</t>
        </is>
      </c>
      <c r="C45" t="inlineStr">
        <is>
          <t>BioAnalytics</t>
        </is>
      </c>
      <c r="D45" t="inlineStr"/>
      <c r="E45" t="inlineStr">
        <is>
          <t>מפיץ</t>
        </is>
      </c>
      <c r="F45" t="inlineStr">
        <is>
          <t>Hanna pool/spa and food (bread/dough) pH testers</t>
        </is>
      </c>
      <c r="G45" t="inlineStr">
        <is>
          <t>https://www.bioanalytics.co.il</t>
        </is>
      </c>
      <c r="H45" t="inlineStr">
        <is>
          <t>+972-72-242-9555</t>
        </is>
      </c>
      <c r="I45" t="inlineStr"/>
      <c r="J45" t="inlineStr">
        <is>
          <t>29 Omarim St. (listed as "29'th Omarim"), Omer 84965</t>
        </is>
      </c>
      <c r="K45" t="inlineStr"/>
      <c r="M45" t="inlineStr">
        <is>
          <t>ראיה ישנה</t>
        </is>
      </c>
      <c r="N45" t="inlineStr">
        <is>
          <t>prior_research</t>
        </is>
      </c>
      <c r="P45" t="inlineStr">
        <is>
          <t>https://www.bioanalytics.co.il/products/hannah-pool-line-ph-tester-according-to-6223-israeli-standard/</t>
        </is>
      </c>
    </row>
    <row r="46">
      <c r="A46" t="n">
        <v>590</v>
      </c>
      <c r="B46" t="inlineStr">
        <is>
          <t>Hanna Instruments</t>
        </is>
      </c>
      <c r="C46" t="inlineStr">
        <is>
          <t>Cannadepot</t>
        </is>
      </c>
      <c r="D46" t="inlineStr"/>
      <c r="E46" t="inlineStr">
        <is>
          <t>מפיץ</t>
        </is>
      </c>
      <c r="F46" t="inlineStr">
        <is>
          <t>online retailer; Hanna portable pH/EC/TDS testers</t>
        </is>
      </c>
      <c r="G46" t="inlineStr">
        <is>
          <t>https://cannadepot.co.il</t>
        </is>
      </c>
      <c r="H46" t="inlineStr"/>
      <c r="I46" t="inlineStr"/>
      <c r="J46" t="inlineStr"/>
      <c r="K46" t="inlineStr"/>
      <c r="M46" t="inlineStr">
        <is>
          <t>ראיה ישנה</t>
        </is>
      </c>
      <c r="N46" t="inlineStr">
        <is>
          <t>prior_research</t>
        </is>
      </c>
      <c r="P46" t="inlineStr">
        <is>
          <t>https://cannadepot.co.il/product-category/%D7%9E%D7%93%D7%99%D7%93%D7%94-%D7%95%D7%91%D7%A7%D7%A8%D7%94/hanna-instruments-%D7%9E%D7%9B%D7%A9%D7%99%D7%A8%D7%99%D7%9D-%D7%94%D7%90%D7%A0%D7%94/</t>
        </is>
      </c>
    </row>
    <row r="47">
      <c r="A47" t="n">
        <v>590</v>
      </c>
      <c r="B47" t="inlineStr">
        <is>
          <t>Hanna Instruments</t>
        </is>
      </c>
      <c r="C47" t="inlineStr">
        <is>
          <t>Mercury (mercury-ltd.co.il; part of Gadot Chemicals Group)</t>
        </is>
      </c>
      <c r="D47" t="inlineStr">
        <is>
          <t>מרקורי</t>
        </is>
      </c>
      <c r="E47" t="inlineStr">
        <is>
          <t>מפיץ</t>
        </is>
      </c>
      <c r="F47"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47" t="inlineStr">
        <is>
          <t>https://www.mercury-ltd.co.il</t>
        </is>
      </c>
      <c r="H47" t="inlineStr">
        <is>
          <t>+972 3-938-7164</t>
        </is>
      </c>
      <c r="I47" t="inlineStr"/>
      <c r="J47" t="inlineStr">
        <is>
          <t>12 Ha'avoda St., P.O. Box 159, Rosh Ha'ayin</t>
        </is>
      </c>
      <c r="K47" t="inlineStr">
        <is>
          <t>https://eng.mercury-ltd.co.il/about_us</t>
        </is>
      </c>
      <c r="L47" t="n">
        <v>2026</v>
      </c>
      <c r="M47" t="inlineStr">
        <is>
          <t>חדש</t>
        </is>
      </c>
      <c r="N47" t="inlineStr">
        <is>
          <t>prior_research</t>
        </is>
      </c>
      <c r="P47" t="inlineStr">
        <is>
          <t>https://pages.hannainst.com/israel</t>
        </is>
      </c>
    </row>
    <row r="48">
      <c r="A48" t="n">
        <v>597</v>
      </c>
      <c r="B48" t="inlineStr">
        <is>
          <t>Heidolph</t>
        </is>
      </c>
      <c r="C48" t="inlineStr">
        <is>
          <t>Labotal Scientific Equipment Ltd.</t>
        </is>
      </c>
      <c r="D48" t="inlineStr">
        <is>
          <t>לבוטל ציוד מדעי</t>
        </is>
      </c>
      <c r="E48" t="inlineStr">
        <is>
          <t>מפיץ</t>
        </is>
      </c>
      <c r="F48" t="inlineStr">
        <is>
          <t>Heidolph rotary evaporators, stirrers and shakers - Heidolph listed on Labotal's live 'Represented Firms' page; Labotal calls itself a Heidolph premium distributor and its awards archive mentions a three-year warranty on Heidolph products</t>
        </is>
      </c>
      <c r="G48" t="inlineStr">
        <is>
          <t>https://labotal.co.il</t>
        </is>
      </c>
      <c r="H48" t="inlineStr">
        <is>
          <t>+972 2-579-9222</t>
        </is>
      </c>
      <c r="I48" t="inlineStr">
        <is>
          <t>Sales@labotal.co.il</t>
        </is>
      </c>
      <c r="J48" t="inlineStr">
        <is>
          <t>Hashalom Rd., Abu Ghosh 9084500 (mail: Mevaseret Zion)</t>
        </is>
      </c>
      <c r="K48" t="inlineStr">
        <is>
          <t>https://labotal.co.il/contact/</t>
        </is>
      </c>
      <c r="L48" t="n">
        <v>2026</v>
      </c>
      <c r="M48" t="inlineStr">
        <is>
          <t>עדכני</t>
        </is>
      </c>
      <c r="N48" t="inlineStr">
        <is>
          <t>prior_research</t>
        </is>
      </c>
      <c r="P48" t="inlineStr">
        <is>
          <t>https://labotal.co.il/firms/?lang=en</t>
        </is>
      </c>
    </row>
    <row r="49">
      <c r="A49" t="n">
        <v>603</v>
      </c>
      <c r="B49" t="inlineStr">
        <is>
          <t>Hettich</t>
        </is>
      </c>
      <c r="C49" t="inlineStr">
        <is>
          <t>Eldan Electronic Instruments Ltd. (Neopharm group)</t>
        </is>
      </c>
      <c r="D49" t="inlineStr">
        <is>
          <t>אלדן</t>
        </is>
      </c>
      <c r="E49" t="inlineStr">
        <is>
          <t>מפיץ</t>
        </is>
      </c>
      <c r="F49"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49" t="inlineStr">
        <is>
          <t>https://www.eldan.biz</t>
        </is>
      </c>
      <c r="H49" t="inlineStr">
        <is>
          <t>+972-3-937-1111</t>
        </is>
      </c>
      <c r="I49" t="inlineStr">
        <is>
          <t>info@eldan.biz</t>
        </is>
      </c>
      <c r="J49" t="inlineStr">
        <is>
          <t>6 Hashiloach Street, P.O. Box 7641, Petach Tikva 49170</t>
        </is>
      </c>
      <c r="K49" t="inlineStr"/>
      <c r="L49" t="n">
        <v>2026</v>
      </c>
      <c r="M49" t="inlineStr">
        <is>
          <t>עדכני</t>
        </is>
      </c>
      <c r="N49" t="inlineStr">
        <is>
          <t>prior_research</t>
        </is>
      </c>
      <c r="P49" t="inlineStr">
        <is>
          <t>https://www.hettichlab.com/contact/</t>
        </is>
      </c>
    </row>
    <row r="50">
      <c r="A50" t="n">
        <v>604</v>
      </c>
      <c r="B50" t="inlineStr">
        <is>
          <t>Hettich Instruments</t>
        </is>
      </c>
      <c r="C50" t="inlineStr">
        <is>
          <t>Eldan Electronic Instruments Ltd. (Neopharm group)</t>
        </is>
      </c>
      <c r="D50" t="inlineStr">
        <is>
          <t>אלדן</t>
        </is>
      </c>
      <c r="E50" t="inlineStr">
        <is>
          <t>מפיץ</t>
        </is>
      </c>
      <c r="F50"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0" t="inlineStr">
        <is>
          <t>https://www.eldan.biz</t>
        </is>
      </c>
      <c r="H50" t="inlineStr">
        <is>
          <t>+972-3-937-1111</t>
        </is>
      </c>
      <c r="I50" t="inlineStr">
        <is>
          <t>info@eldan.biz</t>
        </is>
      </c>
      <c r="J50" t="inlineStr">
        <is>
          <t>6 Hashiloach Street, P.O. Box 7641, Petach Tikva 49170</t>
        </is>
      </c>
      <c r="K50" t="inlineStr"/>
      <c r="L50" t="n">
        <v>2026</v>
      </c>
      <c r="M50" t="inlineStr">
        <is>
          <t>עדכני</t>
        </is>
      </c>
      <c r="N50" t="inlineStr">
        <is>
          <t>prior_research</t>
        </is>
      </c>
      <c r="P50" t="inlineStr">
        <is>
          <t>https://www.hettichlab.com/contact/</t>
        </is>
      </c>
    </row>
    <row r="51">
      <c r="A51" t="n">
        <v>626</v>
      </c>
      <c r="B51" t="inlineStr">
        <is>
          <t>Huber USA</t>
        </is>
      </c>
      <c r="C51" t="inlineStr">
        <is>
          <t>S.L. Moran Ltd.</t>
        </is>
      </c>
      <c r="D51" t="inlineStr">
        <is>
          <t>ש.ל מורן</t>
        </is>
      </c>
      <c r="E51" t="inlineStr">
        <is>
          <t>מפיץ</t>
        </is>
      </c>
      <c r="F51" t="inlineStr">
        <is>
          <t>Huber circulation baths, thermostats and chillers (Ministat 230 variants, Unistat 405 etc.) - S.L. Moran's live heating/cooling-bath category and suppliers page; the site hosts the Huber general catalogue 2025/2026 (uploaded September 2025) and the CS-Chiller brochure</t>
        </is>
      </c>
      <c r="G51" t="inlineStr">
        <is>
          <t>https://slmoran.co.il</t>
        </is>
      </c>
      <c r="H51" t="inlineStr">
        <is>
          <t>+972 74-702-9898</t>
        </is>
      </c>
      <c r="I51" t="inlineStr"/>
      <c r="J51" t="inlineStr">
        <is>
          <t>Shatner Center 7, Givat Shaul, Jerusalem</t>
        </is>
      </c>
      <c r="K51" t="inlineStr"/>
      <c r="L51" t="n">
        <v>2026</v>
      </c>
      <c r="M51" t="inlineStr">
        <is>
          <t>עדכני</t>
        </is>
      </c>
      <c r="N51" t="inlineStr">
        <is>
          <t>prior_research</t>
        </is>
      </c>
      <c r="P51" t="inlineStr">
        <is>
          <t>https://slmoran.co.il/products_cat/%D7%90%D7%9E%D7%91%D7%98%D7%99-%D7%97%D7%99%D7%9E%D7%95%D7%9D-%D7%A7%D7%99%D7%A8%D7%95%D7%A8-%D7%A1%D7%99%D7%A8%D7%A7%D7%95%D7%9C%D7%98%D7%95%D7%A8/</t>
        </is>
      </c>
    </row>
    <row r="52">
      <c r="A52" t="n">
        <v>626</v>
      </c>
      <c r="B52" t="inlineStr">
        <is>
          <t>Huber USA</t>
        </is>
      </c>
      <c r="C52" t="inlineStr">
        <is>
          <t>Master-Cold</t>
        </is>
      </c>
      <c r="D52" t="inlineStr"/>
      <c r="E52" t="inlineStr">
        <is>
          <t>מפיץ</t>
        </is>
      </c>
      <c r="F52" t="inlineStr">
        <is>
          <t>lists Huber Ministat 230-cc-NR and a Unistat CC (the Unistat appears to be a used unit); authorised status unverified</t>
        </is>
      </c>
      <c r="G52" t="inlineStr">
        <is>
          <t>http://master-cold.co.il</t>
        </is>
      </c>
      <c r="H52" t="inlineStr"/>
      <c r="I52" t="inlineStr"/>
      <c r="J52" t="inlineStr"/>
      <c r="K52" t="inlineStr"/>
      <c r="M52" t="inlineStr">
        <is>
          <t>ראיה ישנה</t>
        </is>
      </c>
      <c r="N52" t="inlineStr">
        <is>
          <t>prior_research</t>
        </is>
      </c>
      <c r="P52" t="inlineStr">
        <is>
          <t>http://master-cold.co.il/1579/products/ministat-230-cc-nr</t>
        </is>
      </c>
    </row>
    <row r="53">
      <c r="A53" t="n">
        <v>647</v>
      </c>
      <c r="B53" t="inlineStr">
        <is>
          <t>Ika</t>
        </is>
      </c>
      <c r="C53" t="inlineStr">
        <is>
          <t>Medent Scientific Instruments</t>
        </is>
      </c>
      <c r="D53" t="inlineStr">
        <is>
          <t>מדנט מכשור מדעי</t>
        </is>
      </c>
      <c r="E53" t="inlineStr">
        <is>
          <t>מפיץ</t>
        </is>
      </c>
      <c r="F53"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3" t="inlineStr">
        <is>
          <t>https://www.medent.co.il</t>
        </is>
      </c>
      <c r="H53" t="inlineStr">
        <is>
          <t>+972 72-395-0508 (sales); +972 8-683-6306 (service)</t>
        </is>
      </c>
      <c r="I53" t="inlineStr">
        <is>
          <t>info@medent.co.il</t>
        </is>
      </c>
      <c r="J53" t="inlineStr">
        <is>
          <t>110 Mordei HaGetaot St., Beer Sheva 8420643</t>
        </is>
      </c>
      <c r="K53" t="inlineStr">
        <is>
          <t>https://www.medent.co.il/scientific.equipment/%D7%A6%D7%95%D7%A8-%D7%A7%D7%A9%D7%A8/</t>
        </is>
      </c>
      <c r="L53" t="n">
        <v>2026</v>
      </c>
      <c r="M53" t="inlineStr">
        <is>
          <t>עדכני</t>
        </is>
      </c>
      <c r="N53" t="inlineStr">
        <is>
          <t>prior_research</t>
        </is>
      </c>
      <c r="P53" t="inlineStr">
        <is>
          <t>https://www.medent.co.il/en/project/ika-germany/</t>
        </is>
      </c>
    </row>
    <row r="54">
      <c r="A54" t="n">
        <v>647</v>
      </c>
      <c r="B54" t="inlineStr">
        <is>
          <t>Ika</t>
        </is>
      </c>
      <c r="C54" t="inlineStr">
        <is>
          <t>Labotal Scientific Equipment Ltd.</t>
        </is>
      </c>
      <c r="D54" t="inlineStr">
        <is>
          <t>לבוטל ציוד למעבדות</t>
        </is>
      </c>
      <c r="E54" t="inlineStr">
        <is>
          <t>מפיץ</t>
        </is>
      </c>
      <c r="F54" t="inlineStr">
        <is>
          <t>overhead and magnetic stirrers - Labotal's overhead-stirrer category page names IKA among the brands it stocks (scope beyond stirrers not seen)</t>
        </is>
      </c>
      <c r="G54" t="inlineStr">
        <is>
          <t>https://labotal.co.il</t>
        </is>
      </c>
      <c r="H54" t="inlineStr">
        <is>
          <t>+972 2-579-9222</t>
        </is>
      </c>
      <c r="I54" t="inlineStr">
        <is>
          <t>Sales@labotal.co.il</t>
        </is>
      </c>
      <c r="J54" t="inlineStr">
        <is>
          <t>Hashalom Rd., Abu Ghosh 9084500 (mail: Mevaseret Zion)</t>
        </is>
      </c>
      <c r="K54" t="inlineStr">
        <is>
          <t>https://labotal.co.il/contact/</t>
        </is>
      </c>
      <c r="M54" t="inlineStr">
        <is>
          <t>ראיה ישנה</t>
        </is>
      </c>
      <c r="N54" t="inlineStr">
        <is>
          <t>prior_research</t>
        </is>
      </c>
      <c r="P54" t="inlineStr">
        <is>
          <t>https://labotal.co.il/product-category/hot-plate-and-stirrers/overhead-stirrers/?lang=en</t>
        </is>
      </c>
    </row>
    <row r="55">
      <c r="A55" t="n">
        <v>648</v>
      </c>
      <c r="B55" t="inlineStr">
        <is>
          <t>IKA Works</t>
        </is>
      </c>
      <c r="C55" t="inlineStr">
        <is>
          <t>Medent Scientific Instruments</t>
        </is>
      </c>
      <c r="D55" t="inlineStr">
        <is>
          <t>מדנט מכשור מדעי</t>
        </is>
      </c>
      <c r="E55" t="inlineStr">
        <is>
          <t>מפיץ</t>
        </is>
      </c>
      <c r="F55"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5" t="inlineStr">
        <is>
          <t>https://www.medent.co.il</t>
        </is>
      </c>
      <c r="H55" t="inlineStr">
        <is>
          <t>+972 72-395-0508 (sales); +972 8-683-6306 (service)</t>
        </is>
      </c>
      <c r="I55" t="inlineStr">
        <is>
          <t>info@medent.co.il</t>
        </is>
      </c>
      <c r="J55" t="inlineStr">
        <is>
          <t>110 Mordei HaGetaot St., Beer Sheva 8420643</t>
        </is>
      </c>
      <c r="K55" t="inlineStr">
        <is>
          <t>https://www.medent.co.il/scientific.equipment/%D7%A6%D7%95%D7%A8-%D7%A7%D7%A9%D7%A8/</t>
        </is>
      </c>
      <c r="L55" t="n">
        <v>2026</v>
      </c>
      <c r="M55" t="inlineStr">
        <is>
          <t>עדכני</t>
        </is>
      </c>
      <c r="N55" t="inlineStr">
        <is>
          <t>prior_research</t>
        </is>
      </c>
      <c r="P55" t="inlineStr">
        <is>
          <t>https://www.medent.co.il/en/project/ika-germany/</t>
        </is>
      </c>
    </row>
    <row r="56">
      <c r="A56" t="n">
        <v>648</v>
      </c>
      <c r="B56" t="inlineStr">
        <is>
          <t>IKA Works</t>
        </is>
      </c>
      <c r="C56" t="inlineStr">
        <is>
          <t>Labotal Scientific Equipment Ltd.</t>
        </is>
      </c>
      <c r="D56" t="inlineStr">
        <is>
          <t>לבוטל ציוד למעבדות</t>
        </is>
      </c>
      <c r="E56" t="inlineStr">
        <is>
          <t>מפיץ</t>
        </is>
      </c>
      <c r="F56" t="inlineStr">
        <is>
          <t>overhead and magnetic stirrers - Labotal's overhead-stirrer category page names IKA among the brands it stocks (scope beyond stirrers not seen)</t>
        </is>
      </c>
      <c r="G56" t="inlineStr">
        <is>
          <t>https://labotal.co.il</t>
        </is>
      </c>
      <c r="H56" t="inlineStr">
        <is>
          <t>+972 2-579-9222</t>
        </is>
      </c>
      <c r="I56" t="inlineStr">
        <is>
          <t>Sales@labotal.co.il</t>
        </is>
      </c>
      <c r="J56" t="inlineStr">
        <is>
          <t>Hashalom Rd., Abu Ghosh 9084500 (mail: Mevaseret Zion)</t>
        </is>
      </c>
      <c r="K56" t="inlineStr">
        <is>
          <t>https://labotal.co.il/contact/</t>
        </is>
      </c>
      <c r="M56" t="inlineStr">
        <is>
          <t>ראיה ישנה</t>
        </is>
      </c>
      <c r="N56" t="inlineStr">
        <is>
          <t>prior_research</t>
        </is>
      </c>
      <c r="P56" t="inlineStr">
        <is>
          <t>https://labotal.co.il/product-category/hot-plate-and-stirrers/overhead-stirrers/?lang=en</t>
        </is>
      </c>
    </row>
    <row r="57">
      <c r="A57" t="n">
        <v>669</v>
      </c>
      <c r="B57" t="inlineStr">
        <is>
          <t>Integra</t>
        </is>
      </c>
      <c r="C57" t="inlineStr">
        <is>
          <t>Medent - Scientific Equipment Ltd.</t>
        </is>
      </c>
      <c r="D57" t="inlineStr"/>
      <c r="E57" t="inlineStr">
        <is>
          <t>מפיץ</t>
        </is>
      </c>
      <c r="F57" t="inlineStr">
        <is>
          <t>INTEGRA liquid-handling products (VIAFLO, ASSIST PLUS, VACUSAFE etc.) - listed on INTEGRA's live 'Where to buy' page as its partner for Israel (110 Mordey Hagetaot St., Beer Sheva 84206, +972 8 623 79 84, medent.co.il)</t>
        </is>
      </c>
      <c r="G57" t="inlineStr">
        <is>
          <t>https://www.medent.co.il</t>
        </is>
      </c>
      <c r="H57" t="inlineStr">
        <is>
          <t>+972 72-395-0508 (sales); +972 8-683-6306 (service)</t>
        </is>
      </c>
      <c r="I57" t="inlineStr">
        <is>
          <t>info@medent.co.il</t>
        </is>
      </c>
      <c r="J57" t="inlineStr">
        <is>
          <t>110 Mordei HaGetaot St., Beer Sheva 8420643</t>
        </is>
      </c>
      <c r="K57" t="inlineStr">
        <is>
          <t>https://www.medent.co.il/scientific.equipment/%D7%A6%D7%95%D7%A8-%D7%A7%D7%A9%D7%A8/</t>
        </is>
      </c>
      <c r="L57" t="n">
        <v>2026</v>
      </c>
      <c r="M57" t="inlineStr">
        <is>
          <t>עדכני</t>
        </is>
      </c>
      <c r="N57" t="inlineStr">
        <is>
          <t>prior_research</t>
        </is>
      </c>
      <c r="P57" t="inlineStr">
        <is>
          <t>https://www.integra-biosciences.com/global/en/where-buy</t>
        </is>
      </c>
    </row>
    <row r="58">
      <c r="A58" t="n">
        <v>670</v>
      </c>
      <c r="B58" t="inlineStr">
        <is>
          <t>INTEGRA Biosciences</t>
        </is>
      </c>
      <c r="C58" t="inlineStr">
        <is>
          <t>Medent - Scientific Equipment Ltd.</t>
        </is>
      </c>
      <c r="D58" t="inlineStr"/>
      <c r="E58" t="inlineStr">
        <is>
          <t>מפיץ</t>
        </is>
      </c>
      <c r="F58" t="inlineStr">
        <is>
          <t>INTEGRA liquid-handling products (VIAFLO, ASSIST PLUS, VACUSAFE etc.) - listed on INTEGRA's live 'Where to buy' page as its partner for Israel (110 Mordey Hagetaot St., Beer Sheva 84206, +972 8 623 79 84, medent.co.il)</t>
        </is>
      </c>
      <c r="G58" t="inlineStr">
        <is>
          <t>https://www.medent.co.il</t>
        </is>
      </c>
      <c r="H58" t="inlineStr">
        <is>
          <t>+972 72-395-0508 (sales); +972 8-683-6306 (service)</t>
        </is>
      </c>
      <c r="I58" t="inlineStr">
        <is>
          <t>info@medent.co.il</t>
        </is>
      </c>
      <c r="J58" t="inlineStr">
        <is>
          <t>110 Mordei HaGetaot St., Beer Sheva 8420643</t>
        </is>
      </c>
      <c r="K58" t="inlineStr">
        <is>
          <t>https://www.medent.co.il/scientific.equipment/%D7%A6%D7%95%D7%A8-%D7%A7%D7%A9%D7%A8/</t>
        </is>
      </c>
      <c r="L58" t="n">
        <v>2026</v>
      </c>
      <c r="M58" t="inlineStr">
        <is>
          <t>עדכני</t>
        </is>
      </c>
      <c r="N58" t="inlineStr">
        <is>
          <t>prior_research</t>
        </is>
      </c>
      <c r="P58" t="inlineStr">
        <is>
          <t>https://www.integra-biosciences.com/global/en/where-buy</t>
        </is>
      </c>
    </row>
    <row r="59">
      <c r="A59" t="n">
        <v>689</v>
      </c>
      <c r="B59" t="inlineStr">
        <is>
          <t>Jackson ImmunoResearch</t>
        </is>
      </c>
      <c r="C59" t="inlineStr">
        <is>
          <t>Enco Scientific Services Ltd. (Enco Diagnostics)</t>
        </is>
      </c>
      <c r="D59" t="inlineStr">
        <is>
          <t>אנקו</t>
        </is>
      </c>
      <c r="E59" t="inlineStr">
        <is>
          <t>מפיץ</t>
        </is>
      </c>
      <c r="F59" t="inlineStr">
        <is>
          <t>Enco's About page lists the brand among the international companies it distributes in Israel (antibodies/biochemicals)</t>
        </is>
      </c>
      <c r="G59" t="inlineStr">
        <is>
          <t>https://www.enco.co.il</t>
        </is>
      </c>
      <c r="L59" t="n">
        <v>2026</v>
      </c>
      <c r="M59" t="inlineStr">
        <is>
          <t>עדכני</t>
        </is>
      </c>
      <c r="N59" t="inlineStr">
        <is>
          <t>manufacturer_or_press</t>
        </is>
      </c>
      <c r="P59" t="inlineStr">
        <is>
          <t>https://www.enco.co.il/about.php</t>
        </is>
      </c>
    </row>
    <row r="60">
      <c r="A60" t="n">
        <v>692</v>
      </c>
      <c r="B60" t="inlineStr">
        <is>
          <t>Jasco</t>
        </is>
      </c>
      <c r="C60" t="inlineStr">
        <is>
          <t>Ophir Analytical Ltd.</t>
        </is>
      </c>
      <c r="D60" t="inlineStr"/>
      <c r="E60" t="inlineStr">
        <is>
          <t>מפיץ</t>
        </is>
      </c>
      <c r="F60"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60" t="inlineStr">
        <is>
          <t>https://ophiranalytical.com</t>
        </is>
      </c>
      <c r="H60" t="inlineStr">
        <is>
          <t>+972 3-902-2277</t>
        </is>
      </c>
      <c r="I60" t="inlineStr"/>
      <c r="J60" t="inlineStr">
        <is>
          <t>Rosh Ha'ayin</t>
        </is>
      </c>
      <c r="K60" t="inlineStr"/>
      <c r="L60" t="n">
        <v>2026</v>
      </c>
      <c r="M60" t="inlineStr">
        <is>
          <t>עדכני</t>
        </is>
      </c>
      <c r="N60" t="inlineStr">
        <is>
          <t>prior_research</t>
        </is>
      </c>
      <c r="P60" t="inlineStr">
        <is>
          <t>https://www.jasco.de/where-to-buy/</t>
        </is>
      </c>
    </row>
    <row r="61">
      <c r="A61" t="n">
        <v>695</v>
      </c>
      <c r="B61" t="inlineStr">
        <is>
          <t>Jenway (Cole-Parmer)</t>
        </is>
      </c>
      <c r="C61" t="inlineStr">
        <is>
          <t>Medent Scientific Instruments</t>
        </is>
      </c>
      <c r="D61" t="inlineStr">
        <is>
          <t>מדנט מכשור מדעי</t>
        </is>
      </c>
      <c r="E61" t="inlineStr">
        <is>
          <t>מפיץ</t>
        </is>
      </c>
      <c r="F61"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61" t="inlineStr">
        <is>
          <t>https://www.medent.co.il</t>
        </is>
      </c>
      <c r="H61" t="inlineStr">
        <is>
          <t>+972 72-395-0508 (sales); +972 8-683-6306 (service)</t>
        </is>
      </c>
      <c r="I61" t="inlineStr">
        <is>
          <t>info@medent.co.il</t>
        </is>
      </c>
      <c r="J61" t="inlineStr">
        <is>
          <t>110 Mordei HaGetaot St., Beer Sheva 8420643</t>
        </is>
      </c>
      <c r="K61" t="inlineStr">
        <is>
          <t>https://www.medent.co.il/scientific.equipment/%D7%A6%D7%95%D7%A8-%D7%A7%D7%A9%D7%A8/</t>
        </is>
      </c>
      <c r="L61" t="n">
        <v>2026</v>
      </c>
      <c r="M61" t="inlineStr">
        <is>
          <t>עדכני</t>
        </is>
      </c>
      <c r="N61" t="inlineStr">
        <is>
          <t>prior_research</t>
        </is>
      </c>
      <c r="P61" t="inlineStr">
        <is>
          <t>https://medent.co.il/scientific.equipment/product/%D7%A1%D7%A4%D7%A7%D7%98%D7%A8%D7%95%D7%A4%D7%95%D7%98%D7%95%D7%9E%D7%98%D7%A8-uvvis-%D7%9E%D7%A2%D7%91%D7%93%D7%AA%D7%99-%D7%93%D7%92%D7%9D-6305-%D7%AA%D7%95%D7%A6%D7%A8%D7%AA-jenway/</t>
        </is>
      </c>
    </row>
    <row r="62">
      <c r="A62" t="n">
        <v>696</v>
      </c>
      <c r="B62" t="inlineStr">
        <is>
          <t>JEOL USA</t>
        </is>
      </c>
      <c r="C62" t="inlineStr">
        <is>
          <t>Bargal Analytical Instruments Ltd.</t>
        </is>
      </c>
      <c r="D62" t="inlineStr">
        <is>
          <t>ברגל ציוד אנליטי</t>
        </is>
      </c>
      <c r="E62" t="inlineStr">
        <is>
          <t>מפיץ</t>
        </is>
      </c>
      <c r="F62"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62" t="inlineStr">
        <is>
          <t>https://bargal.co.il</t>
        </is>
      </c>
      <c r="H62" t="inlineStr">
        <is>
          <t>+972-3-979-6533</t>
        </is>
      </c>
      <c r="I62" t="inlineStr">
        <is>
          <t>sales@bargal.co.il</t>
        </is>
      </c>
      <c r="J62" t="inlineStr">
        <is>
          <t>10 Shaked Street, Modi'in Industrial Park, Shoham 6085102</t>
        </is>
      </c>
      <c r="K62" t="inlineStr"/>
      <c r="L62" t="n">
        <v>2026</v>
      </c>
      <c r="M62" t="inlineStr">
        <is>
          <t>עדכני</t>
        </is>
      </c>
      <c r="N62" t="inlineStr">
        <is>
          <t>prior_research</t>
        </is>
      </c>
      <c r="P62" t="inlineStr">
        <is>
          <t>https://bargal.co.il/product/scanning-electron-microscope-sem-jsm-it210/</t>
        </is>
      </c>
    </row>
    <row r="63">
      <c r="A63" t="n">
        <v>700</v>
      </c>
      <c r="B63" t="inlineStr">
        <is>
          <t>Julabo</t>
        </is>
      </c>
      <c r="C63" t="inlineStr">
        <is>
          <t>Labotal Scientific Equipment Ltd.</t>
        </is>
      </c>
      <c r="D63" t="inlineStr">
        <is>
          <t>לבוטל ציוד מדעי</t>
        </is>
      </c>
      <c r="E63" t="inlineStr">
        <is>
          <t>מפיץ</t>
        </is>
      </c>
      <c r="F63" t="inlineStr">
        <is>
          <t>JULABO circulators, chillers and baths - Julabo listed on Labotal's live 'Represented Firms' page; Labotal's product pages state it is JULABO's exclusive representative in Israel</t>
        </is>
      </c>
      <c r="G63" t="inlineStr">
        <is>
          <t>https://labotal.co.il</t>
        </is>
      </c>
      <c r="H63" t="inlineStr">
        <is>
          <t>+972 2-579-9222</t>
        </is>
      </c>
      <c r="I63" t="inlineStr">
        <is>
          <t>Sales@labotal.co.il</t>
        </is>
      </c>
      <c r="J63" t="inlineStr">
        <is>
          <t>Hashalom Rd., Abu Ghosh 9084500 (mail: Mevaseret Zion)</t>
        </is>
      </c>
      <c r="K63" t="inlineStr">
        <is>
          <t>https://labotal.co.il/contact/</t>
        </is>
      </c>
      <c r="L63" t="n">
        <v>2026</v>
      </c>
      <c r="M63" t="inlineStr">
        <is>
          <t>עדכני</t>
        </is>
      </c>
      <c r="N63" t="inlineStr">
        <is>
          <t>prior_research</t>
        </is>
      </c>
      <c r="P63" t="inlineStr">
        <is>
          <t>https://labotal.co.il/firms/?lang=en</t>
        </is>
      </c>
    </row>
    <row r="64">
      <c r="A64" t="n">
        <v>720</v>
      </c>
      <c r="B64" t="inlineStr">
        <is>
          <t>Kimble</t>
        </is>
      </c>
      <c r="C64" t="inlineStr">
        <is>
          <t>Danyel Biotech Ltd. (Gamida for Life group)</t>
        </is>
      </c>
      <c r="D64" t="inlineStr">
        <is>
          <t>דניאל ביוטק</t>
        </is>
      </c>
      <c r="E64" t="inlineStr">
        <is>
          <t>מפיץ</t>
        </is>
      </c>
      <c r="F64"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64" t="inlineStr">
        <is>
          <t>https://www.danyel.co.il</t>
        </is>
      </c>
      <c r="H64" t="inlineStr">
        <is>
          <t>1-800-711-911 (also +972 8-936-6066)</t>
        </is>
      </c>
      <c r="I64" t="inlineStr"/>
      <c r="J64" t="inlineStr">
        <is>
          <t>8 Hamada St., Science Park, Rehovot 7670308</t>
        </is>
      </c>
      <c r="K64" t="inlineStr">
        <is>
          <t>https://www.danyel.co.il/contact-us/</t>
        </is>
      </c>
      <c r="L64" t="n">
        <v>2026</v>
      </c>
      <c r="M64" t="inlineStr">
        <is>
          <t>עדכני</t>
        </is>
      </c>
      <c r="N64" t="inlineStr">
        <is>
          <t>prior_research</t>
        </is>
      </c>
      <c r="P64" t="inlineStr">
        <is>
          <t>https://www.danyel.co.il/scilabware/</t>
        </is>
      </c>
    </row>
    <row r="65">
      <c r="A65" t="n">
        <v>739</v>
      </c>
      <c r="B65" t="inlineStr">
        <is>
          <t>Labconco</t>
        </is>
      </c>
      <c r="C65" t="inlineStr">
        <is>
          <t>Labotal Scientific Equipment Ltd.</t>
        </is>
      </c>
      <c r="D65" t="inlineStr">
        <is>
          <t>לבוטל ציוד מדעי</t>
        </is>
      </c>
      <c r="E65" t="inlineStr">
        <is>
          <t>מפיץ</t>
        </is>
      </c>
      <c r="F65" t="inlineStr">
        <is>
          <t>Labconco biosafety cabinets, CentriVap concentrators and drying systems - Labconco listed on Labotal's live 'Represented Firms' page and in its drying-systems category</t>
        </is>
      </c>
      <c r="G65" t="inlineStr">
        <is>
          <t>https://labotal.co.il</t>
        </is>
      </c>
      <c r="H65" t="inlineStr">
        <is>
          <t>+972 2-579-9222</t>
        </is>
      </c>
      <c r="I65" t="inlineStr">
        <is>
          <t>Sales@labotal.co.il</t>
        </is>
      </c>
      <c r="J65" t="inlineStr">
        <is>
          <t>Hashalom Rd., Abu Ghosh 9084500 (mail: Mevaseret Zion)</t>
        </is>
      </c>
      <c r="K65" t="inlineStr">
        <is>
          <t>https://labotal.co.il/contact/</t>
        </is>
      </c>
      <c r="L65" t="n">
        <v>2026</v>
      </c>
      <c r="M65" t="inlineStr">
        <is>
          <t>עדכני</t>
        </is>
      </c>
      <c r="N65" t="inlineStr">
        <is>
          <t>prior_research</t>
        </is>
      </c>
      <c r="P65" t="inlineStr">
        <is>
          <t>https://labotal.co.il/firms/?lang=en</t>
        </is>
      </c>
    </row>
    <row r="66">
      <c r="A66" t="n">
        <v>751</v>
      </c>
      <c r="B66" t="inlineStr">
        <is>
          <t>Lauda</t>
        </is>
      </c>
      <c r="C66" t="inlineStr">
        <is>
          <t>Medent Scientific Instruments</t>
        </is>
      </c>
      <c r="D66" t="inlineStr">
        <is>
          <t>מדנט מכשור מדעי</t>
        </is>
      </c>
      <c r="E66" t="inlineStr">
        <is>
          <t>מפיץ</t>
        </is>
      </c>
      <c r="F66" t="inlineStr">
        <is>
          <t>LAUDA laboratory baths, circulators and chillers - live Hebrew category 'LAUDA baths, circulators and chillers' (chillers sub-category) and the 'Lauda - Germany' partner page; GFL-brand water stills also listed</t>
        </is>
      </c>
      <c r="G66" t="inlineStr">
        <is>
          <t>https://www.medent.co.il</t>
        </is>
      </c>
      <c r="H66" t="inlineStr">
        <is>
          <t>+972 72-395-0508 (sales); +972 8-683-6306 (service)</t>
        </is>
      </c>
      <c r="I66" t="inlineStr">
        <is>
          <t>info@medent.co.il</t>
        </is>
      </c>
      <c r="J66" t="inlineStr">
        <is>
          <t>110 Mordei HaGetaot St., Beer Sheva 8420643</t>
        </is>
      </c>
      <c r="K66" t="inlineStr">
        <is>
          <t>https://www.medent.co.il/scientific.equipment/%D7%A6%D7%95%D7%A8-%D7%A7%D7%A9%D7%A8/</t>
        </is>
      </c>
      <c r="L66" t="n">
        <v>2026</v>
      </c>
      <c r="M66" t="inlineStr">
        <is>
          <t>עדכני</t>
        </is>
      </c>
      <c r="N66" t="inlineStr">
        <is>
          <t>prior_research</t>
        </is>
      </c>
      <c r="P66" t="inlineStr">
        <is>
          <t>https://www.medent.co.il/scientific.equipment/product-category/lauda-%D7%90%D7%9E%D7%91%D7%98%D7%99%D7%9D-%D7%A1%D7%99%D7%A8%D7%A7%D7%95%D7%9C%D7%98%D7%95%D7%A8%D7%99%D7%9D-%D7%95%D7%A6%D7%99%D7%9C%D7%A8%D7%99%D7%9D/%D7%A6%D7%99%D7%9C%D7%A8%D7%99%D7%9D/</t>
        </is>
      </c>
    </row>
    <row r="67">
      <c r="A67" t="n">
        <v>751</v>
      </c>
      <c r="B67" t="inlineStr">
        <is>
          <t>Lauda</t>
        </is>
      </c>
      <c r="C67" t="inlineStr">
        <is>
          <t>Citrine Solutions</t>
        </is>
      </c>
      <c r="D67" t="inlineStr">
        <is>
          <t>סיטרין</t>
        </is>
      </c>
      <c r="E67" t="inlineStr">
        <is>
          <t>מפיץ</t>
        </is>
      </c>
      <c r="F67" t="inlineStr">
        <is>
          <t>reseller listing LAUDA Variocool VC 1200 and Ultracool UC2 circulation chillers and an MGW MS heating circulator (new and used lab equipment dealer; authorisation not stated)</t>
        </is>
      </c>
      <c r="G67" t="inlineStr">
        <is>
          <t>https://www.citrinesolutions.co.il</t>
        </is>
      </c>
      <c r="H67" t="inlineStr"/>
      <c r="I67" t="inlineStr"/>
      <c r="J67" t="inlineStr"/>
      <c r="K67" t="inlineStr"/>
      <c r="M67" t="inlineStr">
        <is>
          <t>ראיה ישנה</t>
        </is>
      </c>
      <c r="N67" t="inlineStr">
        <is>
          <t>prior_research</t>
        </is>
      </c>
      <c r="P67" t="inlineStr">
        <is>
          <t>https://citrinesolutions.co.il/?c_id=30&amp;item_id=5&amp;module=product&amp;p_id=444</t>
        </is>
      </c>
    </row>
    <row r="68">
      <c r="A68" t="n">
        <v>751</v>
      </c>
      <c r="B68" t="inlineStr">
        <is>
          <t>Lauda</t>
        </is>
      </c>
      <c r="C68" t="inlineStr">
        <is>
          <t>Avni &amp; Son</t>
        </is>
      </c>
      <c r="D68" t="inlineStr"/>
      <c r="E68" t="inlineStr">
        <is>
          <t>מפיץ</t>
        </is>
      </c>
      <c r="F68"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68" t="inlineStr">
        <is>
          <t>https://avni-son.co.il</t>
        </is>
      </c>
      <c r="H68" t="inlineStr">
        <is>
          <t>+972-4-821-9989</t>
        </is>
      </c>
      <c r="I68" t="inlineStr">
        <is>
          <t>info@avni-son.co.il</t>
        </is>
      </c>
      <c r="J68" t="inlineStr">
        <is>
          <t>101 Bar Yehuda Rd. (דרך בר יהודה 101), Nesher</t>
        </is>
      </c>
      <c r="K68" t="inlineStr">
        <is>
          <t>https://avni-son.co.il/%D7%A6%D7%A8%D7%95-%D7%A7%D7%A9%D7%A8/</t>
        </is>
      </c>
      <c r="L68" t="n">
        <v>2026</v>
      </c>
      <c r="M68" t="inlineStr">
        <is>
          <t>עדכני</t>
        </is>
      </c>
      <c r="N68" t="inlineStr">
        <is>
          <t>prior_research</t>
        </is>
      </c>
      <c r="P68" t="inlineStr">
        <is>
          <t>https://www.lauda.de/us/warranty-conditions/participants</t>
        </is>
      </c>
    </row>
    <row r="69">
      <c r="A69" t="n">
        <v>757</v>
      </c>
      <c r="B69" t="inlineStr">
        <is>
          <t>Leica</t>
        </is>
      </c>
      <c r="C69" t="inlineStr">
        <is>
          <t>Lapidot Group (Ophthalmic Surgery Unit)</t>
        </is>
      </c>
      <c r="D69" t="inlineStr"/>
      <c r="E69" t="inlineStr">
        <is>
          <t>מפיץ</t>
        </is>
      </c>
      <c r="F69" t="inlineStr">
        <is>
          <t>Leica surgical microscopes (ophthalmology, neurosurgery, ENT, plastic surgery; floor- and ceiling-mounted) - Leica Microsystems medical division; live Lapidot partners and eye-surgery pages</t>
        </is>
      </c>
      <c r="G69" t="inlineStr">
        <is>
          <t>https://www.lapidot.com</t>
        </is>
      </c>
      <c r="H69" t="inlineStr">
        <is>
          <t>+972-4-6309630 / +972-74-7797836</t>
        </is>
      </c>
      <c r="I69" t="inlineStr">
        <is>
          <t>customerservice@lapidot.com</t>
        </is>
      </c>
      <c r="J69" t="inlineStr">
        <is>
          <t>8 Hashita St., P.O. Box 3552, Caesarea Industrial Park 3088900</t>
        </is>
      </c>
      <c r="K69" t="inlineStr"/>
      <c r="L69" t="n">
        <v>2026</v>
      </c>
      <c r="M69" t="inlineStr">
        <is>
          <t>עדכני</t>
        </is>
      </c>
      <c r="N69" t="inlineStr">
        <is>
          <t>prior_research</t>
        </is>
      </c>
      <c r="P69" t="inlineStr">
        <is>
          <t>https://www.lapidot.com/en/partners/</t>
        </is>
      </c>
    </row>
    <row r="70">
      <c r="A70" t="n">
        <v>757</v>
      </c>
      <c r="B70" t="inlineStr">
        <is>
          <t>Leica</t>
        </is>
      </c>
      <c r="C70" t="inlineStr">
        <is>
          <t>Rhenium Ltd.</t>
        </is>
      </c>
      <c r="D70" t="inlineStr"/>
      <c r="E70" t="inlineStr">
        <is>
          <t>מפיץ</t>
        </is>
      </c>
      <c r="F70" t="inlineStr">
        <is>
          <t>research microscopes — per a 2009 Israel Physical Society trade-fair listing only (exclusive representative then); NOT re-confirmed in 2026</t>
        </is>
      </c>
      <c r="G70" t="inlineStr">
        <is>
          <t>https://www.rhenium.co.il</t>
        </is>
      </c>
      <c r="H70" t="inlineStr">
        <is>
          <t>+972 8-955-8888</t>
        </is>
      </c>
      <c r="I70" t="inlineStr"/>
      <c r="J70" t="inlineStr">
        <is>
          <t>20 Hasatat St., P.O. Box 180, Modi'in 7171101</t>
        </is>
      </c>
      <c r="K70" t="inlineStr"/>
      <c r="L70" t="n">
        <v>2009</v>
      </c>
      <c r="M70" t="inlineStr">
        <is>
          <t>ראיה ישנה</t>
        </is>
      </c>
      <c r="N70" t="inlineStr">
        <is>
          <t>prior_research</t>
        </is>
      </c>
      <c r="P70" t="inlineStr">
        <is>
          <t>https://archive.israelphysicalsociety.org/ips-conference-2009/fairs/rhenium-ltd.html</t>
        </is>
      </c>
    </row>
    <row r="71">
      <c r="A71" t="n">
        <v>786</v>
      </c>
      <c r="B71" t="inlineStr">
        <is>
          <t>Lonza</t>
        </is>
      </c>
      <c r="C71" t="inlineStr">
        <is>
          <t>Ornat BioChemicals &amp; Lab Equipment Ltd.</t>
        </is>
      </c>
      <c r="D71" t="inlineStr">
        <is>
          <t>אורנת</t>
        </is>
      </c>
      <c r="E71" t="inlineStr">
        <is>
          <t>מפיץ</t>
        </is>
      </c>
      <c r="F71" t="inlineStr">
        <is>
          <t>Listed as Ornat partner brand on the FISEB (Federation of Israeli Societies for Experimental Biology) vendors page; undated</t>
        </is>
      </c>
      <c r="G71" t="inlineStr">
        <is>
          <t>https://www.ornat.co.il</t>
        </is>
      </c>
      <c r="M71" t="inlineStr">
        <is>
          <t>עדכני</t>
        </is>
      </c>
      <c r="N71" t="inlineStr">
        <is>
          <t>manufacturer_or_press</t>
        </is>
      </c>
      <c r="P71" t="inlineStr">
        <is>
          <t>https://www.fiseb.org/vendors/</t>
        </is>
      </c>
    </row>
    <row r="72">
      <c r="A72" t="n">
        <v>798</v>
      </c>
      <c r="B72" t="inlineStr">
        <is>
          <t>Macherey Nagel</t>
        </is>
      </c>
      <c r="C72" t="inlineStr">
        <is>
          <t>Ornat BioChemicals &amp; Lab Equipment Ltd.</t>
        </is>
      </c>
      <c r="D72" t="inlineStr">
        <is>
          <t>אורנת</t>
        </is>
      </c>
      <c r="E72" t="inlineStr">
        <is>
          <t>מפיץ</t>
        </is>
      </c>
      <c r="F72" t="inlineStr">
        <is>
          <t>Listed as Ornat partner brand on the FISEB (Federation of Israeli Societies for Experimental Biology) vendors page; undated</t>
        </is>
      </c>
      <c r="G72" t="inlineStr">
        <is>
          <t>https://www.ornat.co.il</t>
        </is>
      </c>
      <c r="M72" t="inlineStr">
        <is>
          <t>עדכני</t>
        </is>
      </c>
      <c r="N72" t="inlineStr">
        <is>
          <t>manufacturer_or_press</t>
        </is>
      </c>
      <c r="P72" t="inlineStr">
        <is>
          <t>https://www.fiseb.org/vendors/</t>
        </is>
      </c>
    </row>
    <row r="73">
      <c r="A73" t="n">
        <v>832</v>
      </c>
      <c r="B73" t="inlineStr">
        <is>
          <t>Memmert</t>
        </is>
      </c>
      <c r="C73" t="inlineStr">
        <is>
          <t>Medent Scientific Instruments</t>
        </is>
      </c>
      <c r="D73" t="inlineStr">
        <is>
          <t>מדנט מכשור מדעי</t>
        </is>
      </c>
      <c r="E73" t="inlineStr">
        <is>
          <t>מפיץ</t>
        </is>
      </c>
      <c r="F73" t="inlineStr">
        <is>
          <t>Memmert cooled incubators (IPP110 ... IPS750; 53-749 L), CO2 incubators (INC108MED, INCO246MED), vacuum ovens (VO200/VO400/VO500 incl. cooled), drying ovens (UF450, UF750, UN750) and incubators on live Hebrew product-category pages describing the units as Memmert (Germany)</t>
        </is>
      </c>
      <c r="G73" t="inlineStr">
        <is>
          <t>https://www.medent.co.il</t>
        </is>
      </c>
      <c r="H73" t="inlineStr">
        <is>
          <t>+972 72-395-0508 (sales); +972 8-683-6306 (service)</t>
        </is>
      </c>
      <c r="I73" t="inlineStr">
        <is>
          <t>info@medent.co.il</t>
        </is>
      </c>
      <c r="J73" t="inlineStr">
        <is>
          <t>110 Mordei HaGetaot St., Beer Sheva 8420643</t>
        </is>
      </c>
      <c r="K73" t="inlineStr">
        <is>
          <t>https://www.medent.co.il/scientific.equipment/%D7%A6%D7%95%D7%A8-%D7%A7%D7%A9%D7%A8/</t>
        </is>
      </c>
      <c r="L73" t="n">
        <v>2026</v>
      </c>
      <c r="M73" t="inlineStr">
        <is>
          <t>עדכני</t>
        </is>
      </c>
      <c r="N73" t="inlineStr">
        <is>
          <t>prior_research</t>
        </is>
      </c>
      <c r="P73" t="inlineStr">
        <is>
          <t>https://www.medent.co.il/scientific.equipment/product-category/%D7%90%D7%99%D7%A0%D7%A7%D7%95%D7%91%D7%98%D7%95%D7%A8%D7%99%D7%9D/%D7%90%D7%99%D7%A0%D7%A7%D7%95%D7%91%D7%98%D7%95%D7%A8-%D7%9E%D7%A7%D7%95%D7%A8%D7%A8/</t>
        </is>
      </c>
    </row>
    <row r="74">
      <c r="A74" t="n">
        <v>835</v>
      </c>
      <c r="B74" t="inlineStr">
        <is>
          <t>Merck</t>
        </is>
      </c>
      <c r="C74" t="inlineStr">
        <is>
          <t>Sigma-Aldrich Israel Ltd. (affiliate of Merck KGaA, Darmstadt)</t>
        </is>
      </c>
      <c r="D74" t="inlineStr"/>
      <c r="E74" t="inlineStr">
        <is>
          <t>חברה-בת</t>
        </is>
      </c>
      <c r="F74" t="inlineStr">
        <is>
          <t>Merck's own Israeli entity: sales/customer contact for Israel and production sites in Rehovot (antibodies, primers, peptides; 3 Plaut St.) and Jerusalem (Har Hotzvim)</t>
        </is>
      </c>
      <c r="G74" t="inlineStr">
        <is>
          <t>https://www.sigmaaldrich.com/IL/en</t>
        </is>
      </c>
      <c r="H74" t="inlineStr">
        <is>
          <t>+972-8-9484222 / +972-8-9484100</t>
        </is>
      </c>
      <c r="I74" t="inlineStr">
        <is>
          <t>isrcustserv@merckgroup.com; isrtechserv@merckgroup.com</t>
        </is>
      </c>
      <c r="J74" t="inlineStr">
        <is>
          <t>3 Plaut St., Rehovot 7670603</t>
        </is>
      </c>
      <c r="K74" t="inlineStr">
        <is>
          <t>https://b2b.sigmaaldrich.com/collections/offices</t>
        </is>
      </c>
      <c r="M74" t="inlineStr">
        <is>
          <t>ראיה ישנה</t>
        </is>
      </c>
      <c r="N74" t="inlineStr">
        <is>
          <t>prior_research</t>
        </is>
      </c>
      <c r="P74" t="inlineStr">
        <is>
          <t>https://www.sigmaaldrich.com/US/en/collections/offices</t>
        </is>
      </c>
    </row>
    <row r="75">
      <c r="A75" t="n">
        <v>835</v>
      </c>
      <c r="B75" t="inlineStr">
        <is>
          <t>Merck</t>
        </is>
      </c>
      <c r="C75" t="inlineStr">
        <is>
          <t>Mercury Scientific &amp; Industrial Products Ltd. (Gadot group)</t>
        </is>
      </c>
      <c r="D75" t="inlineStr">
        <is>
          <t>מרקורי מוצרי מדע ותעשייה (גדות מרקורי)</t>
        </is>
      </c>
      <c r="E75" t="inlineStr">
        <is>
          <t>מפיץ</t>
        </is>
      </c>
      <c r="F75" t="inlineStr">
        <is>
          <t>Merck Milli-Q laboratory water-purification systems (IX, IQ 7000, HX, CLX, SQ2 series) - live product pages describe Mercury as Merck's exclusive Israeli distributor; Millipore filtration/MQuant lines per prior evidence</t>
        </is>
      </c>
      <c r="G75" t="inlineStr">
        <is>
          <t>https://www.mercury-ltd.co.il</t>
        </is>
      </c>
      <c r="H75" t="inlineStr">
        <is>
          <t>+972 3-938-7164</t>
        </is>
      </c>
      <c r="I75" t="inlineStr"/>
      <c r="J75" t="inlineStr">
        <is>
          <t>12 Ha'avoda St., P.O. Box 159, Rosh Ha'ayin</t>
        </is>
      </c>
      <c r="K75" t="inlineStr">
        <is>
          <t>https://eng.mercury-ltd.co.il/about_us</t>
        </is>
      </c>
      <c r="L75" t="n">
        <v>2026</v>
      </c>
      <c r="M75" t="inlineStr">
        <is>
          <t>עדכני</t>
        </is>
      </c>
      <c r="N75" t="inlineStr">
        <is>
          <t>prior_research</t>
        </is>
      </c>
      <c r="P75" t="inlineStr">
        <is>
          <t>https://eng.mercury-ltd.co.il/lab_water_purification</t>
        </is>
      </c>
    </row>
    <row r="76">
      <c r="A76" t="n">
        <v>846</v>
      </c>
      <c r="B76" t="inlineStr">
        <is>
          <t>Metrohm</t>
        </is>
      </c>
      <c r="C76" t="inlineStr">
        <is>
          <t>Israel Scientific Instruments Ltd. (ISI)</t>
        </is>
      </c>
      <c r="D76" t="inlineStr">
        <is>
          <t>ISI – ישראל מכשור מדעי</t>
        </is>
      </c>
      <c r="E76" t="inlineStr">
        <is>
          <t>מפיץ</t>
        </is>
      </c>
      <c r="F76" t="inlineStr">
        <is>
          <t>Official distributor of all Metrohm products and services in Israel from 17 July 2025 per Metrohm's own news page (ISI founded 1971 as a Varian Inc. subsidiary, led by the Steiner family since 1977); ISI website not surfaced in snippets</t>
        </is>
      </c>
      <c r="G76" t="inlineStr">
        <is>
          <t>https://www.isil.co.il</t>
        </is>
      </c>
      <c r="H76" t="inlineStr">
        <is>
          <t>+972 3-923-2202</t>
        </is>
      </c>
      <c r="I76" t="inlineStr">
        <is>
          <t>info@isil.co.il</t>
        </is>
      </c>
      <c r="J76" t="inlineStr">
        <is>
          <t>32 Shacham St., P.O. Box 7790, Petah Tikva 49170</t>
        </is>
      </c>
      <c r="K76" t="inlineStr"/>
      <c r="L76" t="n">
        <v>2025</v>
      </c>
      <c r="M76" t="inlineStr">
        <is>
          <t>עדכני</t>
        </is>
      </c>
      <c r="N76" t="inlineStr">
        <is>
          <t>prior_research</t>
        </is>
      </c>
      <c r="P76" t="inlineStr">
        <is>
          <t>https://www.metrohm.com/en/discover/news/2025/new-metrohm-distributor-in-israel.html</t>
        </is>
      </c>
    </row>
    <row r="77">
      <c r="A77" t="n">
        <v>847</v>
      </c>
      <c r="B77" t="inlineStr">
        <is>
          <t>Mettler-Toledo</t>
        </is>
      </c>
      <c r="C77" t="inlineStr">
        <is>
          <t>Agentek (1987) Ltd.</t>
        </is>
      </c>
      <c r="D77" t="inlineStr">
        <is>
          <t>אגנטק</t>
        </is>
      </c>
      <c r="E77" t="inlineStr">
        <is>
          <t>מפיץ</t>
        </is>
      </c>
      <c r="F77"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77" t="inlineStr">
        <is>
          <t>https://agentek.co.il</t>
        </is>
      </c>
      <c r="H77" t="inlineStr">
        <is>
          <t>+972 9-965-7000</t>
        </is>
      </c>
      <c r="I77" t="inlineStr"/>
      <c r="J77" t="inlineStr">
        <is>
          <t>Greenwork Yakum Business Park, Yakum 6097200</t>
        </is>
      </c>
      <c r="K77" t="inlineStr">
        <is>
          <t>https://agentek.co.il/contact/</t>
        </is>
      </c>
      <c r="L77" t="n">
        <v>2026</v>
      </c>
      <c r="M77" t="inlineStr">
        <is>
          <t>עדכני</t>
        </is>
      </c>
      <c r="N77" t="inlineStr">
        <is>
          <t>prior_research</t>
        </is>
      </c>
      <c r="P77" t="inlineStr">
        <is>
          <t>https://agentek.co.il/representative/mettler-toledo/</t>
        </is>
      </c>
    </row>
    <row r="78">
      <c r="A78" t="n">
        <v>847</v>
      </c>
      <c r="B78" t="inlineStr">
        <is>
          <t>Mettler-Toledo</t>
        </is>
      </c>
      <c r="C78" t="inlineStr">
        <is>
          <t>Modcon Systems Ltd.</t>
        </is>
      </c>
      <c r="D78" t="inlineStr"/>
      <c r="E78" t="inlineStr">
        <is>
          <t>מפיץ</t>
        </is>
      </c>
      <c r="F78" t="inlineStr">
        <is>
          <t>process analytics (Ingold sensors/transmitters); Akko, +972 4 9553955</t>
        </is>
      </c>
      <c r="G78" t="inlineStr">
        <is>
          <t>https://modcon-systems.com</t>
        </is>
      </c>
      <c r="H78" t="inlineStr">
        <is>
          <t>+972-4-9553955</t>
        </is>
      </c>
      <c r="I78" t="inlineStr"/>
      <c r="J78" t="inlineStr">
        <is>
          <t>Modcon House, M. Boronshtein St., South Akko Industrial Park, Akko 24222</t>
        </is>
      </c>
      <c r="K78" t="inlineStr"/>
      <c r="M78" t="inlineStr">
        <is>
          <t>ראיה ישנה</t>
        </is>
      </c>
      <c r="N78" t="inlineStr">
        <is>
          <t>prior_research</t>
        </is>
      </c>
      <c r="P78" t="inlineStr">
        <is>
          <t>https://www.mt.com/il/en/home.html</t>
        </is>
      </c>
    </row>
    <row r="79">
      <c r="A79" t="n">
        <v>847</v>
      </c>
      <c r="B79" t="inlineStr">
        <is>
          <t>Mettler-Toledo</t>
        </is>
      </c>
      <c r="C79" t="inlineStr">
        <is>
          <t>Dinco Ltd.</t>
        </is>
      </c>
      <c r="D79" t="inlineStr"/>
      <c r="E79" t="inlineStr">
        <is>
          <t>מפיץ</t>
        </is>
      </c>
      <c r="F79" t="inlineStr">
        <is>
          <t>product inspection (Safeline X-ray etc.); Tirat Carmel, +972 4 813 15 15</t>
        </is>
      </c>
      <c r="G79" t="inlineStr"/>
      <c r="H79" t="inlineStr"/>
      <c r="I79" t="inlineStr"/>
      <c r="J79" t="inlineStr"/>
      <c r="K79" t="inlineStr"/>
      <c r="M79" t="inlineStr">
        <is>
          <t>ראיה ישנה</t>
        </is>
      </c>
      <c r="N79" t="inlineStr">
        <is>
          <t>prior_research</t>
        </is>
      </c>
      <c r="P79" t="inlineStr">
        <is>
          <t>https://www.mt.com/il/en/home.html</t>
        </is>
      </c>
    </row>
    <row r="80">
      <c r="A80" t="n">
        <v>865</v>
      </c>
      <c r="B80" t="inlineStr">
        <is>
          <t>MilliporeSigma</t>
        </is>
      </c>
      <c r="C80" t="inlineStr">
        <is>
          <t>Sigma-Aldrich Israel Ltd. (affiliate of Merck KGaA, Darmstadt)</t>
        </is>
      </c>
      <c r="D80" t="inlineStr"/>
      <c r="E80" t="inlineStr">
        <is>
          <t>חברה-בת</t>
        </is>
      </c>
      <c r="F80" t="inlineStr">
        <is>
          <t>Merck's own Israeli entity: sales/customer contact for Israel and production sites in Rehovot (antibodies, primers, peptides; 3 Plaut St.) and Jerusalem (Har Hotzvim)</t>
        </is>
      </c>
      <c r="G80" t="inlineStr">
        <is>
          <t>https://www.sigmaaldrich.com/IL/en</t>
        </is>
      </c>
      <c r="H80" t="inlineStr">
        <is>
          <t>+972-8-9484222 / +972-8-9484100</t>
        </is>
      </c>
      <c r="I80" t="inlineStr">
        <is>
          <t>isrcustserv@merckgroup.com; isrtechserv@merckgroup.com</t>
        </is>
      </c>
      <c r="J80" t="inlineStr">
        <is>
          <t>3 Plaut St., Rehovot 7670603</t>
        </is>
      </c>
      <c r="K80" t="inlineStr">
        <is>
          <t>https://b2b.sigmaaldrich.com/collections/offices</t>
        </is>
      </c>
      <c r="M80" t="inlineStr">
        <is>
          <t>ראיה ישנה</t>
        </is>
      </c>
      <c r="N80" t="inlineStr">
        <is>
          <t>prior_research</t>
        </is>
      </c>
      <c r="P80" t="inlineStr">
        <is>
          <t>https://www.sigmaaldrich.com/US/en/collections/offices</t>
        </is>
      </c>
    </row>
    <row r="81">
      <c r="A81" t="n">
        <v>865</v>
      </c>
      <c r="B81" t="inlineStr">
        <is>
          <t>MilliporeSigma</t>
        </is>
      </c>
      <c r="C81" t="inlineStr">
        <is>
          <t>Mercury Scientific &amp; Industrial Products Ltd. (Gadot group)</t>
        </is>
      </c>
      <c r="D81" t="inlineStr">
        <is>
          <t>מרקורי מוצרי מדע ותעשייה (גדות מרקורי)</t>
        </is>
      </c>
      <c r="E81" t="inlineStr">
        <is>
          <t>מפיץ</t>
        </is>
      </c>
      <c r="F81" t="inlineStr">
        <is>
          <t>Merck Milli-Q laboratory water-purification systems (IX, IQ 7000, HX, CLX, SQ2 series) - live product pages describe Mercury as Merck's exclusive Israeli distributor; Millipore filtration/MQuant lines per prior evidence</t>
        </is>
      </c>
      <c r="G81" t="inlineStr">
        <is>
          <t>https://www.mercury-ltd.co.il</t>
        </is>
      </c>
      <c r="H81" t="inlineStr">
        <is>
          <t>+972 3-938-7164</t>
        </is>
      </c>
      <c r="I81" t="inlineStr"/>
      <c r="J81" t="inlineStr">
        <is>
          <t>12 Ha'avoda St., P.O. Box 159, Rosh Ha'ayin</t>
        </is>
      </c>
      <c r="K81" t="inlineStr">
        <is>
          <t>https://eng.mercury-ltd.co.il/about_us</t>
        </is>
      </c>
      <c r="L81" t="n">
        <v>2026</v>
      </c>
      <c r="M81" t="inlineStr">
        <is>
          <t>עדכני</t>
        </is>
      </c>
      <c r="N81" t="inlineStr">
        <is>
          <t>prior_research</t>
        </is>
      </c>
      <c r="P81" t="inlineStr">
        <is>
          <t>https://eng.mercury-ltd.co.il/lab_water_purification</t>
        </is>
      </c>
    </row>
    <row r="82">
      <c r="A82" t="n">
        <v>885</v>
      </c>
      <c r="B82" t="inlineStr">
        <is>
          <t>MP Biomedicals</t>
        </is>
      </c>
      <c r="C82" t="inlineStr">
        <is>
          <t>Enco Scientific Services Ltd. (Enco Diagnostics)</t>
        </is>
      </c>
      <c r="D82" t="inlineStr">
        <is>
          <t>אנקו</t>
        </is>
      </c>
      <c r="E82" t="inlineStr">
        <is>
          <t>מפיץ</t>
        </is>
      </c>
      <c r="F82" t="inlineStr">
        <is>
          <t>Enco's About page lists the brand among the international companies it distributes in Israel (antibodies/biochemicals)</t>
        </is>
      </c>
      <c r="G82" t="inlineStr">
        <is>
          <t>https://www.enco.co.il</t>
        </is>
      </c>
      <c r="L82" t="n">
        <v>2026</v>
      </c>
      <c r="M82" t="inlineStr">
        <is>
          <t>עדכני</t>
        </is>
      </c>
      <c r="N82" t="inlineStr">
        <is>
          <t>manufacturer_or_press</t>
        </is>
      </c>
      <c r="P82" t="inlineStr">
        <is>
          <t>https://www.enco.co.il/about.php</t>
        </is>
      </c>
    </row>
    <row r="83">
      <c r="A83" t="n">
        <v>898</v>
      </c>
      <c r="B83" t="inlineStr">
        <is>
          <t>Nabertherm</t>
        </is>
      </c>
      <c r="C83" t="inlineStr">
        <is>
          <t>Electrotherm Marketing 1978 Ltd.</t>
        </is>
      </c>
      <c r="D83" t="inlineStr">
        <is>
          <t>אלקטרוטרם</t>
        </is>
      </c>
      <c r="E83" t="inlineStr">
        <is>
          <t>מפיץ</t>
        </is>
      </c>
      <c r="F83"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83" t="inlineStr">
        <is>
          <t>https://www.electrotherm.co.il</t>
        </is>
      </c>
      <c r="H83" t="inlineStr">
        <is>
          <t>+972-77-866-0600</t>
        </is>
      </c>
      <c r="I83" t="inlineStr">
        <is>
          <t>sales@electrotherm.co.il</t>
        </is>
      </c>
      <c r="J83" t="inlineStr">
        <is>
          <t>Migdal HaEmek</t>
        </is>
      </c>
      <c r="K83" t="inlineStr"/>
      <c r="L83" t="n">
        <v>2026</v>
      </c>
      <c r="M83" t="inlineStr">
        <is>
          <t>עדכני</t>
        </is>
      </c>
      <c r="N83" t="inlineStr">
        <is>
          <t>prior_research</t>
        </is>
      </c>
      <c r="P83" t="inlineStr">
        <is>
          <t>https://nabertherm.com/en/node/594</t>
        </is>
      </c>
    </row>
    <row r="84">
      <c r="A84" t="n">
        <v>900</v>
      </c>
      <c r="B84" t="inlineStr">
        <is>
          <t>Nalgene</t>
        </is>
      </c>
      <c r="C84" t="inlineStr">
        <is>
          <t>Thermo Fisher Integrated Solutions Israel Ltd.</t>
        </is>
      </c>
      <c r="D84" t="inlineStr">
        <is>
          <t>תרמו פישר ישראל (רעננה)</t>
        </is>
      </c>
      <c r="E84" t="inlineStr">
        <is>
          <t>חברה-בת</t>
        </is>
      </c>
      <c r="F84" t="inlineStr">
        <is>
          <t>direct life-science sales &amp; field service organisation being built out 2025-26</t>
        </is>
      </c>
      <c r="G84" t="inlineStr">
        <is>
          <t>https://www.thermofisher.com</t>
        </is>
      </c>
      <c r="H84" t="inlineStr">
        <is>
          <t>+972 8-940-8618</t>
        </is>
      </c>
      <c r="I84" t="inlineStr"/>
      <c r="J84" t="inlineStr">
        <is>
          <t>5 Golda Meir St., Ness Ziona (also Airport City 1, Lod)</t>
        </is>
      </c>
      <c r="K84" t="inlineStr">
        <is>
          <t>https://www.thermofisher.com/il/en/home.html</t>
        </is>
      </c>
      <c r="M84" t="inlineStr"/>
      <c r="N84" t="inlineStr">
        <is>
          <t>prior_research</t>
        </is>
      </c>
      <c r="P84" t="inlineStr">
        <is>
          <t>https://www.thermofisher.com/il/en/home.html</t>
        </is>
      </c>
    </row>
    <row r="85">
      <c r="A85" t="n">
        <v>900</v>
      </c>
      <c r="B85" t="inlineStr">
        <is>
          <t>Nalgene</t>
        </is>
      </c>
      <c r="C85" t="inlineStr">
        <is>
          <t>Thermo Fisher Scientific Israel Ltd. (Kiryat Shmona)</t>
        </is>
      </c>
      <c r="D85" t="inlineStr">
        <is>
          <t>תרמו פישר קריית שמונה</t>
        </is>
      </c>
      <c r="E85" t="inlineStr">
        <is>
          <t>חברה-בת</t>
        </is>
      </c>
      <c r="F85" t="inlineStr">
        <is>
          <t>manufacturing / engineering site (ISO 9001/13485); not a sales channel</t>
        </is>
      </c>
      <c r="G85" t="inlineStr">
        <is>
          <t>https://www.thermofisher.com</t>
        </is>
      </c>
      <c r="H85" t="inlineStr">
        <is>
          <t>+972 8-940-8618</t>
        </is>
      </c>
      <c r="I85" t="inlineStr"/>
      <c r="J85" t="inlineStr">
        <is>
          <t>5 Golda Meir St., Ness Ziona (also Airport City 1, Lod)</t>
        </is>
      </c>
      <c r="K85" t="inlineStr">
        <is>
          <t>https://www.thermofisher.com/il/en/home.html</t>
        </is>
      </c>
      <c r="M85" t="inlineStr"/>
      <c r="N85" t="inlineStr">
        <is>
          <t>prior_research</t>
        </is>
      </c>
      <c r="P85" t="inlineStr"/>
    </row>
    <row r="86">
      <c r="A86" t="n">
        <v>900</v>
      </c>
      <c r="B86" t="inlineStr">
        <is>
          <t>Nalgene</t>
        </is>
      </c>
      <c r="C86" t="inlineStr">
        <is>
          <t>Rhenium Ltd.</t>
        </is>
      </c>
      <c r="D86" t="inlineStr">
        <is>
          <t>רניום</t>
        </is>
      </c>
      <c r="E86" t="inlineStr">
        <is>
          <t>מפיץ</t>
        </is>
      </c>
      <c r="F86"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86" t="inlineStr">
        <is>
          <t>https://www.rhenium.co.il</t>
        </is>
      </c>
      <c r="H86" t="inlineStr">
        <is>
          <t>+972 8-955-8888</t>
        </is>
      </c>
      <c r="I86" t="inlineStr"/>
      <c r="J86" t="inlineStr">
        <is>
          <t>20 Hasatat St., P.O. Box 180, Modi'in 7171101</t>
        </is>
      </c>
      <c r="K86" t="inlineStr"/>
      <c r="L86" t="n">
        <v>2026</v>
      </c>
      <c r="M86" t="inlineStr">
        <is>
          <t>עדכני</t>
        </is>
      </c>
      <c r="N86" t="inlineStr">
        <is>
          <t>prior_research</t>
        </is>
      </c>
      <c r="P86" t="inlineStr">
        <is>
          <t>https://rhenium.co.il/products/bioproduction</t>
        </is>
      </c>
    </row>
    <row r="87">
      <c r="A87" t="n">
        <v>900</v>
      </c>
      <c r="B87" t="inlineStr">
        <is>
          <t>Nalgene</t>
        </is>
      </c>
      <c r="C87" t="inlineStr">
        <is>
          <t>Gamidor Diagnostics (1984) Ltd.</t>
        </is>
      </c>
      <c r="D87" t="inlineStr">
        <is>
          <t>גמידור דיאגנוסטיקה</t>
        </is>
      </c>
      <c r="E87" t="inlineStr">
        <is>
          <t>מפיץ</t>
        </is>
      </c>
      <c r="F87"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87" t="inlineStr">
        <is>
          <t>https://www.gamidor.co.il</t>
        </is>
      </c>
      <c r="H87" t="inlineStr">
        <is>
          <t>+972-3-927-7277</t>
        </is>
      </c>
      <c r="I87" t="inlineStr">
        <is>
          <t>info@gamidor.co.il</t>
        </is>
      </c>
      <c r="J87" t="inlineStr">
        <is>
          <t>Shaham 32, Petach Tikva</t>
        </is>
      </c>
      <c r="K87" t="inlineStr"/>
      <c r="L87" t="n">
        <v>2026</v>
      </c>
      <c r="M87" t="inlineStr">
        <is>
          <t>עדכני</t>
        </is>
      </c>
      <c r="N87" t="inlineStr">
        <is>
          <t>prior_research</t>
        </is>
      </c>
      <c r="P87" t="inlineStr">
        <is>
          <t>https://gamidor.co.il/en/allergy/</t>
        </is>
      </c>
    </row>
    <row r="88">
      <c r="A88" t="n">
        <v>900</v>
      </c>
      <c r="B88" t="inlineStr">
        <is>
          <t>Nalgene</t>
        </is>
      </c>
      <c r="C88" t="inlineStr">
        <is>
          <t>Bargal Analytical Instruments Ltd.</t>
        </is>
      </c>
      <c r="D88" t="inlineStr">
        <is>
          <t>ברגל</t>
        </is>
      </c>
      <c r="E88" t="inlineStr">
        <is>
          <t>מפיץ</t>
        </is>
      </c>
      <c r="F88"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88" t="inlineStr">
        <is>
          <t>https://www.bargal.co.il</t>
        </is>
      </c>
      <c r="H88" t="inlineStr">
        <is>
          <t>+972-3-979-6533</t>
        </is>
      </c>
      <c r="I88" t="inlineStr">
        <is>
          <t>sales@bargal.co.il</t>
        </is>
      </c>
      <c r="J88" t="inlineStr">
        <is>
          <t>10 Shaked Street, Modi'in Industrial Park, Shoham 6085102</t>
        </is>
      </c>
      <c r="K88" t="inlineStr"/>
      <c r="L88" t="n">
        <v>2026</v>
      </c>
      <c r="M88" t="inlineStr">
        <is>
          <t>עדכני</t>
        </is>
      </c>
      <c r="N88" t="inlineStr">
        <is>
          <t>prior_research</t>
        </is>
      </c>
      <c r="P88" t="inlineStr">
        <is>
          <t>https://bargal.co.il/product/q-exactive-uhmr-hybrid-quadrupole-orbitrap-ms-system/</t>
        </is>
      </c>
    </row>
    <row r="89">
      <c r="A89" t="n">
        <v>900</v>
      </c>
      <c r="B89" t="inlineStr">
        <is>
          <t>Nalgene</t>
        </is>
      </c>
      <c r="C89" t="inlineStr">
        <is>
          <t>Danyel Biotech Ltd.</t>
        </is>
      </c>
      <c r="D89" t="inlineStr">
        <is>
          <t>דניאל ביוטק</t>
        </is>
      </c>
      <c r="E89" t="inlineStr">
        <is>
          <t>מפיץ</t>
        </is>
      </c>
      <c r="F89" t="inlineStr">
        <is>
          <t>Olink proteomics (a Thermo Fisher business): live Olink brand page on Danyel's site</t>
        </is>
      </c>
      <c r="G89" t="inlineStr">
        <is>
          <t>https://www.danyel.co.il</t>
        </is>
      </c>
      <c r="H89" t="inlineStr">
        <is>
          <t>1-800-711-911 (also +972 8-936-6066)</t>
        </is>
      </c>
      <c r="I89" t="inlineStr"/>
      <c r="J89" t="inlineStr">
        <is>
          <t>8 Hamada St., Science Park, Rehovot 7670308</t>
        </is>
      </c>
      <c r="K89" t="inlineStr">
        <is>
          <t>https://www.danyel.co.il/contact-us/</t>
        </is>
      </c>
      <c r="L89" t="n">
        <v>2026</v>
      </c>
      <c r="M89" t="inlineStr">
        <is>
          <t>עדכני</t>
        </is>
      </c>
      <c r="N89" t="inlineStr">
        <is>
          <t>prior_research</t>
        </is>
      </c>
      <c r="P89" t="inlineStr">
        <is>
          <t>https://www.danyel.co.il/olink/</t>
        </is>
      </c>
    </row>
    <row r="90">
      <c r="A90" t="n">
        <v>900</v>
      </c>
      <c r="B90" t="inlineStr">
        <is>
          <t>Nalgene</t>
        </is>
      </c>
      <c r="C90" t="inlineStr">
        <is>
          <t>Thermo Fisher Scientific – EM service location, Airport City</t>
        </is>
      </c>
      <c r="D90" t="inlineStr"/>
      <c r="E90" t="inlineStr">
        <is>
          <t>שירות</t>
        </is>
      </c>
      <c r="F90" t="inlineStr">
        <is>
          <t>Thermo Fisher's own Israeli sales/support organisation; thermofisher.com's Phenom desktop-SEM distributor page names 'Thermo Fisher Integrated Solutions' as the Israel contact (live page); a Thermo Fisher careers page lists jobs in Israel</t>
        </is>
      </c>
      <c r="G90" t="inlineStr">
        <is>
          <t>https://www.thermofisher.com</t>
        </is>
      </c>
      <c r="H90" t="inlineStr">
        <is>
          <t>+972 8-940-8618</t>
        </is>
      </c>
      <c r="I90" t="inlineStr"/>
      <c r="J90" t="inlineStr">
        <is>
          <t>5 Golda Meir St., Ness Ziona (also Airport City 1, Lod)</t>
        </is>
      </c>
      <c r="K90" t="inlineStr">
        <is>
          <t>https://www.thermofisher.com/il/en/home.html</t>
        </is>
      </c>
      <c r="L90" t="n">
        <v>2026</v>
      </c>
      <c r="M90" t="inlineStr">
        <is>
          <t>ראיה ישנה</t>
        </is>
      </c>
      <c r="N90" t="inlineStr">
        <is>
          <t>prior_research</t>
        </is>
      </c>
      <c r="P90" t="inlineStr">
        <is>
          <t>https://www.thermofisher.com/us/en/home/electron-microscopy/products/desktop-scanning-electron-microscopes/phenom-distributors.html</t>
        </is>
      </c>
    </row>
    <row r="91">
      <c r="A91" t="n">
        <v>900</v>
      </c>
      <c r="B91" t="inlineStr">
        <is>
          <t>Nalgene</t>
        </is>
      </c>
      <c r="C91" t="inlineStr">
        <is>
          <t>Iner-Tech Ltd. (Rehovot)</t>
        </is>
      </c>
      <c r="D91" t="inlineStr"/>
      <c r="E91" t="inlineStr">
        <is>
          <t>מפיץ</t>
        </is>
      </c>
      <c r="F91" t="inlineStr">
        <is>
          <t>Thermo Scientific portable pharma QA/QC analysers (handheld Raman/NIR material ID) - listed on thermofisher.com's distributor page for Israel</t>
        </is>
      </c>
      <c r="G91" t="inlineStr"/>
      <c r="H91" t="inlineStr"/>
      <c r="I91" t="inlineStr"/>
      <c r="J91" t="inlineStr"/>
      <c r="K91" t="inlineStr"/>
      <c r="L91" t="n">
        <v>2026</v>
      </c>
      <c r="M91" t="inlineStr">
        <is>
          <t>חדש</t>
        </is>
      </c>
      <c r="N91" t="inlineStr">
        <is>
          <t>prior_research</t>
        </is>
      </c>
      <c r="P91" t="inlineStr">
        <is>
          <t>https://www.thermofisher.com/us/en/home/industrial/spectroscopy-elemental-isotope-analysis/portable-analysis-material-id/portable-pharmaceutical-qa-qc-manufacturing-solutions/portable-pharma-qa-qc-manufacturing-solutions-distributors.html</t>
        </is>
      </c>
    </row>
    <row r="92">
      <c r="A92" t="n">
        <v>900</v>
      </c>
      <c r="B92" t="inlineStr">
        <is>
          <t>Nalgene</t>
        </is>
      </c>
      <c r="C92" t="inlineStr">
        <is>
          <t>R.B.M. Ltd. Control &amp; Mechanization (Hod Hasharon)</t>
        </is>
      </c>
      <c r="D92" t="inlineStr"/>
      <c r="E92" t="inlineStr">
        <is>
          <t>מפיץ</t>
        </is>
      </c>
      <c r="F92" t="inlineStr">
        <is>
          <t>Thermo Scientific Niton portable XRF / LIBS analysers - listed on thermofisher.com's authorized XRF &amp; LIBS distributor page for Israel</t>
        </is>
      </c>
      <c r="G92" t="inlineStr"/>
      <c r="H92" t="inlineStr"/>
      <c r="I92" t="inlineStr"/>
      <c r="J92" t="inlineStr"/>
      <c r="K92" t="inlineStr"/>
      <c r="L92" t="n">
        <v>2026</v>
      </c>
      <c r="M92" t="inlineStr">
        <is>
          <t>חדש</t>
        </is>
      </c>
      <c r="N92" t="inlineStr">
        <is>
          <t>prior_research</t>
        </is>
      </c>
      <c r="P92" t="inlineStr">
        <is>
          <t>https://www.thermofisher.com/us/en/home/industrial/spectroscopy-elemental-isotope-analysis/portable-analysis-material-id/portable-analysis-for-material-id-distributors.html</t>
        </is>
      </c>
    </row>
    <row r="93">
      <c r="A93" t="n">
        <v>900</v>
      </c>
      <c r="B93" t="inlineStr">
        <is>
          <t>Nalgene</t>
        </is>
      </c>
      <c r="C93" t="inlineStr">
        <is>
          <t>Madid Industrial Controls Ltd.</t>
        </is>
      </c>
      <c r="D93" t="inlineStr"/>
      <c r="E93" t="inlineStr">
        <is>
          <t>מפיץ</t>
        </is>
      </c>
      <c r="F93" t="inlineStr">
        <is>
          <t>Thermo Scientific dataTaker data loggers (industrial data acquisition) - listed on thermofisher.com's dataTaker distributor page for Israel</t>
        </is>
      </c>
      <c r="G93" t="inlineStr"/>
      <c r="H93" t="inlineStr"/>
      <c r="I93" t="inlineStr"/>
      <c r="J93" t="inlineStr"/>
      <c r="K93" t="inlineStr"/>
      <c r="L93" t="n">
        <v>2026</v>
      </c>
      <c r="M93" t="inlineStr">
        <is>
          <t>חדש</t>
        </is>
      </c>
      <c r="N93" t="inlineStr">
        <is>
          <t>prior_research</t>
        </is>
      </c>
      <c r="P93" t="inlineStr">
        <is>
          <t>https://www.thermofisher.com/us/en/home/industrial/manufacturing-processing/data-acquisition/datataker-distributors.html</t>
        </is>
      </c>
    </row>
    <row r="94">
      <c r="A94" t="n">
        <v>915</v>
      </c>
      <c r="B94" t="inlineStr">
        <is>
          <t>New England Biolabs (NEB)</t>
        </is>
      </c>
      <c r="C94" t="inlineStr">
        <is>
          <t>Ornat BioChemicals &amp; Lab Equipment Ltd.</t>
        </is>
      </c>
      <c r="D94" t="inlineStr">
        <is>
          <t>אורנת</t>
        </is>
      </c>
      <c r="E94" t="inlineStr">
        <is>
          <t>מפיץ</t>
        </is>
      </c>
      <c r="F94" t="inlineStr">
        <is>
          <t>New England Biolabs reagents - live Ornat product pages for NEB molecular biology, nucleic-acid purification, NGS and RNA products, plus Ornat's partners page</t>
        </is>
      </c>
      <c r="G94" t="inlineStr">
        <is>
          <t>https://www.ornat.co.il</t>
        </is>
      </c>
      <c r="H94" t="inlineStr">
        <is>
          <t>+972-8-9477077</t>
        </is>
      </c>
      <c r="I94" t="inlineStr">
        <is>
          <t>ornatbio@ornat.co.il</t>
        </is>
      </c>
      <c r="J94" t="inlineStr">
        <is>
          <t>19 Horvitz Eli St., Rehovot 7608802</t>
        </is>
      </c>
      <c r="K94" t="inlineStr"/>
      <c r="L94" t="n">
        <v>2026</v>
      </c>
      <c r="M94" t="inlineStr">
        <is>
          <t>עדכני</t>
        </is>
      </c>
      <c r="N94" t="inlineStr">
        <is>
          <t>prior_research</t>
        </is>
      </c>
      <c r="P94" t="inlineStr">
        <is>
          <t>https://ornat.co.il/product/new-england-biolabs-neb-molecular-biology/</t>
        </is>
      </c>
    </row>
    <row r="95">
      <c r="A95" t="n">
        <v>924</v>
      </c>
      <c r="B95" t="inlineStr">
        <is>
          <t>Nikon</t>
        </is>
      </c>
      <c r="C95" t="inlineStr">
        <is>
          <t>Agentek Ltd.</t>
        </is>
      </c>
      <c r="D95" t="inlineStr">
        <is>
          <t>אגנטק</t>
        </is>
      </c>
      <c r="E95" t="inlineStr">
        <is>
          <t>מפיץ</t>
        </is>
      </c>
      <c r="F95"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95" t="inlineStr">
        <is>
          <t>https://agentek.co.il</t>
        </is>
      </c>
      <c r="H95" t="inlineStr">
        <is>
          <t>+972 9-965-7000</t>
        </is>
      </c>
      <c r="I95" t="inlineStr"/>
      <c r="J95" t="inlineStr">
        <is>
          <t>Greenwork Yakum Business Park, Yakum 6097200</t>
        </is>
      </c>
      <c r="K95" t="inlineStr">
        <is>
          <t>https://agentek.co.il/contact/</t>
        </is>
      </c>
      <c r="L95" t="n">
        <v>2026</v>
      </c>
      <c r="M95" t="inlineStr">
        <is>
          <t>עדכני</t>
        </is>
      </c>
      <c r="N95" t="inlineStr">
        <is>
          <t>prior_research</t>
        </is>
      </c>
      <c r="P95" t="inlineStr">
        <is>
          <t>https://www.microscope.healthcare.nikon.com/en_EU/contact/service/171079</t>
        </is>
      </c>
    </row>
    <row r="96">
      <c r="A96" t="n">
        <v>935</v>
      </c>
      <c r="B96" t="inlineStr">
        <is>
          <t>Novus Biologicals</t>
        </is>
      </c>
      <c r="C96" t="inlineStr">
        <is>
          <t>Getter Bio-Med (Getter Group)</t>
        </is>
      </c>
      <c r="D96" t="inlineStr">
        <is>
          <t>גטר ביו-מד</t>
        </is>
      </c>
      <c r="E96" t="inlineStr">
        <is>
          <t>מפיץ</t>
        </is>
      </c>
      <c r="F96" t="inlineStr">
        <is>
          <t>Lunaphore (a Bio-Techne brand) spatial-biology platforms – Getter describes itself as the official Israeli representative (LinkedIn)</t>
        </is>
      </c>
      <c r="G96" t="inlineStr">
        <is>
          <t>https://www.getter.co.il</t>
        </is>
      </c>
      <c r="H96" t="inlineStr">
        <is>
          <t>+972 3-576-1555 (Getter Group switchboard)</t>
        </is>
      </c>
      <c r="I96" t="inlineStr"/>
      <c r="J96" t="inlineStr">
        <is>
          <t>7 Shimshon St., Petah Tikva 4912502</t>
        </is>
      </c>
      <c r="K96" t="inlineStr"/>
      <c r="M96" t="inlineStr">
        <is>
          <t>ראיה ישנה</t>
        </is>
      </c>
      <c r="N96" t="inlineStr">
        <is>
          <t>prior_research</t>
        </is>
      </c>
      <c r="P96" t="inlineStr">
        <is>
          <t>https://www.getter.co.il/about-en/</t>
        </is>
      </c>
    </row>
    <row r="97">
      <c r="A97" t="n">
        <v>935</v>
      </c>
      <c r="B97" t="inlineStr">
        <is>
          <t>Novus Biologicals</t>
        </is>
      </c>
      <c r="C97" t="inlineStr">
        <is>
          <t>Biotest</t>
        </is>
      </c>
      <c r="D97" t="inlineStr"/>
      <c r="E97" t="inlineStr">
        <is>
          <t>מפיץ</t>
        </is>
      </c>
      <c r="F97" t="inlineStr">
        <is>
          <t>Israeli distributor listed on Bio-Techne's Novus Biologicals distributor directory: 6 Hasadna St., P.O. Box 8006, Kfar Saba 4442405 (phone/e-mail on page); coverage of other Bio-Techne brands (R&amp;D Systems, Tocris, ProteinSimple) not confirmed</t>
        </is>
      </c>
      <c r="G97" t="inlineStr"/>
      <c r="H97" t="inlineStr"/>
      <c r="I97" t="inlineStr"/>
      <c r="J97" t="inlineStr"/>
      <c r="K97" t="inlineStr"/>
      <c r="L97" t="n">
        <v>2026</v>
      </c>
      <c r="M97" t="inlineStr">
        <is>
          <t>חדש</t>
        </is>
      </c>
      <c r="N97" t="inlineStr">
        <is>
          <t>prior_research</t>
        </is>
      </c>
      <c r="P97" t="inlineStr">
        <is>
          <t>https://www.bio-techne.com/distributors/novus</t>
        </is>
      </c>
    </row>
    <row r="98">
      <c r="A98" t="n">
        <v>942</v>
      </c>
      <c r="B98" t="inlineStr">
        <is>
          <t>Oakton</t>
        </is>
      </c>
      <c r="C98" t="inlineStr">
        <is>
          <t>Medent Scientific Instruments</t>
        </is>
      </c>
      <c r="D98" t="inlineStr">
        <is>
          <t>מדנט מכשור מדעי</t>
        </is>
      </c>
      <c r="E98" t="inlineStr">
        <is>
          <t>מפיץ</t>
        </is>
      </c>
      <c r="F9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98" t="inlineStr">
        <is>
          <t>https://www.medent.co.il</t>
        </is>
      </c>
      <c r="H98" t="inlineStr">
        <is>
          <t>+972 72-395-0508 (sales); +972 8-683-6306 (service)</t>
        </is>
      </c>
      <c r="I98" t="inlineStr">
        <is>
          <t>info@medent.co.il</t>
        </is>
      </c>
      <c r="J98" t="inlineStr">
        <is>
          <t>110 Mordei HaGetaot St., Beer Sheva 8420643</t>
        </is>
      </c>
      <c r="K98" t="inlineStr">
        <is>
          <t>https://www.medent.co.il/scientific.equipment/%D7%A6%D7%95%D7%A8-%D7%A7%D7%A9%D7%A8/</t>
        </is>
      </c>
      <c r="L98" t="n">
        <v>2026</v>
      </c>
      <c r="M98" t="inlineStr">
        <is>
          <t>עדכני</t>
        </is>
      </c>
      <c r="N98" t="inlineStr">
        <is>
          <t>prior_research</t>
        </is>
      </c>
      <c r="P98" t="inlineStr">
        <is>
          <t>https://medent.co.il/scientific.equipment/product/%D7%A1%D7%A4%D7%A7%D7%98%D7%A8%D7%95%D7%A4%D7%95%D7%98%D7%95%D7%9E%D7%98%D7%A8-uvvis-%D7%9E%D7%A2%D7%91%D7%93%D7%AA%D7%99-%D7%93%D7%92%D7%9D-6305-%D7%AA%D7%95%D7%A6%D7%A8%D7%AA-jenway/</t>
        </is>
      </c>
    </row>
    <row r="99">
      <c r="A99" t="n">
        <v>947</v>
      </c>
      <c r="B99" t="inlineStr">
        <is>
          <t>Ohaus</t>
        </is>
      </c>
      <c r="C99" t="inlineStr">
        <is>
          <t>Labotal Scientific Equipment Ltd.</t>
        </is>
      </c>
      <c r="D99" t="inlineStr">
        <is>
          <t>לבוטל</t>
        </is>
      </c>
      <c r="E99" t="inlineStr">
        <is>
          <t>מפיץ</t>
        </is>
      </c>
      <c r="F99" t="inlineStr">
        <is>
          <t>OHAUS balances and centrifuges (e.g. FC-5515R refrigerated microcentrifuge) - Ohaus has a dedicated page in Labotal's live 'Represented Firms' archive, and Labotal's product/guide pages refer to Ohaus' 2024 acquisition of Hermle</t>
        </is>
      </c>
      <c r="G99" t="inlineStr">
        <is>
          <t>https://labotal.co.il</t>
        </is>
      </c>
      <c r="H99" t="inlineStr">
        <is>
          <t>+972 2-579-9222</t>
        </is>
      </c>
      <c r="I99" t="inlineStr">
        <is>
          <t>Sales@labotal.co.il</t>
        </is>
      </c>
      <c r="J99" t="inlineStr">
        <is>
          <t>Hashalom Rd., Abu Ghosh 9084500 (mail: Mevaseret Zion)</t>
        </is>
      </c>
      <c r="K99" t="inlineStr">
        <is>
          <t>https://labotal.co.il/contact/</t>
        </is>
      </c>
      <c r="L99" t="n">
        <v>2026</v>
      </c>
      <c r="M99" t="inlineStr">
        <is>
          <t>עדכני</t>
        </is>
      </c>
      <c r="N99" t="inlineStr">
        <is>
          <t>prior_research</t>
        </is>
      </c>
      <c r="P99" t="inlineStr">
        <is>
          <t>https://labotal.co.il/firms/ohaus/?lang=en</t>
        </is>
      </c>
    </row>
    <row r="100">
      <c r="A100" t="n">
        <v>965</v>
      </c>
      <c r="B100" t="inlineStr">
        <is>
          <t>Oxford Instruments America</t>
        </is>
      </c>
      <c r="C100" t="inlineStr">
        <is>
          <t>Advanced Technological Solutions Ltd. (ATSL)</t>
        </is>
      </c>
      <c r="D100" t="inlineStr"/>
      <c r="E100" t="inlineStr">
        <is>
          <t>מפיץ</t>
        </is>
      </c>
      <c r="F100" t="inlineStr">
        <is>
          <t>WITec (an Oxford Instruments company since 2021) SNOM/AFM/Raman imaging systems - appointed exclusive distributor in Israel in November 2012 (Kiryat Ata); no later confirmation found, current status unknown</t>
        </is>
      </c>
      <c r="G100" t="inlineStr"/>
      <c r="H100" t="inlineStr"/>
      <c r="I100" t="inlineStr"/>
      <c r="J100" t="inlineStr"/>
      <c r="K100" t="inlineStr"/>
      <c r="L100" t="n">
        <v>2012</v>
      </c>
      <c r="M100" t="inlineStr">
        <is>
          <t>ראיה ישנה</t>
        </is>
      </c>
      <c r="N100" t="inlineStr">
        <is>
          <t>prior_research</t>
        </is>
      </c>
      <c r="P100" t="inlineStr">
        <is>
          <t>https://www.analytica-world.com/en/news/140718/witec-appoints-new-distributor-in-israel.html</t>
        </is>
      </c>
    </row>
    <row r="101">
      <c r="A101" t="n">
        <v>965</v>
      </c>
      <c r="B101" t="inlineStr">
        <is>
          <t>Oxford Instruments America</t>
        </is>
      </c>
      <c r="C101" t="inlineStr">
        <is>
          <t>Quantum Design s.r.l. (Italy and Israel branch office, Rome) / Quantum Design Israel site</t>
        </is>
      </c>
      <c r="D101" t="inlineStr"/>
      <c r="E101" t="inlineStr">
        <is>
          <t>מפיץ</t>
        </is>
      </c>
      <c r="F101"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101" t="inlineStr">
        <is>
          <t>https://qd-europe.com/il/en</t>
        </is>
      </c>
      <c r="H101" t="inlineStr"/>
      <c r="I101" t="inlineStr"/>
      <c r="J101" t="inlineStr"/>
      <c r="K101" t="inlineStr"/>
      <c r="L101" t="n">
        <v>2026</v>
      </c>
      <c r="M101" t="inlineStr">
        <is>
          <t>חדש</t>
        </is>
      </c>
      <c r="N101" t="inlineStr">
        <is>
          <t>prior_research</t>
        </is>
      </c>
      <c r="P101" t="inlineStr">
        <is>
          <t>https://qd-europe.com/il/en/news/latest-updates/newsdetails/quantum-design-to-acquire-nanoscience-division-of-oxford-instruments--2384/</t>
        </is>
      </c>
    </row>
    <row r="102">
      <c r="A102" t="n">
        <v>967</v>
      </c>
      <c r="B102" t="inlineStr">
        <is>
          <t>OZ Biosciences</t>
        </is>
      </c>
      <c r="C102" t="inlineStr">
        <is>
          <t>Tivan Biotech</t>
        </is>
      </c>
      <c r="D102" t="inlineStr">
        <is>
          <t>טיבן ביוטק</t>
        </is>
      </c>
      <c r="E102" t="inlineStr">
        <is>
          <t>מפיץ</t>
        </is>
      </c>
      <c r="F102" t="inlineStr">
        <is>
          <t>OZ Biosciences announced Tivan Biotech as its distributor in Israel (blog post, undated)</t>
        </is>
      </c>
      <c r="G102" t="inlineStr">
        <is>
          <t>https://www.tivanbiotech.com</t>
        </is>
      </c>
      <c r="I102" t="inlineStr">
        <is>
          <t>customerservice@tivanbiotech.com</t>
        </is>
      </c>
      <c r="M102" t="inlineStr">
        <is>
          <t>עדכני</t>
        </is>
      </c>
      <c r="N102" t="inlineStr">
        <is>
          <t>manufacturer_or_press</t>
        </is>
      </c>
      <c r="P102" t="inlineStr">
        <is>
          <t>https://ozbiosciences.com/blog/welcome-to-our-new-distributor-in-israel-n6</t>
        </is>
      </c>
    </row>
    <row r="103">
      <c r="A103" t="n">
        <v>985</v>
      </c>
      <c r="B103" t="inlineStr">
        <is>
          <t>PerkinElmer</t>
        </is>
      </c>
      <c r="C103" t="inlineStr">
        <is>
          <t>PerkinElmer Israel Ltd.</t>
        </is>
      </c>
      <c r="D103" t="inlineStr"/>
      <c r="E103" t="inlineStr">
        <is>
          <t>חברה-בת</t>
        </is>
      </c>
      <c r="F103" t="inlineStr">
        <is>
          <t>direct sales, service and support for analytical instruments and OneSource lab services; HaSheizaf St 4, Ra'anana 4366411, +972 3655 8777 - live perkinelmer.com office-location pages</t>
        </is>
      </c>
      <c r="G103" t="inlineStr">
        <is>
          <t>https://www.perkinelmer.com</t>
        </is>
      </c>
      <c r="H103" t="inlineStr">
        <is>
          <t>1-700-500-512</t>
        </is>
      </c>
      <c r="I103" t="inlineStr">
        <is>
          <t>cc.israel@perkinelmer.com</t>
        </is>
      </c>
      <c r="J103" t="inlineStr">
        <is>
          <t>4 HaSheizaf St., Ra'anana</t>
        </is>
      </c>
      <c r="K103" t="inlineStr"/>
      <c r="L103" t="n">
        <v>2026</v>
      </c>
      <c r="M103" t="inlineStr">
        <is>
          <t>עדכני</t>
        </is>
      </c>
      <c r="N103" t="inlineStr">
        <is>
          <t>prior_research</t>
        </is>
      </c>
      <c r="P103" t="inlineStr">
        <is>
          <t>https://www.perkinelmer.com/node/3901</t>
        </is>
      </c>
    </row>
    <row r="104">
      <c r="A104" t="n">
        <v>985</v>
      </c>
      <c r="B104" t="inlineStr">
        <is>
          <t>PerkinElmer</t>
        </is>
      </c>
      <c r="C104" t="inlineStr">
        <is>
          <t>ISI Israel Scientific Instruments Ltd.</t>
        </is>
      </c>
      <c r="D104" t="inlineStr"/>
      <c r="E104" t="inlineStr">
        <is>
          <t>מפיץ</t>
        </is>
      </c>
      <c r="F104" t="inlineStr">
        <is>
          <t>food testing / food quality products, as listed on PerkinElmer's site; Shacham St 32, Petach Tikva, +972 3-9232202 (site given as isil.co.il)</t>
        </is>
      </c>
      <c r="G104" t="inlineStr">
        <is>
          <t>https://www.isil.co.il</t>
        </is>
      </c>
      <c r="H104" t="inlineStr">
        <is>
          <t>+972-3-9232202</t>
        </is>
      </c>
      <c r="I104" t="inlineStr">
        <is>
          <t>info@isil.co.il</t>
        </is>
      </c>
      <c r="J104" t="inlineStr">
        <is>
          <t>32 Shacham St., P.O. Box 7790, Petah Tikva 49170</t>
        </is>
      </c>
      <c r="K104" t="inlineStr"/>
      <c r="M104" t="inlineStr">
        <is>
          <t>ראיה ישנה</t>
        </is>
      </c>
      <c r="N104" t="inlineStr">
        <is>
          <t>prior_research</t>
        </is>
      </c>
      <c r="P104" t="inlineStr">
        <is>
          <t>https://www.perkinelmer.com/node/10826</t>
        </is>
      </c>
    </row>
    <row r="105">
      <c r="A105" t="n">
        <v>988</v>
      </c>
      <c r="B105" t="inlineStr">
        <is>
          <t>PHC Corporation of North America</t>
        </is>
      </c>
      <c r="C105" t="inlineStr">
        <is>
          <t>Eldan Electronic Instruments</t>
        </is>
      </c>
      <c r="D105" t="inlineStr"/>
      <c r="E105" t="inlineStr">
        <is>
          <t>מפיץ</t>
        </is>
      </c>
      <c r="F105" t="inlineStr">
        <is>
          <t>PHCbi CO2/multigas incubators and biomedical/pharmaceutical freezers - Eldan's live laboratory-instruments page lists PHCbi alongside Hettich and Martin Christ</t>
        </is>
      </c>
      <c r="G105" t="inlineStr">
        <is>
          <t>https://www.eldan.biz</t>
        </is>
      </c>
      <c r="H105" t="inlineStr">
        <is>
          <t>+972-3-937-1111</t>
        </is>
      </c>
      <c r="I105" t="inlineStr">
        <is>
          <t>info@eldan.biz</t>
        </is>
      </c>
      <c r="J105" t="inlineStr">
        <is>
          <t>6 Hashiloach Street, P.O. Box 7641, Petach Tikva 49170</t>
        </is>
      </c>
      <c r="K105" t="inlineStr"/>
      <c r="L105" t="n">
        <v>2026</v>
      </c>
      <c r="M105" t="inlineStr">
        <is>
          <t>עדכני</t>
        </is>
      </c>
      <c r="N105" t="inlineStr">
        <is>
          <t>prior_research</t>
        </is>
      </c>
      <c r="P105" t="inlineStr">
        <is>
          <t>https://www.eldan.biz/laboratory-instruments/</t>
        </is>
      </c>
    </row>
    <row r="106">
      <c r="A106" t="n">
        <v>988</v>
      </c>
      <c r="B106" t="inlineStr">
        <is>
          <t>PHC Corporation of North America</t>
        </is>
      </c>
      <c r="C106" t="inlineStr">
        <is>
          <t>Lumitron Ltd.</t>
        </is>
      </c>
      <c r="D106" t="inlineStr">
        <is>
          <t>לומיטרון</t>
        </is>
      </c>
      <c r="E106" t="inlineStr">
        <is>
          <t>מפיץ</t>
        </is>
      </c>
      <c r="F106" t="inlineStr">
        <is>
          <t>PHCbi listed on Lumitron's 'Our brands' page (earlier record); this session 'PHCBI' appears only as a brand tag on Lumitron's live CO2-incubator-shaker product pages, so the relationship is re-confirmed weakly (brand mention, no PHCbi product page seen)</t>
        </is>
      </c>
      <c r="G106" t="inlineStr">
        <is>
          <t>https://www.lumitron.co.il</t>
        </is>
      </c>
      <c r="H106" t="inlineStr">
        <is>
          <t>+972 52-525-6287</t>
        </is>
      </c>
      <c r="I106" t="inlineStr"/>
      <c r="J106" t="inlineStr">
        <is>
          <t>17 Hamiflasim St., Petah Tikva</t>
        </is>
      </c>
      <c r="K106" t="inlineStr"/>
      <c r="L106" t="n">
        <v>2026</v>
      </c>
      <c r="M106" t="inlineStr">
        <is>
          <t>עדכני</t>
        </is>
      </c>
      <c r="N106" t="inlineStr">
        <is>
          <t>prior_research</t>
        </is>
      </c>
      <c r="P106" t="inlineStr">
        <is>
          <t>https://www.lumitron.co.il/our-brands-heb/?lang=en</t>
        </is>
      </c>
    </row>
    <row r="107">
      <c r="A107" t="n">
        <v>989</v>
      </c>
      <c r="B107" t="inlineStr">
        <is>
          <t>PHCBI</t>
        </is>
      </c>
      <c r="C107" t="inlineStr">
        <is>
          <t>Eldan Electronic Instruments</t>
        </is>
      </c>
      <c r="D107" t="inlineStr"/>
      <c r="E107" t="inlineStr">
        <is>
          <t>מפיץ</t>
        </is>
      </c>
      <c r="F107" t="inlineStr">
        <is>
          <t>PHCbi CO2/multigas incubators and biomedical/pharmaceutical freezers - Eldan's live laboratory-instruments page lists PHCbi alongside Hettich and Martin Christ</t>
        </is>
      </c>
      <c r="G107" t="inlineStr">
        <is>
          <t>https://www.eldan.biz</t>
        </is>
      </c>
      <c r="H107" t="inlineStr">
        <is>
          <t>+972-3-937-1111</t>
        </is>
      </c>
      <c r="I107" t="inlineStr">
        <is>
          <t>info@eldan.biz</t>
        </is>
      </c>
      <c r="J107" t="inlineStr">
        <is>
          <t>6 Hashiloach Street, P.O. Box 7641, Petach Tikva 49170</t>
        </is>
      </c>
      <c r="K107" t="inlineStr"/>
      <c r="L107" t="n">
        <v>2026</v>
      </c>
      <c r="M107" t="inlineStr">
        <is>
          <t>עדכני</t>
        </is>
      </c>
      <c r="N107" t="inlineStr">
        <is>
          <t>prior_research</t>
        </is>
      </c>
      <c r="P107" t="inlineStr">
        <is>
          <t>https://www.eldan.biz/laboratory-instruments/</t>
        </is>
      </c>
    </row>
    <row r="108">
      <c r="A108" t="n">
        <v>989</v>
      </c>
      <c r="B108" t="inlineStr">
        <is>
          <t>PHCBI</t>
        </is>
      </c>
      <c r="C108" t="inlineStr">
        <is>
          <t>Lumitron Ltd.</t>
        </is>
      </c>
      <c r="D108" t="inlineStr">
        <is>
          <t>לומיטרון</t>
        </is>
      </c>
      <c r="E108" t="inlineStr">
        <is>
          <t>מפיץ</t>
        </is>
      </c>
      <c r="F108" t="inlineStr">
        <is>
          <t>PHCbi listed on Lumitron's 'Our brands' page (earlier record); this session 'PHCBI' appears only as a brand tag on Lumitron's live CO2-incubator-shaker product pages, so the relationship is re-confirmed weakly (brand mention, no PHCbi product page seen)</t>
        </is>
      </c>
      <c r="G108" t="inlineStr">
        <is>
          <t>https://www.lumitron.co.il</t>
        </is>
      </c>
      <c r="H108" t="inlineStr">
        <is>
          <t>+972 52-525-6287</t>
        </is>
      </c>
      <c r="I108" t="inlineStr"/>
      <c r="J108" t="inlineStr">
        <is>
          <t>17 Hamiflasim St., Petah Tikva</t>
        </is>
      </c>
      <c r="K108" t="inlineStr"/>
      <c r="L108" t="n">
        <v>2026</v>
      </c>
      <c r="M108" t="inlineStr">
        <is>
          <t>עדכני</t>
        </is>
      </c>
      <c r="N108" t="inlineStr">
        <is>
          <t>prior_research</t>
        </is>
      </c>
      <c r="P108" t="inlineStr">
        <is>
          <t>https://www.lumitron.co.il/our-brands-heb/?lang=en</t>
        </is>
      </c>
    </row>
    <row r="109">
      <c r="A109" t="n">
        <v>1029</v>
      </c>
      <c r="B109" t="inlineStr">
        <is>
          <t>Promega</t>
        </is>
      </c>
      <c r="C109" t="inlineStr">
        <is>
          <t>IM Beit HaEmek (Beit HaEmek Industries)</t>
        </is>
      </c>
      <c r="D109" t="inlineStr">
        <is>
          <t>תעשיות בית העמק</t>
        </is>
      </c>
      <c r="E109" t="inlineStr">
        <is>
          <t>מפיץ</t>
        </is>
      </c>
      <c r="F109" t="inlineStr">
        <is>
          <t>Promega distributor for Israel - Kibbutz Beit Ha'Emek 2511500, bemek.co.il, per Promega's live 'Contact Promega' distributor list; IM Beit HaEmek's own site names Promega among officially distributed brands (prior round)</t>
        </is>
      </c>
      <c r="G109" t="inlineStr">
        <is>
          <t>https://www.bemek.co.il</t>
        </is>
      </c>
      <c r="H109" t="inlineStr">
        <is>
          <t>+972 4-868-9015</t>
        </is>
      </c>
      <c r="I109" t="inlineStr">
        <is>
          <t>info@bemek.co.il</t>
        </is>
      </c>
      <c r="J109" t="inlineStr">
        <is>
          <t>Kibbutz Beit HaEmek</t>
        </is>
      </c>
      <c r="K109" t="inlineStr">
        <is>
          <t>https://www.bemek.co.il/about-us/</t>
        </is>
      </c>
      <c r="L109" t="n">
        <v>2026</v>
      </c>
      <c r="M109" t="inlineStr">
        <is>
          <t>עדכני</t>
        </is>
      </c>
      <c r="N109" t="inlineStr">
        <is>
          <t>prior_research</t>
        </is>
      </c>
      <c r="P109" t="inlineStr">
        <is>
          <t>https://www.promega.com/support/contact-promega/</t>
        </is>
      </c>
    </row>
    <row r="110">
      <c r="A110" t="n">
        <v>1048</v>
      </c>
      <c r="B110" t="inlineStr">
        <is>
          <t>Qiagen</t>
        </is>
      </c>
      <c r="C110" t="inlineStr">
        <is>
          <t>Ilex Medical Ltd.</t>
        </is>
      </c>
      <c r="D110" t="inlineStr"/>
      <c r="E110" t="inlineStr">
        <is>
          <t>מפיץ</t>
        </is>
      </c>
      <c r="F110"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10" t="inlineStr">
        <is>
          <t>https://www.ilexmedical.com</t>
        </is>
      </c>
      <c r="H110" t="inlineStr">
        <is>
          <t>+972-3-9385500</t>
        </is>
      </c>
      <c r="I110" t="inlineStr"/>
      <c r="J110" t="inlineStr">
        <is>
          <t>7 HaTnufa St., Petah Tikva</t>
        </is>
      </c>
      <c r="K110" t="inlineStr"/>
      <c r="L110" t="n">
        <v>2026</v>
      </c>
      <c r="M110" t="inlineStr">
        <is>
          <t>עדכני</t>
        </is>
      </c>
      <c r="N110" t="inlineStr">
        <is>
          <t>prior_research</t>
        </is>
      </c>
      <c r="P110" t="inlineStr">
        <is>
          <t>https://www.ilexmedical.com/catalog_products/qpcr-dpcr/</t>
        </is>
      </c>
    </row>
    <row r="111">
      <c r="A111" t="n">
        <v>1048</v>
      </c>
      <c r="B111" t="inlineStr">
        <is>
          <t>Qiagen</t>
        </is>
      </c>
      <c r="C111" t="inlineStr">
        <is>
          <t>Eldan Electronic Instruments (Neopharm group)</t>
        </is>
      </c>
      <c r="D111" t="inlineStr"/>
      <c r="E111" t="inlineStr">
        <is>
          <t>מפיץ</t>
        </is>
      </c>
      <c r="F111" t="inlineStr">
        <is>
          <t>listed QIAGEN among the manufacturers it represents in Israel (life-science research) on a 2014 page and showed QIAGEN products at ISM/IIS meetings in 2015-2016; current status unconfirmed</t>
        </is>
      </c>
      <c r="G111" t="inlineStr">
        <is>
          <t>https://eldan.biz</t>
        </is>
      </c>
      <c r="H111" t="inlineStr">
        <is>
          <t>+972-3-937-1111</t>
        </is>
      </c>
      <c r="I111" t="inlineStr">
        <is>
          <t>info@eldan.biz</t>
        </is>
      </c>
      <c r="J111" t="inlineStr">
        <is>
          <t>6 Hashiloach Street, P.O. Box 7641, Petach Tikva 49170</t>
        </is>
      </c>
      <c r="K111" t="inlineStr"/>
      <c r="L111" t="n">
        <v>2014</v>
      </c>
      <c r="M111" t="inlineStr">
        <is>
          <t>ראיה ישנה</t>
        </is>
      </c>
      <c r="N111" t="inlineStr">
        <is>
          <t>prior_research</t>
        </is>
      </c>
      <c r="P111" t="inlineStr">
        <is>
          <t>https://eldan.biz/?p=1052</t>
        </is>
      </c>
    </row>
    <row r="112">
      <c r="A112" t="n">
        <v>1048</v>
      </c>
      <c r="B112" t="inlineStr">
        <is>
          <t>Qiagen</t>
        </is>
      </c>
      <c r="C112" t="inlineStr">
        <is>
          <t>Lifegene Ltd.</t>
        </is>
      </c>
      <c r="D112" t="inlineStr">
        <is>
          <t>לייפג'ין</t>
        </is>
      </c>
      <c r="E112" t="inlineStr">
        <is>
          <t>מפיץ</t>
        </is>
      </c>
      <c r="F112" t="inlineStr">
        <is>
          <t>https://www.lifegene.co.il</t>
        </is>
      </c>
      <c r="G112" t="inlineStr">
        <is>
          <t>QIAGEN enzymes / OEM reagents sold through the Lifegene catalogue (not the QIAGEN instrument line)</t>
        </is>
      </c>
      <c r="H112" t="inlineStr">
        <is>
          <t>+972 8-644-4314</t>
        </is>
      </c>
      <c r="I112" t="inlineStr">
        <is>
          <t>info@lifegene.co.il</t>
        </is>
      </c>
      <c r="J112" t="inlineStr">
        <is>
          <t>4 Ha'maayan St., Modi'in 7171101 (directory lists Modi'in; other sources say Mevo Horon – verify)</t>
        </is>
      </c>
      <c r="K112" t="inlineStr"/>
      <c r="M112" t="inlineStr">
        <is>
          <t>ראיה ישנה</t>
        </is>
      </c>
      <c r="N112" t="inlineStr">
        <is>
          <t>prior_research</t>
        </is>
      </c>
      <c r="P112" t="inlineStr">
        <is>
          <t>https://www.lifegene.co.il/page_30153</t>
        </is>
      </c>
    </row>
    <row r="113">
      <c r="A113" t="n">
        <v>1060</v>
      </c>
      <c r="B113" t="inlineStr">
        <is>
          <t>R&amp;D Systems</t>
        </is>
      </c>
      <c r="C113" t="inlineStr">
        <is>
          <t>Getter Bio-Med (Getter Group)</t>
        </is>
      </c>
      <c r="D113" t="inlineStr">
        <is>
          <t>גטר ביו-מד</t>
        </is>
      </c>
      <c r="E113" t="inlineStr">
        <is>
          <t>מפיץ</t>
        </is>
      </c>
      <c r="F113" t="inlineStr">
        <is>
          <t>Lunaphore (a Bio-Techne brand) spatial-biology platforms – Getter describes itself as the official Israeli representative (LinkedIn)</t>
        </is>
      </c>
      <c r="G113" t="inlineStr">
        <is>
          <t>https://www.getter.co.il</t>
        </is>
      </c>
      <c r="H113" t="inlineStr">
        <is>
          <t>+972 3-576-1555 (Getter Group switchboard)</t>
        </is>
      </c>
      <c r="I113" t="inlineStr"/>
      <c r="J113" t="inlineStr">
        <is>
          <t>7 Shimshon St., Petah Tikva 4912502</t>
        </is>
      </c>
      <c r="K113" t="inlineStr"/>
      <c r="M113" t="inlineStr">
        <is>
          <t>ראיה ישנה</t>
        </is>
      </c>
      <c r="N113" t="inlineStr">
        <is>
          <t>prior_research</t>
        </is>
      </c>
      <c r="P113" t="inlineStr">
        <is>
          <t>https://www.getter.co.il/about-en/</t>
        </is>
      </c>
    </row>
    <row r="114">
      <c r="A114" t="n">
        <v>1060</v>
      </c>
      <c r="B114" t="inlineStr">
        <is>
          <t>R&amp;D Systems</t>
        </is>
      </c>
      <c r="C114" t="inlineStr">
        <is>
          <t>Biotest</t>
        </is>
      </c>
      <c r="D114" t="inlineStr"/>
      <c r="E114" t="inlineStr">
        <is>
          <t>מפיץ</t>
        </is>
      </c>
      <c r="F114" t="inlineStr">
        <is>
          <t>Israeli distributor listed on Bio-Techne's Novus Biologicals distributor directory: 6 Hasadna St., P.O. Box 8006, Kfar Saba 4442405 (phone/e-mail on page); coverage of other Bio-Techne brands (R&amp;D Systems, Tocris, ProteinSimple) not confirmed</t>
        </is>
      </c>
      <c r="G114" t="inlineStr"/>
      <c r="H114" t="inlineStr"/>
      <c r="I114" t="inlineStr"/>
      <c r="J114" t="inlineStr"/>
      <c r="K114" t="inlineStr"/>
      <c r="L114" t="n">
        <v>2026</v>
      </c>
      <c r="M114" t="inlineStr">
        <is>
          <t>חדש</t>
        </is>
      </c>
      <c r="N114" t="inlineStr">
        <is>
          <t>prior_research</t>
        </is>
      </c>
      <c r="P114" t="inlineStr">
        <is>
          <t>https://www.bio-techne.com/distributors/novus</t>
        </is>
      </c>
    </row>
    <row r="115">
      <c r="A115" t="n">
        <v>1064</v>
      </c>
      <c r="B115" t="inlineStr">
        <is>
          <t>Rainin</t>
        </is>
      </c>
      <c r="C115" t="inlineStr">
        <is>
          <t>Agentek (1987) Ltd.</t>
        </is>
      </c>
      <c r="D115" t="inlineStr">
        <is>
          <t>אגנטק</t>
        </is>
      </c>
      <c r="E115" t="inlineStr">
        <is>
          <t>מפיץ</t>
        </is>
      </c>
      <c r="F115"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15" t="inlineStr">
        <is>
          <t>https://agentek.co.il</t>
        </is>
      </c>
      <c r="H115" t="inlineStr">
        <is>
          <t>+972 9-965-7000</t>
        </is>
      </c>
      <c r="I115" t="inlineStr"/>
      <c r="J115" t="inlineStr">
        <is>
          <t>Greenwork Yakum Business Park, Yakum 6097200</t>
        </is>
      </c>
      <c r="K115" t="inlineStr">
        <is>
          <t>https://agentek.co.il/contact/</t>
        </is>
      </c>
      <c r="L115" t="n">
        <v>2026</v>
      </c>
      <c r="M115" t="inlineStr">
        <is>
          <t>עדכני</t>
        </is>
      </c>
      <c r="N115" t="inlineStr">
        <is>
          <t>prior_research</t>
        </is>
      </c>
      <c r="P115" t="inlineStr">
        <is>
          <t>https://agentek.co.il/representative/mettler-toledo/</t>
        </is>
      </c>
    </row>
    <row r="116">
      <c r="A116" t="n">
        <v>1064</v>
      </c>
      <c r="B116" t="inlineStr">
        <is>
          <t>Rainin</t>
        </is>
      </c>
      <c r="C116" t="inlineStr">
        <is>
          <t>Modcon Systems Ltd.</t>
        </is>
      </c>
      <c r="D116" t="inlineStr"/>
      <c r="E116" t="inlineStr">
        <is>
          <t>מפיץ</t>
        </is>
      </c>
      <c r="F116" t="inlineStr">
        <is>
          <t>process analytics (Ingold sensors/transmitters); Akko, +972 4 9553955</t>
        </is>
      </c>
      <c r="G116" t="inlineStr">
        <is>
          <t>https://modcon-systems.com</t>
        </is>
      </c>
      <c r="H116" t="inlineStr">
        <is>
          <t>+972-4-9553955</t>
        </is>
      </c>
      <c r="I116" t="inlineStr"/>
      <c r="J116" t="inlineStr">
        <is>
          <t>Modcon House, M. Boronshtein St., South Akko Industrial Park, Akko 24222</t>
        </is>
      </c>
      <c r="K116" t="inlineStr"/>
      <c r="M116" t="inlineStr">
        <is>
          <t>ראיה ישנה</t>
        </is>
      </c>
      <c r="N116" t="inlineStr">
        <is>
          <t>prior_research</t>
        </is>
      </c>
      <c r="P116" t="inlineStr">
        <is>
          <t>https://www.mt.com/il/en/home.html</t>
        </is>
      </c>
    </row>
    <row r="117">
      <c r="A117" t="n">
        <v>1064</v>
      </c>
      <c r="B117" t="inlineStr">
        <is>
          <t>Rainin</t>
        </is>
      </c>
      <c r="C117" t="inlineStr">
        <is>
          <t>Dinco Ltd.</t>
        </is>
      </c>
      <c r="D117" t="inlineStr"/>
      <c r="E117" t="inlineStr">
        <is>
          <t>מפיץ</t>
        </is>
      </c>
      <c r="F117" t="inlineStr">
        <is>
          <t>product inspection (Safeline X-ray etc.); Tirat Carmel, +972 4 813 15 15</t>
        </is>
      </c>
      <c r="G117" t="inlineStr"/>
      <c r="H117" t="inlineStr"/>
      <c r="I117" t="inlineStr"/>
      <c r="J117" t="inlineStr"/>
      <c r="K117" t="inlineStr"/>
      <c r="M117" t="inlineStr">
        <is>
          <t>ראיה ישנה</t>
        </is>
      </c>
      <c r="N117" t="inlineStr">
        <is>
          <t>prior_research</t>
        </is>
      </c>
      <c r="P117" t="inlineStr">
        <is>
          <t>https://www.mt.com/il/en/home.html</t>
        </is>
      </c>
    </row>
    <row r="118">
      <c r="A118" t="n">
        <v>1080</v>
      </c>
      <c r="B118" t="inlineStr">
        <is>
          <t>Retsch</t>
        </is>
      </c>
      <c r="C118" t="inlineStr">
        <is>
          <t>MRC Laboratory Equipment &amp; Instruments</t>
        </is>
      </c>
      <c r="D118" t="inlineStr">
        <is>
          <t>MRC</t>
        </is>
      </c>
      <c r="E118" t="inlineStr">
        <is>
          <t>מפיץ</t>
        </is>
      </c>
      <c r="F118"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18" t="inlineStr">
        <is>
          <t>https://www.mrclab.com</t>
        </is>
      </c>
      <c r="H118" t="inlineStr">
        <is>
          <t>+972 3-559-5252</t>
        </is>
      </c>
      <c r="I118" t="inlineStr"/>
      <c r="J118" t="inlineStr">
        <is>
          <t>3 Ha-Gavish St., Holon 5881702</t>
        </is>
      </c>
      <c r="K118" t="inlineStr"/>
      <c r="L118" t="n">
        <v>2026</v>
      </c>
      <c r="M118" t="inlineStr">
        <is>
          <t>עדכני</t>
        </is>
      </c>
      <c r="N118" t="inlineStr">
        <is>
          <t>prior_research</t>
        </is>
      </c>
      <c r="P118" t="inlineStr">
        <is>
          <t>https://www.mrclab.com/carbolite_drying_ovens_for_solvent</t>
        </is>
      </c>
    </row>
    <row r="119">
      <c r="A119" t="n">
        <v>1081</v>
      </c>
      <c r="B119" t="inlineStr">
        <is>
          <t>Revvity</t>
        </is>
      </c>
      <c r="C119" t="inlineStr">
        <is>
          <t>PerkinElmer Israel Ltd.</t>
        </is>
      </c>
      <c r="D119" t="inlineStr"/>
      <c r="E119" t="inlineStr">
        <is>
          <t>חברה-בת</t>
        </is>
      </c>
      <c r="F119" t="inlineStr">
        <is>
          <t>direct sales, service and support for analytical instruments and OneSource lab services; HaSheizaf St 4, Ra'anana 4366411, +972 3655 8777 - live perkinelmer.com office-location pages</t>
        </is>
      </c>
      <c r="G119" t="inlineStr">
        <is>
          <t>https://www.perkinelmer.com</t>
        </is>
      </c>
      <c r="H119" t="inlineStr">
        <is>
          <t>1-700-500-512</t>
        </is>
      </c>
      <c r="I119" t="inlineStr">
        <is>
          <t>cc.israel@perkinelmer.com</t>
        </is>
      </c>
      <c r="J119" t="inlineStr">
        <is>
          <t>4 HaSheizaf St., Ra'anana</t>
        </is>
      </c>
      <c r="K119" t="inlineStr"/>
      <c r="L119" t="n">
        <v>2026</v>
      </c>
      <c r="M119" t="inlineStr">
        <is>
          <t>עדכני</t>
        </is>
      </c>
      <c r="N119" t="inlineStr">
        <is>
          <t>prior_research</t>
        </is>
      </c>
      <c r="P119" t="inlineStr">
        <is>
          <t>https://www.perkinelmer.com/node/3901</t>
        </is>
      </c>
    </row>
    <row r="120">
      <c r="A120" t="n">
        <v>1081</v>
      </c>
      <c r="B120" t="inlineStr">
        <is>
          <t>Revvity</t>
        </is>
      </c>
      <c r="C120" t="inlineStr">
        <is>
          <t>ISI Israel Scientific Instruments Ltd.</t>
        </is>
      </c>
      <c r="D120" t="inlineStr"/>
      <c r="E120" t="inlineStr">
        <is>
          <t>מפיץ</t>
        </is>
      </c>
      <c r="F120" t="inlineStr">
        <is>
          <t>food testing / food quality products, as listed on PerkinElmer's site; Shacham St 32, Petach Tikva, +972 3-9232202 (site given as isil.co.il)</t>
        </is>
      </c>
      <c r="G120" t="inlineStr">
        <is>
          <t>https://www.isil.co.il</t>
        </is>
      </c>
      <c r="H120" t="inlineStr">
        <is>
          <t>+972-3-9232202</t>
        </is>
      </c>
      <c r="I120" t="inlineStr">
        <is>
          <t>info@isil.co.il</t>
        </is>
      </c>
      <c r="J120" t="inlineStr">
        <is>
          <t>32 Shacham St., P.O. Box 7790, Petah Tikva 49170</t>
        </is>
      </c>
      <c r="K120" t="inlineStr"/>
      <c r="M120" t="inlineStr">
        <is>
          <t>ראיה ישנה</t>
        </is>
      </c>
      <c r="N120" t="inlineStr">
        <is>
          <t>prior_research</t>
        </is>
      </c>
      <c r="P120" t="inlineStr">
        <is>
          <t>https://www.perkinelmer.com/node/10826</t>
        </is>
      </c>
    </row>
    <row r="121">
      <c r="A121" t="n">
        <v>1088</v>
      </c>
      <c r="B121" t="inlineStr">
        <is>
          <t>Roche</t>
        </is>
      </c>
      <c r="C121" t="inlineStr">
        <is>
          <t>Roche Pharmaceuticals (Israel) Ltd. - Diagnostics division ("Roche Diagnostics Israel")</t>
        </is>
      </c>
      <c r="D121" t="inlineStr"/>
      <c r="E121" t="inlineStr">
        <is>
          <t>חברה-בת</t>
        </is>
      </c>
      <c r="F121"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1" t="inlineStr">
        <is>
          <t>https://www.roche.co.il</t>
        </is>
      </c>
      <c r="H121" t="inlineStr">
        <is>
          <t>+972-9-9737777</t>
        </is>
      </c>
      <c r="I121" t="inlineStr"/>
      <c r="J121" t="inlineStr">
        <is>
          <t>6 Hacharash St., P.O. Box 3691, Hod Hasharon 4524079</t>
        </is>
      </c>
      <c r="K121" t="inlineStr"/>
      <c r="L121" t="n">
        <v>2026</v>
      </c>
      <c r="M121" t="inlineStr">
        <is>
          <t>עדכני</t>
        </is>
      </c>
      <c r="N121" t="inlineStr">
        <is>
          <t>prior_research</t>
        </is>
      </c>
      <c r="P121" t="inlineStr">
        <is>
          <t>https://www.roche.com/solutions/diagnostics/safety-officers</t>
        </is>
      </c>
    </row>
    <row r="122">
      <c r="A122" t="n">
        <v>1088</v>
      </c>
      <c r="B122" t="inlineStr">
        <is>
          <t>Roche</t>
        </is>
      </c>
      <c r="C122" t="inlineStr">
        <is>
          <t>Gamidor Diagnostics</t>
        </is>
      </c>
      <c r="D122" t="inlineStr">
        <is>
          <t>גאמידור דיאגנוסטיקה בע"מ</t>
        </is>
      </c>
      <c r="E122" t="inlineStr">
        <is>
          <t>מפיץ</t>
        </is>
      </c>
      <c r="F122" t="inlineStr">
        <is>
          <t>Roche Tissue Diagnostics only: Gamidor's live Tissue Diagnostics page offers IHC, molecular ISH and histochemical staining on automated slide-preparation instruments from VENTANA (Roche); not cobas/LightCycler</t>
        </is>
      </c>
      <c r="G122" t="inlineStr">
        <is>
          <t>https://gamidor.co.il</t>
        </is>
      </c>
      <c r="H122" t="inlineStr">
        <is>
          <t>+972-3-927-7277</t>
        </is>
      </c>
      <c r="I122" t="inlineStr">
        <is>
          <t>info@gamidor.co.il</t>
        </is>
      </c>
      <c r="J122" t="inlineStr">
        <is>
          <t>Shaham 32, Petach Tikva</t>
        </is>
      </c>
      <c r="K122" t="inlineStr"/>
      <c r="L122" t="n">
        <v>2026</v>
      </c>
      <c r="M122" t="inlineStr">
        <is>
          <t>עדכני</t>
        </is>
      </c>
      <c r="N122" t="inlineStr">
        <is>
          <t>prior_research</t>
        </is>
      </c>
      <c r="P122" t="inlineStr">
        <is>
          <t>https://gamidor.co.il/en/tissue-diagnostics-2/</t>
        </is>
      </c>
    </row>
    <row r="123">
      <c r="A123" t="n">
        <v>1088</v>
      </c>
      <c r="B123" t="inlineStr">
        <is>
          <t>Roche</t>
        </is>
      </c>
      <c r="C123" t="inlineStr">
        <is>
          <t>Dyn Diagnostics</t>
        </is>
      </c>
      <c r="D123" t="inlineStr"/>
      <c r="E123" t="inlineStr">
        <is>
          <t>מפיץ</t>
        </is>
      </c>
      <c r="F123" t="inlineStr">
        <is>
          <t>Roche Diabetes Care only: Dyn's live Home Care page lists ACCU-CHEK among its brands and describes its partnership with Roche Diabetes Care (Germany); CoaguChek INR self-testing also mentioned; not laboratory analyzers</t>
        </is>
      </c>
      <c r="G123" t="inlineStr">
        <is>
          <t>https://dyn.co.il</t>
        </is>
      </c>
      <c r="H123" t="inlineStr"/>
      <c r="I123" t="inlineStr"/>
      <c r="J123" t="inlineStr"/>
      <c r="K123" t="inlineStr"/>
      <c r="L123" t="n">
        <v>2026</v>
      </c>
      <c r="M123" t="inlineStr">
        <is>
          <t>עדכני</t>
        </is>
      </c>
      <c r="N123" t="inlineStr">
        <is>
          <t>prior_research</t>
        </is>
      </c>
      <c r="P123" t="inlineStr">
        <is>
          <t>https://dyn.co.il/home-care-en</t>
        </is>
      </c>
    </row>
    <row r="124">
      <c r="A124" t="n">
        <v>1089</v>
      </c>
      <c r="B124" t="inlineStr">
        <is>
          <t>Roche Diagnostics Corp.</t>
        </is>
      </c>
      <c r="C124" t="inlineStr">
        <is>
          <t>Roche Pharmaceuticals (Israel) Ltd. - Diagnostics division ("Roche Diagnostics Israel")</t>
        </is>
      </c>
      <c r="D124" t="inlineStr"/>
      <c r="E124" t="inlineStr">
        <is>
          <t>חברה-בת</t>
        </is>
      </c>
      <c r="F124"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4" t="inlineStr">
        <is>
          <t>https://www.roche.co.il</t>
        </is>
      </c>
      <c r="H124" t="inlineStr">
        <is>
          <t>+972-9-9737777</t>
        </is>
      </c>
      <c r="I124" t="inlineStr"/>
      <c r="J124" t="inlineStr">
        <is>
          <t>6 Hacharash St., P.O. Box 3691, Hod Hasharon 4524079</t>
        </is>
      </c>
      <c r="K124" t="inlineStr"/>
      <c r="L124" t="n">
        <v>2026</v>
      </c>
      <c r="M124" t="inlineStr">
        <is>
          <t>עדכני</t>
        </is>
      </c>
      <c r="N124" t="inlineStr">
        <is>
          <t>prior_research</t>
        </is>
      </c>
      <c r="P124" t="inlineStr">
        <is>
          <t>https://www.roche.com/solutions/diagnostics/safety-officers</t>
        </is>
      </c>
    </row>
    <row r="125">
      <c r="A125" t="n">
        <v>1089</v>
      </c>
      <c r="B125" t="inlineStr">
        <is>
          <t>Roche Diagnostics Corp.</t>
        </is>
      </c>
      <c r="C125" t="inlineStr">
        <is>
          <t>Gamidor Diagnostics</t>
        </is>
      </c>
      <c r="D125" t="inlineStr">
        <is>
          <t>גאמידור דיאגנוסטיקה בע"מ</t>
        </is>
      </c>
      <c r="E125" t="inlineStr">
        <is>
          <t>מפיץ</t>
        </is>
      </c>
      <c r="F125" t="inlineStr">
        <is>
          <t>Roche Tissue Diagnostics only: Gamidor's live Tissue Diagnostics page offers IHC, molecular ISH and histochemical staining on automated slide-preparation instruments from VENTANA (Roche); not cobas/LightCycler</t>
        </is>
      </c>
      <c r="G125" t="inlineStr">
        <is>
          <t>https://gamidor.co.il</t>
        </is>
      </c>
      <c r="H125" t="inlineStr">
        <is>
          <t>+972-3-927-7277</t>
        </is>
      </c>
      <c r="I125" t="inlineStr">
        <is>
          <t>info@gamidor.co.il</t>
        </is>
      </c>
      <c r="J125" t="inlineStr">
        <is>
          <t>Shaham 32, Petach Tikva</t>
        </is>
      </c>
      <c r="K125" t="inlineStr"/>
      <c r="L125" t="n">
        <v>2026</v>
      </c>
      <c r="M125" t="inlineStr">
        <is>
          <t>עדכני</t>
        </is>
      </c>
      <c r="N125" t="inlineStr">
        <is>
          <t>prior_research</t>
        </is>
      </c>
      <c r="P125" t="inlineStr">
        <is>
          <t>https://gamidor.co.il/en/tissue-diagnostics-2/</t>
        </is>
      </c>
    </row>
    <row r="126">
      <c r="A126" t="n">
        <v>1089</v>
      </c>
      <c r="B126" t="inlineStr">
        <is>
          <t>Roche Diagnostics Corp.</t>
        </is>
      </c>
      <c r="C126" t="inlineStr">
        <is>
          <t>Dyn Diagnostics</t>
        </is>
      </c>
      <c r="D126" t="inlineStr"/>
      <c r="E126" t="inlineStr">
        <is>
          <t>מפיץ</t>
        </is>
      </c>
      <c r="F126" t="inlineStr">
        <is>
          <t>Roche Diabetes Care only: Dyn's live Home Care page lists ACCU-CHEK among its brands and describes its partnership with Roche Diabetes Care (Germany); CoaguChek INR self-testing also mentioned; not laboratory analyzers</t>
        </is>
      </c>
      <c r="G126" t="inlineStr">
        <is>
          <t>https://dyn.co.il</t>
        </is>
      </c>
      <c r="H126" t="inlineStr"/>
      <c r="I126" t="inlineStr"/>
      <c r="J126" t="inlineStr"/>
      <c r="K126" t="inlineStr"/>
      <c r="L126" t="n">
        <v>2026</v>
      </c>
      <c r="M126" t="inlineStr">
        <is>
          <t>עדכני</t>
        </is>
      </c>
      <c r="N126" t="inlineStr">
        <is>
          <t>prior_research</t>
        </is>
      </c>
      <c r="P126" t="inlineStr">
        <is>
          <t>https://dyn.co.il/home-care-en</t>
        </is>
      </c>
    </row>
    <row r="127">
      <c r="A127" t="n">
        <v>1112</v>
      </c>
      <c r="B127" t="inlineStr">
        <is>
          <t>Santa Cruz Biotechnology</t>
        </is>
      </c>
      <c r="C127" t="inlineStr">
        <is>
          <t>Enco Scientific Services Ltd. (Enco Diagnostics)</t>
        </is>
      </c>
      <c r="D127" t="inlineStr">
        <is>
          <t>אנקו</t>
        </is>
      </c>
      <c r="E127" t="inlineStr">
        <is>
          <t>מפיץ</t>
        </is>
      </c>
      <c r="F127" t="inlineStr">
        <is>
          <t>Enco's About page lists the brand among the international companies it distributes in Israel (antibodies/biochemicals)</t>
        </is>
      </c>
      <c r="G127" t="inlineStr">
        <is>
          <t>https://www.enco.co.il</t>
        </is>
      </c>
      <c r="L127" t="n">
        <v>2026</v>
      </c>
      <c r="M127" t="inlineStr">
        <is>
          <t>עדכני</t>
        </is>
      </c>
      <c r="N127" t="inlineStr">
        <is>
          <t>manufacturer_or_press</t>
        </is>
      </c>
      <c r="P127" t="inlineStr">
        <is>
          <t>https://www.enco.co.il/about.php</t>
        </is>
      </c>
    </row>
    <row r="128">
      <c r="A128" t="n">
        <v>1113</v>
      </c>
      <c r="B128" t="inlineStr">
        <is>
          <t>Sarstedt</t>
        </is>
      </c>
      <c r="C128" t="inlineStr">
        <is>
          <t>Tamar Laboratory Supplies Ltd.</t>
        </is>
      </c>
      <c r="D128" t="inlineStr">
        <is>
          <t>תמר ציוד מעבדתי</t>
        </is>
      </c>
      <c r="E128" t="inlineStr">
        <is>
          <t>מפיץ</t>
        </is>
      </c>
      <c r="F128"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28" t="inlineStr">
        <is>
          <t>https://www.tamar.co.il</t>
        </is>
      </c>
      <c r="H128" t="inlineStr">
        <is>
          <t>+972 2-533-6070 (also 02-579-9777)</t>
        </is>
      </c>
      <c r="I128" t="inlineStr"/>
      <c r="J128" t="inlineStr">
        <is>
          <t>HaAla St., Mevaseret Zion 90805</t>
        </is>
      </c>
      <c r="K128" t="inlineStr"/>
      <c r="L128" t="n">
        <v>2026</v>
      </c>
      <c r="M128" t="inlineStr">
        <is>
          <t>עדכני</t>
        </is>
      </c>
      <c r="N128" t="inlineStr">
        <is>
          <t>prior_research</t>
        </is>
      </c>
      <c r="P128" t="inlineStr">
        <is>
          <t>https://www.tamar.co.il/represented-companies/</t>
        </is>
      </c>
    </row>
    <row r="129">
      <c r="A129" t="n">
        <v>1114</v>
      </c>
      <c r="B129" t="inlineStr">
        <is>
          <t>Sartorius</t>
        </is>
      </c>
      <c r="C129" t="inlineStr">
        <is>
          <t>Sartorius Israel Ltd.</t>
        </is>
      </c>
      <c r="D129" t="inlineStr"/>
      <c r="E129" t="inlineStr">
        <is>
          <t>חברה-בת</t>
        </is>
      </c>
      <c r="F129" t="inlineStr">
        <is>
          <t>Sartorius' Israeli company at Kibbutz Beit Haemek 2511500 (ex-Biological Industries; cell-culture media production site opened 2021); local contact tel. +972-4-9960595, info.israel@sartorius.com per Sartorius' live local-contact page</t>
        </is>
      </c>
      <c r="G129" t="inlineStr">
        <is>
          <t>https://www.sartorius.com/en/contact-us/local-contact</t>
        </is>
      </c>
      <c r="H129" t="inlineStr">
        <is>
          <t>+972 4-996-0595</t>
        </is>
      </c>
      <c r="I129" t="inlineStr"/>
      <c r="J129" t="inlineStr">
        <is>
          <t>Kibbutz Beit Haemek 2511500</t>
        </is>
      </c>
      <c r="K129" t="inlineStr">
        <is>
          <t>https://www.sartorius.com/en/contact-us/local-contact</t>
        </is>
      </c>
      <c r="L129" t="n">
        <v>2026</v>
      </c>
      <c r="M129" t="inlineStr">
        <is>
          <t>עדכני</t>
        </is>
      </c>
      <c r="N129" t="inlineStr">
        <is>
          <t>prior_research</t>
        </is>
      </c>
      <c r="P129" t="inlineStr">
        <is>
          <t>https://www.sartorius.com/en/contact-us/local-contact</t>
        </is>
      </c>
    </row>
    <row r="130">
      <c r="A130" t="n">
        <v>1114</v>
      </c>
      <c r="B130" t="inlineStr">
        <is>
          <t>Sartorius</t>
        </is>
      </c>
      <c r="C130" t="inlineStr">
        <is>
          <t>Labotal Scientific Equipment</t>
        </is>
      </c>
      <c r="D130" t="inlineStr">
        <is>
          <t>לבוטל</t>
        </is>
      </c>
      <c r="E130" t="inlineStr">
        <is>
          <t>מפיץ</t>
        </is>
      </c>
      <c r="F130" t="inlineStr">
        <is>
          <t>self-described exclusive Sartorius representative in Israel for weighing (Cubis II balances, isoCAL) and lab products incl. pipettes - live Labotal guide and product pages</t>
        </is>
      </c>
      <c r="G130" t="inlineStr">
        <is>
          <t>https://labotal.co.il</t>
        </is>
      </c>
      <c r="H130" t="inlineStr">
        <is>
          <t>+972 2-579-9222</t>
        </is>
      </c>
      <c r="I130" t="inlineStr">
        <is>
          <t>Sales@labotal.co.il</t>
        </is>
      </c>
      <c r="J130" t="inlineStr">
        <is>
          <t>Hashalom Rd., Abu Ghosh 9084500 (mail: Mevaseret Zion)</t>
        </is>
      </c>
      <c r="K130" t="inlineStr">
        <is>
          <t>https://labotal.co.il/contact/</t>
        </is>
      </c>
      <c r="L130" t="n">
        <v>2026</v>
      </c>
      <c r="M130" t="inlineStr">
        <is>
          <t>עדכני</t>
        </is>
      </c>
      <c r="N130" t="inlineStr">
        <is>
          <t>prior_research</t>
        </is>
      </c>
      <c r="P130" t="inlineStr">
        <is>
          <t>https://labotal.co.il/המדריך-המקיף-לבחירת-מאזניים-אנליטיים/</t>
        </is>
      </c>
    </row>
    <row r="131">
      <c r="A131" t="n">
        <v>1210</v>
      </c>
      <c r="B131" t="inlineStr">
        <is>
          <t>STEMCELL Technologies</t>
        </is>
      </c>
      <c r="C131" t="inlineStr">
        <is>
          <t>Enco Scientific Services Ltd. (Enco Diagnostics)</t>
        </is>
      </c>
      <c r="D131" t="inlineStr">
        <is>
          <t>אנקו</t>
        </is>
      </c>
      <c r="E131" t="inlineStr">
        <is>
          <t>מפיץ</t>
        </is>
      </c>
      <c r="F131" t="inlineStr">
        <is>
          <t>Enco's About page lists 'Stem Cell' among distributed brands - most likely STEMCELL Technologies; to confirm</t>
        </is>
      </c>
      <c r="G131" t="inlineStr">
        <is>
          <t>https://www.enco.co.il</t>
        </is>
      </c>
      <c r="L131" t="n">
        <v>2026</v>
      </c>
      <c r="M131" t="inlineStr">
        <is>
          <t>עדכני</t>
        </is>
      </c>
      <c r="N131" t="inlineStr">
        <is>
          <t>manufacturer_or_press</t>
        </is>
      </c>
      <c r="O131" t="inlineStr">
        <is>
          <t>contained</t>
        </is>
      </c>
      <c r="P131" t="inlineStr">
        <is>
          <t>https://www.enco.co.il/about.php</t>
        </is>
      </c>
    </row>
    <row r="132">
      <c r="A132" t="n">
        <v>1219</v>
      </c>
      <c r="B132" t="inlineStr">
        <is>
          <t>Stuart (Cole-Parmer)</t>
        </is>
      </c>
      <c r="C132" t="inlineStr">
        <is>
          <t>Medent Scientific Instruments</t>
        </is>
      </c>
      <c r="D132" t="inlineStr">
        <is>
          <t>מדנט מכשור מדעי</t>
        </is>
      </c>
      <c r="E132" t="inlineStr">
        <is>
          <t>מפיץ</t>
        </is>
      </c>
      <c r="F13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2" t="inlineStr">
        <is>
          <t>https://www.medent.co.il</t>
        </is>
      </c>
      <c r="H132" t="inlineStr">
        <is>
          <t>+972 72-395-0508 (sales); +972 8-683-6306 (service)</t>
        </is>
      </c>
      <c r="I132" t="inlineStr">
        <is>
          <t>info@medent.co.il</t>
        </is>
      </c>
      <c r="J132" t="inlineStr">
        <is>
          <t>110 Mordei HaGetaot St., Beer Sheva 8420643</t>
        </is>
      </c>
      <c r="K132" t="inlineStr">
        <is>
          <t>https://www.medent.co.il/scientific.equipment/%D7%A6%D7%95%D7%A8-%D7%A7%D7%A9%D7%A8/</t>
        </is>
      </c>
      <c r="L132" t="n">
        <v>2026</v>
      </c>
      <c r="M132" t="inlineStr">
        <is>
          <t>עדכני</t>
        </is>
      </c>
      <c r="N132" t="inlineStr">
        <is>
          <t>prior_research</t>
        </is>
      </c>
      <c r="P132" t="inlineStr">
        <is>
          <t>https://medent.co.il/scientific.equipment/product/%D7%A1%D7%A4%D7%A7%D7%98%D7%A8%D7%95%D7%A4%D7%95%D7%98%D7%95%D7%9E%D7%98%D7%A8-uvvis-%D7%9E%D7%A2%D7%91%D7%93%D7%AA%D7%99-%D7%93%D7%92%D7%9D-6305-%D7%AA%D7%95%D7%A6%D7%A8%D7%AA-jenway/</t>
        </is>
      </c>
    </row>
    <row r="133">
      <c r="A133" t="n">
        <v>1237</v>
      </c>
      <c r="B133" t="inlineStr">
        <is>
          <t>Tecan</t>
        </is>
      </c>
      <c r="C133" t="inlineStr">
        <is>
          <t>Gamidor Diagnostics (1984) Ltd.</t>
        </is>
      </c>
      <c r="D133" t="inlineStr">
        <is>
          <t>גמידור דיאגנוסטיקה</t>
        </is>
      </c>
      <c r="E133" t="inlineStr">
        <is>
          <t>מפיץ</t>
        </is>
      </c>
      <c r="F133"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33" t="inlineStr">
        <is>
          <t>https://www.gamidor.co.il</t>
        </is>
      </c>
      <c r="H133" t="inlineStr">
        <is>
          <t>+972-3-927-7277</t>
        </is>
      </c>
      <c r="I133" t="inlineStr">
        <is>
          <t>info@gamidor.co.il</t>
        </is>
      </c>
      <c r="J133" t="inlineStr">
        <is>
          <t>Shaham 32, Petach Tikva</t>
        </is>
      </c>
      <c r="K133" t="inlineStr"/>
      <c r="L133" t="n">
        <v>2026</v>
      </c>
      <c r="M133" t="inlineStr">
        <is>
          <t>עדכני</t>
        </is>
      </c>
      <c r="N133" t="inlineStr">
        <is>
          <t>prior_research</t>
        </is>
      </c>
      <c r="P133" t="inlineStr">
        <is>
          <t>https://www.tecan.com/contact-us</t>
        </is>
      </c>
    </row>
    <row r="134">
      <c r="A134" t="n">
        <v>1238</v>
      </c>
      <c r="B134" t="inlineStr">
        <is>
          <t>Techne (Cole-Parmer)</t>
        </is>
      </c>
      <c r="C134" t="inlineStr">
        <is>
          <t>Medent Scientific Instruments</t>
        </is>
      </c>
      <c r="D134" t="inlineStr">
        <is>
          <t>מדנט מכשור מדעי</t>
        </is>
      </c>
      <c r="E134" t="inlineStr">
        <is>
          <t>מפיץ</t>
        </is>
      </c>
      <c r="F134"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4" t="inlineStr">
        <is>
          <t>https://www.medent.co.il</t>
        </is>
      </c>
      <c r="H134" t="inlineStr">
        <is>
          <t>+972 72-395-0508 (sales); +972 8-683-6306 (service)</t>
        </is>
      </c>
      <c r="I134" t="inlineStr">
        <is>
          <t>info@medent.co.il</t>
        </is>
      </c>
      <c r="J134" t="inlineStr">
        <is>
          <t>110 Mordei HaGetaot St., Beer Sheva 8420643</t>
        </is>
      </c>
      <c r="K134" t="inlineStr">
        <is>
          <t>https://www.medent.co.il/scientific.equipment/%D7%A6%D7%95%D7%A8-%D7%A7%D7%A9%D7%A8/</t>
        </is>
      </c>
      <c r="L134" t="n">
        <v>2026</v>
      </c>
      <c r="M134" t="inlineStr">
        <is>
          <t>עדכני</t>
        </is>
      </c>
      <c r="N134" t="inlineStr">
        <is>
          <t>prior_research</t>
        </is>
      </c>
      <c r="P134" t="inlineStr">
        <is>
          <t>https://medent.co.il/scientific.equipment/product/%D7%A1%D7%A4%D7%A7%D7%98%D7%A8%D7%95%D7%A4%D7%95%D7%98%D7%95%D7%9E%D7%98%D7%A8-uvvis-%D7%9E%D7%A2%D7%91%D7%93%D7%AA%D7%99-%D7%93%D7%92%D7%9D-6305-%D7%AA%D7%95%D7%A6%D7%A8%D7%AA-jenway/</t>
        </is>
      </c>
    </row>
    <row r="135">
      <c r="A135" t="n">
        <v>1255</v>
      </c>
      <c r="B135" t="inlineStr">
        <is>
          <t>Thermo Scientific</t>
        </is>
      </c>
      <c r="C135" t="inlineStr">
        <is>
          <t>Thermo Fisher Integrated Solutions Israel Ltd.</t>
        </is>
      </c>
      <c r="D135" t="inlineStr">
        <is>
          <t>תרמו פישר ישראל (רעננה)</t>
        </is>
      </c>
      <c r="E135" t="inlineStr">
        <is>
          <t>חברה-בת</t>
        </is>
      </c>
      <c r="F135" t="inlineStr">
        <is>
          <t>direct life-science sales &amp; field service organisation being built out 2025-26</t>
        </is>
      </c>
      <c r="G135" t="inlineStr">
        <is>
          <t>https://www.thermofisher.com</t>
        </is>
      </c>
      <c r="H135" t="inlineStr">
        <is>
          <t>+972 8-940-8618</t>
        </is>
      </c>
      <c r="I135" t="inlineStr"/>
      <c r="J135" t="inlineStr">
        <is>
          <t>5 Golda Meir St., Ness Ziona (also Airport City 1, Lod)</t>
        </is>
      </c>
      <c r="K135" t="inlineStr">
        <is>
          <t>https://www.thermofisher.com/il/en/home.html</t>
        </is>
      </c>
      <c r="M135" t="inlineStr"/>
      <c r="N135" t="inlineStr">
        <is>
          <t>prior_research</t>
        </is>
      </c>
      <c r="P135" t="inlineStr">
        <is>
          <t>https://www.thermofisher.com/il/en/home.html</t>
        </is>
      </c>
    </row>
    <row r="136">
      <c r="A136" t="n">
        <v>1255</v>
      </c>
      <c r="B136" t="inlineStr">
        <is>
          <t>Thermo Scientific</t>
        </is>
      </c>
      <c r="C136" t="inlineStr">
        <is>
          <t>Thermo Fisher Scientific Israel Ltd. (Kiryat Shmona)</t>
        </is>
      </c>
      <c r="D136" t="inlineStr">
        <is>
          <t>תרמו פישר קריית שמונה</t>
        </is>
      </c>
      <c r="E136" t="inlineStr">
        <is>
          <t>חברה-בת</t>
        </is>
      </c>
      <c r="F136" t="inlineStr">
        <is>
          <t>manufacturing / engineering site (ISO 9001/13485); not a sales channel</t>
        </is>
      </c>
      <c r="G136" t="inlineStr">
        <is>
          <t>https://www.thermofisher.com</t>
        </is>
      </c>
      <c r="H136" t="inlineStr">
        <is>
          <t>+972 8-940-8618</t>
        </is>
      </c>
      <c r="I136" t="inlineStr"/>
      <c r="J136" t="inlineStr">
        <is>
          <t>5 Golda Meir St., Ness Ziona (also Airport City 1, Lod)</t>
        </is>
      </c>
      <c r="K136" t="inlineStr">
        <is>
          <t>https://www.thermofisher.com/il/en/home.html</t>
        </is>
      </c>
      <c r="M136" t="inlineStr"/>
      <c r="N136" t="inlineStr">
        <is>
          <t>prior_research</t>
        </is>
      </c>
      <c r="P136" t="inlineStr"/>
    </row>
    <row r="137">
      <c r="A137" t="n">
        <v>1255</v>
      </c>
      <c r="B137" t="inlineStr">
        <is>
          <t>Thermo Scientific</t>
        </is>
      </c>
      <c r="C137" t="inlineStr">
        <is>
          <t>Rhenium Ltd.</t>
        </is>
      </c>
      <c r="D137" t="inlineStr">
        <is>
          <t>רניום</t>
        </is>
      </c>
      <c r="E137" t="inlineStr">
        <is>
          <t>מפיץ</t>
        </is>
      </c>
      <c r="F13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37" t="inlineStr">
        <is>
          <t>https://www.rhenium.co.il</t>
        </is>
      </c>
      <c r="H137" t="inlineStr">
        <is>
          <t>+972 8-955-8888</t>
        </is>
      </c>
      <c r="I137" t="inlineStr"/>
      <c r="J137" t="inlineStr">
        <is>
          <t>20 Hasatat St., P.O. Box 180, Modi'in 7171101</t>
        </is>
      </c>
      <c r="K137" t="inlineStr"/>
      <c r="L137" t="n">
        <v>2026</v>
      </c>
      <c r="M137" t="inlineStr">
        <is>
          <t>עדכני</t>
        </is>
      </c>
      <c r="N137" t="inlineStr">
        <is>
          <t>prior_research</t>
        </is>
      </c>
      <c r="P137" t="inlineStr">
        <is>
          <t>https://rhenium.co.il/products/bioproduction</t>
        </is>
      </c>
    </row>
    <row r="138">
      <c r="A138" t="n">
        <v>1255</v>
      </c>
      <c r="B138" t="inlineStr">
        <is>
          <t>Thermo Scientific</t>
        </is>
      </c>
      <c r="C138" t="inlineStr">
        <is>
          <t>Gamidor Diagnostics (1984) Ltd.</t>
        </is>
      </c>
      <c r="D138" t="inlineStr">
        <is>
          <t>גמידור דיאגנוסטיקה</t>
        </is>
      </c>
      <c r="E138" t="inlineStr">
        <is>
          <t>מפיץ</t>
        </is>
      </c>
      <c r="F13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38" t="inlineStr">
        <is>
          <t>https://www.gamidor.co.il</t>
        </is>
      </c>
      <c r="H138" t="inlineStr">
        <is>
          <t>+972-3-927-7277</t>
        </is>
      </c>
      <c r="I138" t="inlineStr">
        <is>
          <t>info@gamidor.co.il</t>
        </is>
      </c>
      <c r="J138" t="inlineStr">
        <is>
          <t>Shaham 32, Petach Tikva</t>
        </is>
      </c>
      <c r="K138" t="inlineStr"/>
      <c r="L138" t="n">
        <v>2026</v>
      </c>
      <c r="M138" t="inlineStr">
        <is>
          <t>עדכני</t>
        </is>
      </c>
      <c r="N138" t="inlineStr">
        <is>
          <t>prior_research</t>
        </is>
      </c>
      <c r="P138" t="inlineStr">
        <is>
          <t>https://gamidor.co.il/en/allergy/</t>
        </is>
      </c>
    </row>
    <row r="139">
      <c r="A139" t="n">
        <v>1255</v>
      </c>
      <c r="B139" t="inlineStr">
        <is>
          <t>Thermo Scientific</t>
        </is>
      </c>
      <c r="C139" t="inlineStr">
        <is>
          <t>Bargal Analytical Instruments Ltd.</t>
        </is>
      </c>
      <c r="D139" t="inlineStr">
        <is>
          <t>ברגל</t>
        </is>
      </c>
      <c r="E139" t="inlineStr">
        <is>
          <t>מפיץ</t>
        </is>
      </c>
      <c r="F13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39" t="inlineStr">
        <is>
          <t>https://www.bargal.co.il</t>
        </is>
      </c>
      <c r="H139" t="inlineStr">
        <is>
          <t>+972-3-979-6533</t>
        </is>
      </c>
      <c r="I139" t="inlineStr">
        <is>
          <t>sales@bargal.co.il</t>
        </is>
      </c>
      <c r="J139" t="inlineStr">
        <is>
          <t>10 Shaked Street, Modi'in Industrial Park, Shoham 6085102</t>
        </is>
      </c>
      <c r="K139" t="inlineStr"/>
      <c r="L139" t="n">
        <v>2026</v>
      </c>
      <c r="M139" t="inlineStr">
        <is>
          <t>עדכני</t>
        </is>
      </c>
      <c r="N139" t="inlineStr">
        <is>
          <t>prior_research</t>
        </is>
      </c>
      <c r="P139" t="inlineStr">
        <is>
          <t>https://bargal.co.il/product/q-exactive-uhmr-hybrid-quadrupole-orbitrap-ms-system/</t>
        </is>
      </c>
    </row>
    <row r="140">
      <c r="A140" t="n">
        <v>1255</v>
      </c>
      <c r="B140" t="inlineStr">
        <is>
          <t>Thermo Scientific</t>
        </is>
      </c>
      <c r="C140" t="inlineStr">
        <is>
          <t>Danyel Biotech Ltd.</t>
        </is>
      </c>
      <c r="D140" t="inlineStr">
        <is>
          <t>דניאל ביוטק</t>
        </is>
      </c>
      <c r="E140" t="inlineStr">
        <is>
          <t>מפיץ</t>
        </is>
      </c>
      <c r="F140" t="inlineStr">
        <is>
          <t>Olink proteomics (a Thermo Fisher business): live Olink brand page on Danyel's site</t>
        </is>
      </c>
      <c r="G140" t="inlineStr">
        <is>
          <t>https://www.danyel.co.il</t>
        </is>
      </c>
      <c r="H140" t="inlineStr">
        <is>
          <t>1-800-711-911 (also +972 8-936-6066)</t>
        </is>
      </c>
      <c r="I140" t="inlineStr"/>
      <c r="J140" t="inlineStr">
        <is>
          <t>8 Hamada St., Science Park, Rehovot 7670308</t>
        </is>
      </c>
      <c r="K140" t="inlineStr">
        <is>
          <t>https://www.danyel.co.il/contact-us/</t>
        </is>
      </c>
      <c r="L140" t="n">
        <v>2026</v>
      </c>
      <c r="M140" t="inlineStr">
        <is>
          <t>עדכני</t>
        </is>
      </c>
      <c r="N140" t="inlineStr">
        <is>
          <t>prior_research</t>
        </is>
      </c>
      <c r="P140" t="inlineStr">
        <is>
          <t>https://www.danyel.co.il/olink/</t>
        </is>
      </c>
    </row>
    <row r="141">
      <c r="A141" t="n">
        <v>1255</v>
      </c>
      <c r="B141" t="inlineStr">
        <is>
          <t>Thermo Scientific</t>
        </is>
      </c>
      <c r="C141" t="inlineStr">
        <is>
          <t>Thermo Fisher Scientific – EM service location, Airport City</t>
        </is>
      </c>
      <c r="D141" t="inlineStr"/>
      <c r="E141" t="inlineStr">
        <is>
          <t>שירות</t>
        </is>
      </c>
      <c r="F141" t="inlineStr">
        <is>
          <t>Thermo Fisher's own Israeli sales/support organisation; thermofisher.com's Phenom desktop-SEM distributor page names 'Thermo Fisher Integrated Solutions' as the Israel contact (live page); a Thermo Fisher careers page lists jobs in Israel</t>
        </is>
      </c>
      <c r="G141" t="inlineStr">
        <is>
          <t>https://www.thermofisher.com</t>
        </is>
      </c>
      <c r="H141" t="inlineStr">
        <is>
          <t>+972 8-940-8618</t>
        </is>
      </c>
      <c r="I141" t="inlineStr"/>
      <c r="J141" t="inlineStr">
        <is>
          <t>5 Golda Meir St., Ness Ziona (also Airport City 1, Lod)</t>
        </is>
      </c>
      <c r="K141" t="inlineStr">
        <is>
          <t>https://www.thermofisher.com/il/en/home.html</t>
        </is>
      </c>
      <c r="L141" t="n">
        <v>2026</v>
      </c>
      <c r="M141" t="inlineStr">
        <is>
          <t>ראיה ישנה</t>
        </is>
      </c>
      <c r="N141" t="inlineStr">
        <is>
          <t>prior_research</t>
        </is>
      </c>
      <c r="P141" t="inlineStr">
        <is>
          <t>https://www.thermofisher.com/us/en/home/electron-microscopy/products/desktop-scanning-electron-microscopes/phenom-distributors.html</t>
        </is>
      </c>
    </row>
    <row r="142">
      <c r="A142" t="n">
        <v>1255</v>
      </c>
      <c r="B142" t="inlineStr">
        <is>
          <t>Thermo Scientific</t>
        </is>
      </c>
      <c r="C142" t="inlineStr">
        <is>
          <t>Iner-Tech Ltd. (Rehovot)</t>
        </is>
      </c>
      <c r="D142" t="inlineStr"/>
      <c r="E142" t="inlineStr">
        <is>
          <t>מפיץ</t>
        </is>
      </c>
      <c r="F142" t="inlineStr">
        <is>
          <t>Thermo Scientific portable pharma QA/QC analysers (handheld Raman/NIR material ID) - listed on thermofisher.com's distributor page for Israel</t>
        </is>
      </c>
      <c r="G142" t="inlineStr"/>
      <c r="H142" t="inlineStr"/>
      <c r="I142" t="inlineStr"/>
      <c r="J142" t="inlineStr"/>
      <c r="K142" t="inlineStr"/>
      <c r="L142" t="n">
        <v>2026</v>
      </c>
      <c r="M142" t="inlineStr">
        <is>
          <t>חדש</t>
        </is>
      </c>
      <c r="N142" t="inlineStr">
        <is>
          <t>prior_research</t>
        </is>
      </c>
      <c r="P142" t="inlineStr">
        <is>
          <t>https://www.thermofisher.com/us/en/home/industrial/spectroscopy-elemental-isotope-analysis/portable-analysis-material-id/portable-pharmaceutical-qa-qc-manufacturing-solutions/portable-pharma-qa-qc-manufacturing-solutions-distributors.html</t>
        </is>
      </c>
    </row>
    <row r="143">
      <c r="A143" t="n">
        <v>1255</v>
      </c>
      <c r="B143" t="inlineStr">
        <is>
          <t>Thermo Scientific</t>
        </is>
      </c>
      <c r="C143" t="inlineStr">
        <is>
          <t>R.B.M. Ltd. Control &amp; Mechanization (Hod Hasharon)</t>
        </is>
      </c>
      <c r="D143" t="inlineStr"/>
      <c r="E143" t="inlineStr">
        <is>
          <t>מפיץ</t>
        </is>
      </c>
      <c r="F143" t="inlineStr">
        <is>
          <t>Thermo Scientific Niton portable XRF / LIBS analysers - listed on thermofisher.com's authorized XRF &amp; LIBS distributor page for Israel</t>
        </is>
      </c>
      <c r="G143" t="inlineStr"/>
      <c r="H143" t="inlineStr"/>
      <c r="I143" t="inlineStr"/>
      <c r="J143" t="inlineStr"/>
      <c r="K143" t="inlineStr"/>
      <c r="L143" t="n">
        <v>2026</v>
      </c>
      <c r="M143" t="inlineStr">
        <is>
          <t>חדש</t>
        </is>
      </c>
      <c r="N143" t="inlineStr">
        <is>
          <t>prior_research</t>
        </is>
      </c>
      <c r="P143" t="inlineStr">
        <is>
          <t>https://www.thermofisher.com/us/en/home/industrial/spectroscopy-elemental-isotope-analysis/portable-analysis-material-id/portable-analysis-for-material-id-distributors.html</t>
        </is>
      </c>
    </row>
    <row r="144">
      <c r="A144" t="n">
        <v>1255</v>
      </c>
      <c r="B144" t="inlineStr">
        <is>
          <t>Thermo Scientific</t>
        </is>
      </c>
      <c r="C144" t="inlineStr">
        <is>
          <t>Madid Industrial Controls Ltd.</t>
        </is>
      </c>
      <c r="D144" t="inlineStr"/>
      <c r="E144" t="inlineStr">
        <is>
          <t>מפיץ</t>
        </is>
      </c>
      <c r="F144" t="inlineStr">
        <is>
          <t>Thermo Scientific dataTaker data loggers (industrial data acquisition) - listed on thermofisher.com's dataTaker distributor page for Israel</t>
        </is>
      </c>
      <c r="G144" t="inlineStr"/>
      <c r="H144" t="inlineStr"/>
      <c r="I144" t="inlineStr"/>
      <c r="J144" t="inlineStr"/>
      <c r="K144" t="inlineStr"/>
      <c r="L144" t="n">
        <v>2026</v>
      </c>
      <c r="M144" t="inlineStr">
        <is>
          <t>חדש</t>
        </is>
      </c>
      <c r="N144" t="inlineStr">
        <is>
          <t>prior_research</t>
        </is>
      </c>
      <c r="P144" t="inlineStr">
        <is>
          <t>https://www.thermofisher.com/us/en/home/industrial/manufacturing-processing/data-acquisition/datataker-distributors.html</t>
        </is>
      </c>
    </row>
    <row r="145">
      <c r="A145" t="n">
        <v>1259</v>
      </c>
      <c r="B145" t="inlineStr">
        <is>
          <t>Thermo Scientific Nalgene</t>
        </is>
      </c>
      <c r="C145" t="inlineStr">
        <is>
          <t>Thermo Fisher Integrated Solutions Israel Ltd.</t>
        </is>
      </c>
      <c r="D145" t="inlineStr">
        <is>
          <t>תרמו פישר ישראל (רעננה)</t>
        </is>
      </c>
      <c r="E145" t="inlineStr">
        <is>
          <t>חברה-בת</t>
        </is>
      </c>
      <c r="F145" t="inlineStr">
        <is>
          <t>direct life-science sales &amp; field service organisation being built out 2025-26</t>
        </is>
      </c>
      <c r="G145" t="inlineStr">
        <is>
          <t>https://www.thermofisher.com</t>
        </is>
      </c>
      <c r="H145" t="inlineStr">
        <is>
          <t>+972 8-940-8618</t>
        </is>
      </c>
      <c r="I145" t="inlineStr"/>
      <c r="J145" t="inlineStr">
        <is>
          <t>5 Golda Meir St., Ness Ziona (also Airport City 1, Lod)</t>
        </is>
      </c>
      <c r="K145" t="inlineStr">
        <is>
          <t>https://www.thermofisher.com/il/en/home.html</t>
        </is>
      </c>
      <c r="M145" t="inlineStr"/>
      <c r="N145" t="inlineStr">
        <is>
          <t>prior_research</t>
        </is>
      </c>
      <c r="P145" t="inlineStr">
        <is>
          <t>https://www.thermofisher.com/il/en/home.html</t>
        </is>
      </c>
    </row>
    <row r="146">
      <c r="A146" t="n">
        <v>1259</v>
      </c>
      <c r="B146" t="inlineStr">
        <is>
          <t>Thermo Scientific Nalgene</t>
        </is>
      </c>
      <c r="C146" t="inlineStr">
        <is>
          <t>Thermo Fisher Scientific Israel Ltd. (Kiryat Shmona)</t>
        </is>
      </c>
      <c r="D146" t="inlineStr">
        <is>
          <t>תרמו פישר קריית שמונה</t>
        </is>
      </c>
      <c r="E146" t="inlineStr">
        <is>
          <t>חברה-בת</t>
        </is>
      </c>
      <c r="F146" t="inlineStr">
        <is>
          <t>manufacturing / engineering site (ISO 9001/13485); not a sales channel</t>
        </is>
      </c>
      <c r="G146" t="inlineStr">
        <is>
          <t>https://www.thermofisher.com</t>
        </is>
      </c>
      <c r="H146" t="inlineStr">
        <is>
          <t>+972 8-940-8618</t>
        </is>
      </c>
      <c r="I146" t="inlineStr"/>
      <c r="J146" t="inlineStr">
        <is>
          <t>5 Golda Meir St., Ness Ziona (also Airport City 1, Lod)</t>
        </is>
      </c>
      <c r="K146" t="inlineStr">
        <is>
          <t>https://www.thermofisher.com/il/en/home.html</t>
        </is>
      </c>
      <c r="M146" t="inlineStr"/>
      <c r="N146" t="inlineStr">
        <is>
          <t>prior_research</t>
        </is>
      </c>
      <c r="P146" t="inlineStr"/>
    </row>
    <row r="147">
      <c r="A147" t="n">
        <v>1259</v>
      </c>
      <c r="B147" t="inlineStr">
        <is>
          <t>Thermo Scientific Nalgene</t>
        </is>
      </c>
      <c r="C147" t="inlineStr">
        <is>
          <t>Rhenium Ltd.</t>
        </is>
      </c>
      <c r="D147" t="inlineStr">
        <is>
          <t>רניום</t>
        </is>
      </c>
      <c r="E147" t="inlineStr">
        <is>
          <t>מפיץ</t>
        </is>
      </c>
      <c r="F14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47" t="inlineStr">
        <is>
          <t>https://www.rhenium.co.il</t>
        </is>
      </c>
      <c r="H147" t="inlineStr">
        <is>
          <t>+972 8-955-8888</t>
        </is>
      </c>
      <c r="I147" t="inlineStr"/>
      <c r="J147" t="inlineStr">
        <is>
          <t>20 Hasatat St., P.O. Box 180, Modi'in 7171101</t>
        </is>
      </c>
      <c r="K147" t="inlineStr"/>
      <c r="L147" t="n">
        <v>2026</v>
      </c>
      <c r="M147" t="inlineStr">
        <is>
          <t>עדכני</t>
        </is>
      </c>
      <c r="N147" t="inlineStr">
        <is>
          <t>prior_research</t>
        </is>
      </c>
      <c r="P147" t="inlineStr">
        <is>
          <t>https://rhenium.co.il/products/bioproduction</t>
        </is>
      </c>
    </row>
    <row r="148">
      <c r="A148" t="n">
        <v>1259</v>
      </c>
      <c r="B148" t="inlineStr">
        <is>
          <t>Thermo Scientific Nalgene</t>
        </is>
      </c>
      <c r="C148" t="inlineStr">
        <is>
          <t>Gamidor Diagnostics (1984) Ltd.</t>
        </is>
      </c>
      <c r="D148" t="inlineStr">
        <is>
          <t>גמידור דיאגנוסטיקה</t>
        </is>
      </c>
      <c r="E148" t="inlineStr">
        <is>
          <t>מפיץ</t>
        </is>
      </c>
      <c r="F14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48" t="inlineStr">
        <is>
          <t>https://www.gamidor.co.il</t>
        </is>
      </c>
      <c r="H148" t="inlineStr">
        <is>
          <t>+972-3-927-7277</t>
        </is>
      </c>
      <c r="I148" t="inlineStr">
        <is>
          <t>info@gamidor.co.il</t>
        </is>
      </c>
      <c r="J148" t="inlineStr">
        <is>
          <t>Shaham 32, Petach Tikva</t>
        </is>
      </c>
      <c r="K148" t="inlineStr"/>
      <c r="L148" t="n">
        <v>2026</v>
      </c>
      <c r="M148" t="inlineStr">
        <is>
          <t>עדכני</t>
        </is>
      </c>
      <c r="N148" t="inlineStr">
        <is>
          <t>prior_research</t>
        </is>
      </c>
      <c r="P148" t="inlineStr">
        <is>
          <t>https://gamidor.co.il/en/allergy/</t>
        </is>
      </c>
    </row>
    <row r="149">
      <c r="A149" t="n">
        <v>1259</v>
      </c>
      <c r="B149" t="inlineStr">
        <is>
          <t>Thermo Scientific Nalgene</t>
        </is>
      </c>
      <c r="C149" t="inlineStr">
        <is>
          <t>Bargal Analytical Instruments Ltd.</t>
        </is>
      </c>
      <c r="D149" t="inlineStr">
        <is>
          <t>ברגל</t>
        </is>
      </c>
      <c r="E149" t="inlineStr">
        <is>
          <t>מפיץ</t>
        </is>
      </c>
      <c r="F14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49" t="inlineStr">
        <is>
          <t>https://www.bargal.co.il</t>
        </is>
      </c>
      <c r="H149" t="inlineStr">
        <is>
          <t>+972-3-979-6533</t>
        </is>
      </c>
      <c r="I149" t="inlineStr">
        <is>
          <t>sales@bargal.co.il</t>
        </is>
      </c>
      <c r="J149" t="inlineStr">
        <is>
          <t>10 Shaked Street, Modi'in Industrial Park, Shoham 6085102</t>
        </is>
      </c>
      <c r="K149" t="inlineStr"/>
      <c r="L149" t="n">
        <v>2026</v>
      </c>
      <c r="M149" t="inlineStr">
        <is>
          <t>עדכני</t>
        </is>
      </c>
      <c r="N149" t="inlineStr">
        <is>
          <t>prior_research</t>
        </is>
      </c>
      <c r="P149" t="inlineStr">
        <is>
          <t>https://bargal.co.il/product/q-exactive-uhmr-hybrid-quadrupole-orbitrap-ms-system/</t>
        </is>
      </c>
    </row>
    <row r="150">
      <c r="A150" t="n">
        <v>1259</v>
      </c>
      <c r="B150" t="inlineStr">
        <is>
          <t>Thermo Scientific Nalgene</t>
        </is>
      </c>
      <c r="C150" t="inlineStr">
        <is>
          <t>Danyel Biotech Ltd.</t>
        </is>
      </c>
      <c r="D150" t="inlineStr">
        <is>
          <t>דניאל ביוטק</t>
        </is>
      </c>
      <c r="E150" t="inlineStr">
        <is>
          <t>מפיץ</t>
        </is>
      </c>
      <c r="F150" t="inlineStr">
        <is>
          <t>Olink proteomics (a Thermo Fisher business): live Olink brand page on Danyel's site</t>
        </is>
      </c>
      <c r="G150" t="inlineStr">
        <is>
          <t>https://www.danyel.co.il</t>
        </is>
      </c>
      <c r="H150" t="inlineStr">
        <is>
          <t>1-800-711-911 (also +972 8-936-6066)</t>
        </is>
      </c>
      <c r="I150" t="inlineStr"/>
      <c r="J150" t="inlineStr">
        <is>
          <t>8 Hamada St., Science Park, Rehovot 7670308</t>
        </is>
      </c>
      <c r="K150" t="inlineStr">
        <is>
          <t>https://www.danyel.co.il/contact-us/</t>
        </is>
      </c>
      <c r="L150" t="n">
        <v>2026</v>
      </c>
      <c r="M150" t="inlineStr">
        <is>
          <t>עדכני</t>
        </is>
      </c>
      <c r="N150" t="inlineStr">
        <is>
          <t>prior_research</t>
        </is>
      </c>
      <c r="P150" t="inlineStr">
        <is>
          <t>https://www.danyel.co.il/olink/</t>
        </is>
      </c>
    </row>
    <row r="151">
      <c r="A151" t="n">
        <v>1259</v>
      </c>
      <c r="B151" t="inlineStr">
        <is>
          <t>Thermo Scientific Nalgene</t>
        </is>
      </c>
      <c r="C151" t="inlineStr">
        <is>
          <t>Thermo Fisher Scientific – EM service location, Airport City</t>
        </is>
      </c>
      <c r="D151" t="inlineStr"/>
      <c r="E151" t="inlineStr">
        <is>
          <t>שירות</t>
        </is>
      </c>
      <c r="F151" t="inlineStr">
        <is>
          <t>Thermo Fisher's own Israeli sales/support organisation; thermofisher.com's Phenom desktop-SEM distributor page names 'Thermo Fisher Integrated Solutions' as the Israel contact (live page); a Thermo Fisher careers page lists jobs in Israel</t>
        </is>
      </c>
      <c r="G151" t="inlineStr">
        <is>
          <t>https://www.thermofisher.com</t>
        </is>
      </c>
      <c r="H151" t="inlineStr">
        <is>
          <t>+972 8-940-8618</t>
        </is>
      </c>
      <c r="I151" t="inlineStr"/>
      <c r="J151" t="inlineStr">
        <is>
          <t>5 Golda Meir St., Ness Ziona (also Airport City 1, Lod)</t>
        </is>
      </c>
      <c r="K151" t="inlineStr">
        <is>
          <t>https://www.thermofisher.com/il/en/home.html</t>
        </is>
      </c>
      <c r="L151" t="n">
        <v>2026</v>
      </c>
      <c r="M151" t="inlineStr">
        <is>
          <t>ראיה ישנה</t>
        </is>
      </c>
      <c r="N151" t="inlineStr">
        <is>
          <t>prior_research</t>
        </is>
      </c>
      <c r="P151" t="inlineStr">
        <is>
          <t>https://www.thermofisher.com/us/en/home/electron-microscopy/products/desktop-scanning-electron-microscopes/phenom-distributors.html</t>
        </is>
      </c>
    </row>
    <row r="152">
      <c r="A152" t="n">
        <v>1259</v>
      </c>
      <c r="B152" t="inlineStr">
        <is>
          <t>Thermo Scientific Nalgene</t>
        </is>
      </c>
      <c r="C152" t="inlineStr">
        <is>
          <t>Iner-Tech Ltd. (Rehovot)</t>
        </is>
      </c>
      <c r="D152" t="inlineStr"/>
      <c r="E152" t="inlineStr">
        <is>
          <t>מפיץ</t>
        </is>
      </c>
      <c r="F152" t="inlineStr">
        <is>
          <t>Thermo Scientific portable pharma QA/QC analysers (handheld Raman/NIR material ID) - listed on thermofisher.com's distributor page for Israel</t>
        </is>
      </c>
      <c r="G152" t="inlineStr"/>
      <c r="H152" t="inlineStr"/>
      <c r="I152" t="inlineStr"/>
      <c r="J152" t="inlineStr"/>
      <c r="K152" t="inlineStr"/>
      <c r="L152" t="n">
        <v>2026</v>
      </c>
      <c r="M152" t="inlineStr">
        <is>
          <t>חדש</t>
        </is>
      </c>
      <c r="N152" t="inlineStr">
        <is>
          <t>prior_research</t>
        </is>
      </c>
      <c r="P152" t="inlineStr">
        <is>
          <t>https://www.thermofisher.com/us/en/home/industrial/spectroscopy-elemental-isotope-analysis/portable-analysis-material-id/portable-pharmaceutical-qa-qc-manufacturing-solutions/portable-pharma-qa-qc-manufacturing-solutions-distributors.html</t>
        </is>
      </c>
    </row>
    <row r="153">
      <c r="A153" t="n">
        <v>1259</v>
      </c>
      <c r="B153" t="inlineStr">
        <is>
          <t>Thermo Scientific Nalgene</t>
        </is>
      </c>
      <c r="C153" t="inlineStr">
        <is>
          <t>R.B.M. Ltd. Control &amp; Mechanization (Hod Hasharon)</t>
        </is>
      </c>
      <c r="D153" t="inlineStr"/>
      <c r="E153" t="inlineStr">
        <is>
          <t>מפיץ</t>
        </is>
      </c>
      <c r="F153" t="inlineStr">
        <is>
          <t>Thermo Scientific Niton portable XRF / LIBS analysers - listed on thermofisher.com's authorized XRF &amp; LIBS distributor page for Israel</t>
        </is>
      </c>
      <c r="G153" t="inlineStr"/>
      <c r="H153" t="inlineStr"/>
      <c r="I153" t="inlineStr"/>
      <c r="J153" t="inlineStr"/>
      <c r="K153" t="inlineStr"/>
      <c r="L153" t="n">
        <v>2026</v>
      </c>
      <c r="M153" t="inlineStr">
        <is>
          <t>חדש</t>
        </is>
      </c>
      <c r="N153" t="inlineStr">
        <is>
          <t>prior_research</t>
        </is>
      </c>
      <c r="P153" t="inlineStr">
        <is>
          <t>https://www.thermofisher.com/us/en/home/industrial/spectroscopy-elemental-isotope-analysis/portable-analysis-material-id/portable-analysis-for-material-id-distributors.html</t>
        </is>
      </c>
    </row>
    <row r="154">
      <c r="A154" t="n">
        <v>1259</v>
      </c>
      <c r="B154" t="inlineStr">
        <is>
          <t>Thermo Scientific Nalgene</t>
        </is>
      </c>
      <c r="C154" t="inlineStr">
        <is>
          <t>Madid Industrial Controls Ltd.</t>
        </is>
      </c>
      <c r="D154" t="inlineStr"/>
      <c r="E154" t="inlineStr">
        <is>
          <t>מפיץ</t>
        </is>
      </c>
      <c r="F154" t="inlineStr">
        <is>
          <t>Thermo Scientific dataTaker data loggers (industrial data acquisition) - listed on thermofisher.com's dataTaker distributor page for Israel</t>
        </is>
      </c>
      <c r="G154" t="inlineStr"/>
      <c r="H154" t="inlineStr"/>
      <c r="I154" t="inlineStr"/>
      <c r="J154" t="inlineStr"/>
      <c r="K154" t="inlineStr"/>
      <c r="L154" t="n">
        <v>2026</v>
      </c>
      <c r="M154" t="inlineStr">
        <is>
          <t>חדש</t>
        </is>
      </c>
      <c r="N154" t="inlineStr">
        <is>
          <t>prior_research</t>
        </is>
      </c>
      <c r="P154" t="inlineStr">
        <is>
          <t>https://www.thermofisher.com/us/en/home/industrial/manufacturing-processing/data-acquisition/datataker-distributors.html</t>
        </is>
      </c>
    </row>
    <row r="155">
      <c r="A155" t="n">
        <v>1261</v>
      </c>
      <c r="B155" t="inlineStr">
        <is>
          <t>Thermo Scientific Orion</t>
        </is>
      </c>
      <c r="C155" t="inlineStr">
        <is>
          <t>Thermo Fisher Integrated Solutions Israel Ltd.</t>
        </is>
      </c>
      <c r="D155" t="inlineStr">
        <is>
          <t>תרמו פישר ישראל (רעננה)</t>
        </is>
      </c>
      <c r="E155" t="inlineStr">
        <is>
          <t>חברה-בת</t>
        </is>
      </c>
      <c r="F155" t="inlineStr">
        <is>
          <t>direct life-science sales &amp; field service organisation being built out 2025-26</t>
        </is>
      </c>
      <c r="G155" t="inlineStr">
        <is>
          <t>https://www.thermofisher.com</t>
        </is>
      </c>
      <c r="H155" t="inlineStr">
        <is>
          <t>+972 8-940-8618</t>
        </is>
      </c>
      <c r="I155" t="inlineStr"/>
      <c r="J155" t="inlineStr">
        <is>
          <t>5 Golda Meir St., Ness Ziona (also Airport City 1, Lod)</t>
        </is>
      </c>
      <c r="K155" t="inlineStr">
        <is>
          <t>https://www.thermofisher.com/il/en/home.html</t>
        </is>
      </c>
      <c r="M155" t="inlineStr"/>
      <c r="N155" t="inlineStr">
        <is>
          <t>prior_research</t>
        </is>
      </c>
      <c r="P155" t="inlineStr">
        <is>
          <t>https://www.thermofisher.com/il/en/home.html</t>
        </is>
      </c>
    </row>
    <row r="156">
      <c r="A156" t="n">
        <v>1261</v>
      </c>
      <c r="B156" t="inlineStr">
        <is>
          <t>Thermo Scientific Orion</t>
        </is>
      </c>
      <c r="C156" t="inlineStr">
        <is>
          <t>Thermo Fisher Scientific Israel Ltd. (Kiryat Shmona)</t>
        </is>
      </c>
      <c r="D156" t="inlineStr">
        <is>
          <t>תרמו פישר קריית שמונה</t>
        </is>
      </c>
      <c r="E156" t="inlineStr">
        <is>
          <t>חברה-בת</t>
        </is>
      </c>
      <c r="F156" t="inlineStr">
        <is>
          <t>manufacturing / engineering site (ISO 9001/13485); not a sales channel</t>
        </is>
      </c>
      <c r="G156" t="inlineStr">
        <is>
          <t>https://www.thermofisher.com</t>
        </is>
      </c>
      <c r="H156" t="inlineStr">
        <is>
          <t>+972 8-940-8618</t>
        </is>
      </c>
      <c r="I156" t="inlineStr"/>
      <c r="J156" t="inlineStr">
        <is>
          <t>5 Golda Meir St., Ness Ziona (also Airport City 1, Lod)</t>
        </is>
      </c>
      <c r="K156" t="inlineStr">
        <is>
          <t>https://www.thermofisher.com/il/en/home.html</t>
        </is>
      </c>
      <c r="M156" t="inlineStr"/>
      <c r="N156" t="inlineStr">
        <is>
          <t>prior_research</t>
        </is>
      </c>
      <c r="P156" t="inlineStr"/>
    </row>
    <row r="157">
      <c r="A157" t="n">
        <v>1261</v>
      </c>
      <c r="B157" t="inlineStr">
        <is>
          <t>Thermo Scientific Orion</t>
        </is>
      </c>
      <c r="C157" t="inlineStr">
        <is>
          <t>Rhenium Ltd.</t>
        </is>
      </c>
      <c r="D157" t="inlineStr">
        <is>
          <t>רניום</t>
        </is>
      </c>
      <c r="E157" t="inlineStr">
        <is>
          <t>מפיץ</t>
        </is>
      </c>
      <c r="F15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57" t="inlineStr">
        <is>
          <t>https://www.rhenium.co.il</t>
        </is>
      </c>
      <c r="H157" t="inlineStr">
        <is>
          <t>+972 8-955-8888</t>
        </is>
      </c>
      <c r="I157" t="inlineStr"/>
      <c r="J157" t="inlineStr">
        <is>
          <t>20 Hasatat St., P.O. Box 180, Modi'in 7171101</t>
        </is>
      </c>
      <c r="K157" t="inlineStr"/>
      <c r="L157" t="n">
        <v>2026</v>
      </c>
      <c r="M157" t="inlineStr">
        <is>
          <t>עדכני</t>
        </is>
      </c>
      <c r="N157" t="inlineStr">
        <is>
          <t>prior_research</t>
        </is>
      </c>
      <c r="P157" t="inlineStr">
        <is>
          <t>https://rhenium.co.il/products/bioproduction</t>
        </is>
      </c>
    </row>
    <row r="158">
      <c r="A158" t="n">
        <v>1261</v>
      </c>
      <c r="B158" t="inlineStr">
        <is>
          <t>Thermo Scientific Orion</t>
        </is>
      </c>
      <c r="C158" t="inlineStr">
        <is>
          <t>Gamidor Diagnostics (1984) Ltd.</t>
        </is>
      </c>
      <c r="D158" t="inlineStr">
        <is>
          <t>גמידור דיאגנוסטיקה</t>
        </is>
      </c>
      <c r="E158" t="inlineStr">
        <is>
          <t>מפיץ</t>
        </is>
      </c>
      <c r="F15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58" t="inlineStr">
        <is>
          <t>https://www.gamidor.co.il</t>
        </is>
      </c>
      <c r="H158" t="inlineStr">
        <is>
          <t>+972-3-927-7277</t>
        </is>
      </c>
      <c r="I158" t="inlineStr">
        <is>
          <t>info@gamidor.co.il</t>
        </is>
      </c>
      <c r="J158" t="inlineStr">
        <is>
          <t>Shaham 32, Petach Tikva</t>
        </is>
      </c>
      <c r="K158" t="inlineStr"/>
      <c r="L158" t="n">
        <v>2026</v>
      </c>
      <c r="M158" t="inlineStr">
        <is>
          <t>עדכני</t>
        </is>
      </c>
      <c r="N158" t="inlineStr">
        <is>
          <t>prior_research</t>
        </is>
      </c>
      <c r="P158" t="inlineStr">
        <is>
          <t>https://gamidor.co.il/en/allergy/</t>
        </is>
      </c>
    </row>
    <row r="159">
      <c r="A159" t="n">
        <v>1261</v>
      </c>
      <c r="B159" t="inlineStr">
        <is>
          <t>Thermo Scientific Orion</t>
        </is>
      </c>
      <c r="C159" t="inlineStr">
        <is>
          <t>Bargal Analytical Instruments Ltd.</t>
        </is>
      </c>
      <c r="D159" t="inlineStr">
        <is>
          <t>ברגל</t>
        </is>
      </c>
      <c r="E159" t="inlineStr">
        <is>
          <t>מפיץ</t>
        </is>
      </c>
      <c r="F15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59" t="inlineStr">
        <is>
          <t>https://www.bargal.co.il</t>
        </is>
      </c>
      <c r="H159" t="inlineStr">
        <is>
          <t>+972-3-979-6533</t>
        </is>
      </c>
      <c r="I159" t="inlineStr">
        <is>
          <t>sales@bargal.co.il</t>
        </is>
      </c>
      <c r="J159" t="inlineStr">
        <is>
          <t>10 Shaked Street, Modi'in Industrial Park, Shoham 6085102</t>
        </is>
      </c>
      <c r="K159" t="inlineStr"/>
      <c r="L159" t="n">
        <v>2026</v>
      </c>
      <c r="M159" t="inlineStr">
        <is>
          <t>עדכני</t>
        </is>
      </c>
      <c r="N159" t="inlineStr">
        <is>
          <t>prior_research</t>
        </is>
      </c>
      <c r="P159" t="inlineStr">
        <is>
          <t>https://bargal.co.il/product/q-exactive-uhmr-hybrid-quadrupole-orbitrap-ms-system/</t>
        </is>
      </c>
    </row>
    <row r="160">
      <c r="A160" t="n">
        <v>1261</v>
      </c>
      <c r="B160" t="inlineStr">
        <is>
          <t>Thermo Scientific Orion</t>
        </is>
      </c>
      <c r="C160" t="inlineStr">
        <is>
          <t>Danyel Biotech Ltd.</t>
        </is>
      </c>
      <c r="D160" t="inlineStr">
        <is>
          <t>דניאל ביוטק</t>
        </is>
      </c>
      <c r="E160" t="inlineStr">
        <is>
          <t>מפיץ</t>
        </is>
      </c>
      <c r="F160" t="inlineStr">
        <is>
          <t>Olink proteomics (a Thermo Fisher business): live Olink brand page on Danyel's site</t>
        </is>
      </c>
      <c r="G160" t="inlineStr">
        <is>
          <t>https://www.danyel.co.il</t>
        </is>
      </c>
      <c r="H160" t="inlineStr">
        <is>
          <t>1-800-711-911 (also +972 8-936-6066)</t>
        </is>
      </c>
      <c r="I160" t="inlineStr"/>
      <c r="J160" t="inlineStr">
        <is>
          <t>8 Hamada St., Science Park, Rehovot 7670308</t>
        </is>
      </c>
      <c r="K160" t="inlineStr">
        <is>
          <t>https://www.danyel.co.il/contact-us/</t>
        </is>
      </c>
      <c r="L160" t="n">
        <v>2026</v>
      </c>
      <c r="M160" t="inlineStr">
        <is>
          <t>עדכני</t>
        </is>
      </c>
      <c r="N160" t="inlineStr">
        <is>
          <t>prior_research</t>
        </is>
      </c>
      <c r="P160" t="inlineStr">
        <is>
          <t>https://www.danyel.co.il/olink/</t>
        </is>
      </c>
    </row>
    <row r="161">
      <c r="A161" t="n">
        <v>1261</v>
      </c>
      <c r="B161" t="inlineStr">
        <is>
          <t>Thermo Scientific Orion</t>
        </is>
      </c>
      <c r="C161" t="inlineStr">
        <is>
          <t>Thermo Fisher Scientific – EM service location, Airport City</t>
        </is>
      </c>
      <c r="D161" t="inlineStr"/>
      <c r="E161" t="inlineStr">
        <is>
          <t>שירות</t>
        </is>
      </c>
      <c r="F161" t="inlineStr">
        <is>
          <t>Thermo Fisher's own Israeli sales/support organisation; thermofisher.com's Phenom desktop-SEM distributor page names 'Thermo Fisher Integrated Solutions' as the Israel contact (live page); a Thermo Fisher careers page lists jobs in Israel</t>
        </is>
      </c>
      <c r="G161" t="inlineStr">
        <is>
          <t>https://www.thermofisher.com</t>
        </is>
      </c>
      <c r="H161" t="inlineStr">
        <is>
          <t>+972 8-940-8618</t>
        </is>
      </c>
      <c r="I161" t="inlineStr"/>
      <c r="J161" t="inlineStr">
        <is>
          <t>5 Golda Meir St., Ness Ziona (also Airport City 1, Lod)</t>
        </is>
      </c>
      <c r="K161" t="inlineStr">
        <is>
          <t>https://www.thermofisher.com/il/en/home.html</t>
        </is>
      </c>
      <c r="L161" t="n">
        <v>2026</v>
      </c>
      <c r="M161" t="inlineStr">
        <is>
          <t>ראיה ישנה</t>
        </is>
      </c>
      <c r="N161" t="inlineStr">
        <is>
          <t>prior_research</t>
        </is>
      </c>
      <c r="P161" t="inlineStr">
        <is>
          <t>https://www.thermofisher.com/us/en/home/electron-microscopy/products/desktop-scanning-electron-microscopes/phenom-distributors.html</t>
        </is>
      </c>
    </row>
    <row r="162">
      <c r="A162" t="n">
        <v>1261</v>
      </c>
      <c r="B162" t="inlineStr">
        <is>
          <t>Thermo Scientific Orion</t>
        </is>
      </c>
      <c r="C162" t="inlineStr">
        <is>
          <t>Iner-Tech Ltd. (Rehovot)</t>
        </is>
      </c>
      <c r="D162" t="inlineStr"/>
      <c r="E162" t="inlineStr">
        <is>
          <t>מפיץ</t>
        </is>
      </c>
      <c r="F162" t="inlineStr">
        <is>
          <t>Thermo Scientific portable pharma QA/QC analysers (handheld Raman/NIR material ID) - listed on thermofisher.com's distributor page for Israel</t>
        </is>
      </c>
      <c r="G162" t="inlineStr"/>
      <c r="H162" t="inlineStr"/>
      <c r="I162" t="inlineStr"/>
      <c r="J162" t="inlineStr"/>
      <c r="K162" t="inlineStr"/>
      <c r="L162" t="n">
        <v>2026</v>
      </c>
      <c r="M162" t="inlineStr">
        <is>
          <t>חדש</t>
        </is>
      </c>
      <c r="N162" t="inlineStr">
        <is>
          <t>prior_research</t>
        </is>
      </c>
      <c r="P162" t="inlineStr">
        <is>
          <t>https://www.thermofisher.com/us/en/home/industrial/spectroscopy-elemental-isotope-analysis/portable-analysis-material-id/portable-pharmaceutical-qa-qc-manufacturing-solutions/portable-pharma-qa-qc-manufacturing-solutions-distributors.html</t>
        </is>
      </c>
    </row>
    <row r="163">
      <c r="A163" t="n">
        <v>1261</v>
      </c>
      <c r="B163" t="inlineStr">
        <is>
          <t>Thermo Scientific Orion</t>
        </is>
      </c>
      <c r="C163" t="inlineStr">
        <is>
          <t>R.B.M. Ltd. Control &amp; Mechanization (Hod Hasharon)</t>
        </is>
      </c>
      <c r="D163" t="inlineStr"/>
      <c r="E163" t="inlineStr">
        <is>
          <t>מפיץ</t>
        </is>
      </c>
      <c r="F163" t="inlineStr">
        <is>
          <t>Thermo Scientific Niton portable XRF / LIBS analysers - listed on thermofisher.com's authorized XRF &amp; LIBS distributor page for Israel</t>
        </is>
      </c>
      <c r="G163" t="inlineStr"/>
      <c r="H163" t="inlineStr"/>
      <c r="I163" t="inlineStr"/>
      <c r="J163" t="inlineStr"/>
      <c r="K163" t="inlineStr"/>
      <c r="L163" t="n">
        <v>2026</v>
      </c>
      <c r="M163" t="inlineStr">
        <is>
          <t>חדש</t>
        </is>
      </c>
      <c r="N163" t="inlineStr">
        <is>
          <t>prior_research</t>
        </is>
      </c>
      <c r="P163" t="inlineStr">
        <is>
          <t>https://www.thermofisher.com/us/en/home/industrial/spectroscopy-elemental-isotope-analysis/portable-analysis-material-id/portable-analysis-for-material-id-distributors.html</t>
        </is>
      </c>
    </row>
    <row r="164">
      <c r="A164" t="n">
        <v>1261</v>
      </c>
      <c r="B164" t="inlineStr">
        <is>
          <t>Thermo Scientific Orion</t>
        </is>
      </c>
      <c r="C164" t="inlineStr">
        <is>
          <t>Madid Industrial Controls Ltd.</t>
        </is>
      </c>
      <c r="D164" t="inlineStr"/>
      <c r="E164" t="inlineStr">
        <is>
          <t>מפיץ</t>
        </is>
      </c>
      <c r="F164" t="inlineStr">
        <is>
          <t>Thermo Scientific dataTaker data loggers (industrial data acquisition) - listed on thermofisher.com's dataTaker distributor page for Israel</t>
        </is>
      </c>
      <c r="G164" t="inlineStr"/>
      <c r="H164" t="inlineStr"/>
      <c r="I164" t="inlineStr"/>
      <c r="J164" t="inlineStr"/>
      <c r="K164" t="inlineStr"/>
      <c r="L164" t="n">
        <v>2026</v>
      </c>
      <c r="M164" t="inlineStr">
        <is>
          <t>חדש</t>
        </is>
      </c>
      <c r="N164" t="inlineStr">
        <is>
          <t>prior_research</t>
        </is>
      </c>
      <c r="P164" t="inlineStr">
        <is>
          <t>https://www.thermofisher.com/us/en/home/industrial/manufacturing-processing/data-acquisition/datataker-distributors.html</t>
        </is>
      </c>
    </row>
    <row r="165">
      <c r="A165" t="n">
        <v>1276</v>
      </c>
      <c r="B165" t="inlineStr">
        <is>
          <t>Tocris</t>
        </is>
      </c>
      <c r="C165" t="inlineStr">
        <is>
          <t>Getter Bio-Med (Getter Group)</t>
        </is>
      </c>
      <c r="D165" t="inlineStr">
        <is>
          <t>גטר ביו-מד</t>
        </is>
      </c>
      <c r="E165" t="inlineStr">
        <is>
          <t>מפיץ</t>
        </is>
      </c>
      <c r="F165" t="inlineStr">
        <is>
          <t>Lunaphore (a Bio-Techne brand) spatial-biology platforms – Getter describes itself as the official Israeli representative (LinkedIn)</t>
        </is>
      </c>
      <c r="G165" t="inlineStr">
        <is>
          <t>https://www.getter.co.il</t>
        </is>
      </c>
      <c r="H165" t="inlineStr">
        <is>
          <t>+972 3-576-1555 (Getter Group switchboard)</t>
        </is>
      </c>
      <c r="I165" t="inlineStr"/>
      <c r="J165" t="inlineStr">
        <is>
          <t>7 Shimshon St., Petah Tikva 4912502</t>
        </is>
      </c>
      <c r="K165" t="inlineStr"/>
      <c r="M165" t="inlineStr">
        <is>
          <t>ראיה ישנה</t>
        </is>
      </c>
      <c r="N165" t="inlineStr">
        <is>
          <t>prior_research</t>
        </is>
      </c>
      <c r="P165" t="inlineStr">
        <is>
          <t>https://www.getter.co.il/about-en/</t>
        </is>
      </c>
    </row>
    <row r="166">
      <c r="A166" t="n">
        <v>1276</v>
      </c>
      <c r="B166" t="inlineStr">
        <is>
          <t>Tocris</t>
        </is>
      </c>
      <c r="C166" t="inlineStr">
        <is>
          <t>Biotest</t>
        </is>
      </c>
      <c r="D166" t="inlineStr"/>
      <c r="E166" t="inlineStr">
        <is>
          <t>מפיץ</t>
        </is>
      </c>
      <c r="F166" t="inlineStr">
        <is>
          <t>Israeli distributor listed on Bio-Techne's Novus Biologicals distributor directory: 6 Hasadna St., P.O. Box 8006, Kfar Saba 4442405 (phone/e-mail on page); coverage of other Bio-Techne brands (R&amp;D Systems, Tocris, ProteinSimple) not confirmed</t>
        </is>
      </c>
      <c r="G166" t="inlineStr"/>
      <c r="H166" t="inlineStr"/>
      <c r="I166" t="inlineStr"/>
      <c r="J166" t="inlineStr"/>
      <c r="K166" t="inlineStr"/>
      <c r="L166" t="n">
        <v>2026</v>
      </c>
      <c r="M166" t="inlineStr">
        <is>
          <t>חדש</t>
        </is>
      </c>
      <c r="N166" t="inlineStr">
        <is>
          <t>prior_research</t>
        </is>
      </c>
      <c r="P166" t="inlineStr">
        <is>
          <t>https://www.bio-techne.com/distributors/novus</t>
        </is>
      </c>
    </row>
    <row r="167">
      <c r="A167" t="n">
        <v>1327</v>
      </c>
      <c r="B167" t="inlineStr">
        <is>
          <t>Velp</t>
        </is>
      </c>
      <c r="C167" t="inlineStr">
        <is>
          <t>Labotal</t>
        </is>
      </c>
      <c r="D167" t="inlineStr">
        <is>
          <t>לבוטל ציוד מדעי</t>
        </is>
      </c>
      <c r="E167" t="inlineStr">
        <is>
          <t>מפיץ</t>
        </is>
      </c>
      <c r="F167"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7" t="inlineStr">
        <is>
          <t>https://labotal.co.il</t>
        </is>
      </c>
      <c r="H167" t="inlineStr">
        <is>
          <t>+972 2-579-9222</t>
        </is>
      </c>
      <c r="I167" t="inlineStr">
        <is>
          <t>Sales@labotal.co.il</t>
        </is>
      </c>
      <c r="J167" t="inlineStr">
        <is>
          <t>Hashalom Rd., Abu Ghosh 9084500 (mail: Mevaseret Zion)</t>
        </is>
      </c>
      <c r="K167" t="inlineStr">
        <is>
          <t>https://labotal.co.il/contact/</t>
        </is>
      </c>
      <c r="L167" t="n">
        <v>2026</v>
      </c>
      <c r="M167" t="inlineStr">
        <is>
          <t>עדכני</t>
        </is>
      </c>
      <c r="N167" t="inlineStr">
        <is>
          <t>prior_research</t>
        </is>
      </c>
      <c r="P167" t="inlineStr">
        <is>
          <t>https://labotal.co.il/firms/?lang=en</t>
        </is>
      </c>
    </row>
    <row r="168">
      <c r="A168" t="n">
        <v>1328</v>
      </c>
      <c r="B168" t="inlineStr">
        <is>
          <t>Velp Scientifica</t>
        </is>
      </c>
      <c r="C168" t="inlineStr">
        <is>
          <t>Labotal</t>
        </is>
      </c>
      <c r="D168" t="inlineStr">
        <is>
          <t>לבוטל ציוד מדעי</t>
        </is>
      </c>
      <c r="E168" t="inlineStr">
        <is>
          <t>מפיץ</t>
        </is>
      </c>
      <c r="F168"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8" t="inlineStr">
        <is>
          <t>https://labotal.co.il</t>
        </is>
      </c>
      <c r="H168" t="inlineStr">
        <is>
          <t>+972 2-579-9222</t>
        </is>
      </c>
      <c r="I168" t="inlineStr">
        <is>
          <t>Sales@labotal.co.il</t>
        </is>
      </c>
      <c r="J168" t="inlineStr">
        <is>
          <t>Hashalom Rd., Abu Ghosh 9084500 (mail: Mevaseret Zion)</t>
        </is>
      </c>
      <c r="K168" t="inlineStr">
        <is>
          <t>https://labotal.co.il/contact/</t>
        </is>
      </c>
      <c r="L168" t="n">
        <v>2026</v>
      </c>
      <c r="M168" t="inlineStr">
        <is>
          <t>עדכני</t>
        </is>
      </c>
      <c r="N168" t="inlineStr">
        <is>
          <t>prior_research</t>
        </is>
      </c>
      <c r="P168" t="inlineStr">
        <is>
          <t>https://labotal.co.il/firms/?lang=en</t>
        </is>
      </c>
    </row>
    <row r="169">
      <c r="A169" t="n">
        <v>1345</v>
      </c>
      <c r="B169" t="inlineStr">
        <is>
          <t>Waters</t>
        </is>
      </c>
      <c r="C169" t="inlineStr">
        <is>
          <t>Waters (TC) Israel Ltd.</t>
        </is>
      </c>
      <c r="D169" t="inlineStr"/>
      <c r="E169" t="inlineStr">
        <is>
          <t>חברה-בת</t>
        </is>
      </c>
      <c r="F169"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169" t="inlineStr">
        <is>
          <t>https://www.waters.com</t>
        </is>
      </c>
      <c r="H169" t="inlineStr"/>
      <c r="I169" t="inlineStr"/>
      <c r="J169" t="inlineStr"/>
      <c r="K169" t="inlineStr"/>
      <c r="L169" t="n">
        <v>2024</v>
      </c>
      <c r="M169" t="inlineStr">
        <is>
          <t>עדכני</t>
        </is>
      </c>
      <c r="N169" t="inlineStr">
        <is>
          <t>prior_research</t>
        </is>
      </c>
      <c r="P169" t="inlineStr">
        <is>
          <t>https://www.sec.gov/Archives/edgar/data/1000697/000119312524047491/d691142dex211.htm</t>
        </is>
      </c>
    </row>
    <row r="170">
      <c r="A170" t="n">
        <v>1345</v>
      </c>
      <c r="B170" t="inlineStr">
        <is>
          <t>Waters</t>
        </is>
      </c>
      <c r="C170" t="inlineStr">
        <is>
          <t>Bargal Analytical Instruments Ltd.</t>
        </is>
      </c>
      <c r="D170" t="inlineStr">
        <is>
          <t>ברגל</t>
        </is>
      </c>
      <c r="E170" t="inlineStr">
        <is>
          <t>מפיץ</t>
        </is>
      </c>
      <c r="F170" t="inlineStr">
        <is>
          <t>TA Instruments (a Waters division) thermal analysis, rheology and microcalorimetry – listed in TA Instruments' Middle East directory</t>
        </is>
      </c>
      <c r="G170" t="inlineStr">
        <is>
          <t>https://www.bargal.co.il</t>
        </is>
      </c>
      <c r="H170" t="inlineStr">
        <is>
          <t>+972-3-979-6533</t>
        </is>
      </c>
      <c r="I170" t="inlineStr">
        <is>
          <t>sales@bargal.co.il</t>
        </is>
      </c>
      <c r="J170" t="inlineStr">
        <is>
          <t>10 Shaked Street, Modi'in Industrial Park, Shoham 6085102</t>
        </is>
      </c>
      <c r="K170" t="inlineStr"/>
      <c r="M170" t="inlineStr">
        <is>
          <t>ראיה ישנה</t>
        </is>
      </c>
      <c r="N170" t="inlineStr">
        <is>
          <t>prior_research</t>
        </is>
      </c>
      <c r="P170" t="inlineStr">
        <is>
          <t>https://www.tainstruments.com/events/middleeast-directory.html</t>
        </is>
      </c>
    </row>
    <row r="171">
      <c r="A171" t="n">
        <v>1355</v>
      </c>
      <c r="B171" t="inlineStr">
        <is>
          <t>Wheaton</t>
        </is>
      </c>
      <c r="C171" t="inlineStr">
        <is>
          <t>Danyel Biotech Ltd. (Gamida for Life group)</t>
        </is>
      </c>
      <c r="D171" t="inlineStr">
        <is>
          <t>דניאל ביוטק</t>
        </is>
      </c>
      <c r="E171" t="inlineStr">
        <is>
          <t>מפיץ</t>
        </is>
      </c>
      <c r="F17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71" t="inlineStr">
        <is>
          <t>https://www.danyel.co.il</t>
        </is>
      </c>
      <c r="H171" t="inlineStr">
        <is>
          <t>1-800-711-911 (also +972 8-936-6066)</t>
        </is>
      </c>
      <c r="I171" t="inlineStr"/>
      <c r="J171" t="inlineStr">
        <is>
          <t>8 Hamada St., Science Park, Rehovot 7670308</t>
        </is>
      </c>
      <c r="K171" t="inlineStr">
        <is>
          <t>https://www.danyel.co.il/contact-us/</t>
        </is>
      </c>
      <c r="L171" t="n">
        <v>2026</v>
      </c>
      <c r="M171" t="inlineStr">
        <is>
          <t>עדכני</t>
        </is>
      </c>
      <c r="N171" t="inlineStr">
        <is>
          <t>prior_research</t>
        </is>
      </c>
      <c r="P171" t="inlineStr">
        <is>
          <t>https://www.danyel.co.il/scilabware/</t>
        </is>
      </c>
    </row>
    <row r="172">
      <c r="A172" t="n">
        <v>1363</v>
      </c>
      <c r="B172" t="inlineStr">
        <is>
          <t>Worthington Biochemical</t>
        </is>
      </c>
      <c r="C172" t="inlineStr">
        <is>
          <t>Enco Scientific Services Ltd. (Enco Diagnostics)</t>
        </is>
      </c>
      <c r="D172" t="inlineStr">
        <is>
          <t>אנקו</t>
        </is>
      </c>
      <c r="E172" t="inlineStr">
        <is>
          <t>מפיץ</t>
        </is>
      </c>
      <c r="F172" t="inlineStr">
        <is>
          <t>Enco's About page lists the brand among the international companies it distributes in Israel (antibodies/biochemicals)</t>
        </is>
      </c>
      <c r="G172" t="inlineStr">
        <is>
          <t>https://www.enco.co.il</t>
        </is>
      </c>
      <c r="L172" t="n">
        <v>2026</v>
      </c>
      <c r="M172" t="inlineStr">
        <is>
          <t>עדכני</t>
        </is>
      </c>
      <c r="N172" t="inlineStr">
        <is>
          <t>manufacturer_or_press</t>
        </is>
      </c>
      <c r="P172" t="inlineStr">
        <is>
          <t>https://www.enco.co.il/about.php</t>
        </is>
      </c>
    </row>
    <row r="173">
      <c r="A173" t="n">
        <v>1371</v>
      </c>
      <c r="B173" t="inlineStr">
        <is>
          <t>Yamato</t>
        </is>
      </c>
      <c r="C173" t="inlineStr">
        <is>
          <t>S.L. Moran Ltd.</t>
        </is>
      </c>
      <c r="D173" t="inlineStr">
        <is>
          <t>ש.ל מורן</t>
        </is>
      </c>
      <c r="E173" t="inlineStr">
        <is>
          <t>מפיץ</t>
        </is>
      </c>
      <c r="F173" t="inlineStr">
        <is>
          <t>listed as Yamato Scientific's sales representative for Israel on Yamato's global partners page (Shatner Center bldg 7, Givat Shaul, Jerusalem, +972-74-7029898); no Yamato products seen on S.L. Moran's own site</t>
        </is>
      </c>
      <c r="G173" t="inlineStr">
        <is>
          <t>https://slmoran.co.il</t>
        </is>
      </c>
      <c r="H173" t="inlineStr">
        <is>
          <t>+972 74-702-9898</t>
        </is>
      </c>
      <c r="I173" t="inlineStr"/>
      <c r="J173" t="inlineStr">
        <is>
          <t>Shatner Center 7, Givat Shaul, Jerusalem</t>
        </is>
      </c>
      <c r="K173" t="inlineStr"/>
      <c r="L173" t="n">
        <v>2018</v>
      </c>
      <c r="M173" t="inlineStr">
        <is>
          <t>ראיה ישנה</t>
        </is>
      </c>
      <c r="N173" t="inlineStr">
        <is>
          <t>prior_research</t>
        </is>
      </c>
      <c r="P173" t="inlineStr">
        <is>
          <t>https://www.yamato-scientific.com/global/</t>
        </is>
      </c>
    </row>
    <row r="174">
      <c r="A174" t="n">
        <v>1372</v>
      </c>
      <c r="B174" t="inlineStr">
        <is>
          <t>Yamato Scientific America</t>
        </is>
      </c>
      <c r="C174" t="inlineStr">
        <is>
          <t>S.L. Moran Ltd.</t>
        </is>
      </c>
      <c r="D174" t="inlineStr">
        <is>
          <t>ש.ל מורן</t>
        </is>
      </c>
      <c r="E174" t="inlineStr">
        <is>
          <t>מפיץ</t>
        </is>
      </c>
      <c r="F174" t="inlineStr">
        <is>
          <t>listed as Yamato Scientific's sales representative for Israel on Yamato's global partners page (Shatner Center bldg 7, Givat Shaul, Jerusalem, +972-74-7029898); no Yamato products seen on S.L. Moran's own site</t>
        </is>
      </c>
      <c r="G174" t="inlineStr">
        <is>
          <t>https://slmoran.co.il</t>
        </is>
      </c>
      <c r="H174" t="inlineStr">
        <is>
          <t>+972 74-702-9898</t>
        </is>
      </c>
      <c r="I174" t="inlineStr"/>
      <c r="J174" t="inlineStr">
        <is>
          <t>Shatner Center 7, Givat Shaul, Jerusalem</t>
        </is>
      </c>
      <c r="K174" t="inlineStr"/>
      <c r="L174" t="n">
        <v>2018</v>
      </c>
      <c r="M174" t="inlineStr">
        <is>
          <t>ראיה ישנה</t>
        </is>
      </c>
      <c r="N174" t="inlineStr">
        <is>
          <t>prior_research</t>
        </is>
      </c>
      <c r="P174"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8"/>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3</v>
      </c>
      <c r="B2" t="inlineStr">
        <is>
          <t>3M</t>
        </is>
      </c>
      <c r="C2" t="inlineStr">
        <is>
          <t>3M HEAD HARNESS ASSEMBLY FOR 6000 SERIES</t>
        </is>
      </c>
      <c r="E2" t="inlineStr">
        <is>
          <t>thomassci</t>
        </is>
      </c>
      <c r="F2" t="inlineStr">
        <is>
          <t>https://www.thomassci.com/p/3m-head-harness-assembly-for-6000-series</t>
        </is>
      </c>
    </row>
    <row r="3">
      <c r="A3" t="n">
        <v>3</v>
      </c>
      <c r="B3" t="inlineStr">
        <is>
          <t>3M</t>
        </is>
      </c>
      <c r="C3" t="inlineStr">
        <is>
          <t>Comply™ Lead Free Steam Indicator Tape</t>
        </is>
      </c>
      <c r="E3" t="inlineStr">
        <is>
          <t>thomassci</t>
        </is>
      </c>
      <c r="F3" t="inlineStr">
        <is>
          <t>https://www.thomassci.com/p/comply-lead-free-steam-indicator-tape</t>
        </is>
      </c>
    </row>
    <row r="4">
      <c r="A4" t="n">
        <v>3</v>
      </c>
      <c r="B4" t="inlineStr">
        <is>
          <t>3M</t>
        </is>
      </c>
      <c r="C4" t="inlineStr">
        <is>
          <t>3M™ SecureFit™, Protective Eyewear, SF201AF, Clear Lens</t>
        </is>
      </c>
      <c r="E4" t="inlineStr">
        <is>
          <t>thomassci</t>
        </is>
      </c>
      <c r="F4" t="inlineStr">
        <is>
          <t>https://www.thomassci.com/p/3m-securefit-protective-eyewear-sf201af-clear-lens</t>
        </is>
      </c>
    </row>
    <row r="5">
      <c r="A5" t="n">
        <v>3</v>
      </c>
      <c r="B5" t="inlineStr">
        <is>
          <t>3M</t>
        </is>
      </c>
      <c r="C5" t="inlineStr">
        <is>
          <t>Scotch® Magic™ Tape</t>
        </is>
      </c>
      <c r="E5" t="inlineStr">
        <is>
          <t>thomassci</t>
        </is>
      </c>
      <c r="F5" t="inlineStr">
        <is>
          <t>https://www.thomassci.com/p/scotch-magic-tape</t>
        </is>
      </c>
    </row>
    <row r="6">
      <c r="A6" t="n">
        <v>3</v>
      </c>
      <c r="B6" t="inlineStr">
        <is>
          <t>3M</t>
        </is>
      </c>
      <c r="C6" t="inlineStr">
        <is>
          <t>Particulate Respirator 8200/07023(AAD), N95</t>
        </is>
      </c>
      <c r="E6" t="inlineStr">
        <is>
          <t>thomassci</t>
        </is>
      </c>
      <c r="F6" t="inlineStr">
        <is>
          <t>https://www.thomassci.com/p/particulate-respirator-8200/07023aad-n95</t>
        </is>
      </c>
    </row>
    <row r="7">
      <c r="A7" t="n">
        <v>7</v>
      </c>
      <c r="B7" t="inlineStr">
        <is>
          <t>A&amp;D Company</t>
        </is>
      </c>
      <c r="C7" t="inlineStr">
        <is>
          <t>Apollo GX-A / GF-A series</t>
        </is>
      </c>
      <c r="D7" t="inlineStr">
        <is>
          <t>precision balances with impact-shock detection</t>
        </is>
      </c>
      <c r="E7" t="inlineStr">
        <is>
          <t>prior</t>
        </is>
      </c>
    </row>
    <row r="8">
      <c r="A8" t="n">
        <v>7</v>
      </c>
      <c r="B8" t="inlineStr">
        <is>
          <t>A&amp;D Company</t>
        </is>
      </c>
      <c r="C8" t="inlineStr">
        <is>
          <t>HR-A / HR-AZ series</t>
        </is>
      </c>
      <c r="D8" t="inlineStr">
        <is>
          <t>0.1 mg analytical balances</t>
        </is>
      </c>
      <c r="E8" t="inlineStr">
        <is>
          <t>prior</t>
        </is>
      </c>
    </row>
    <row r="9">
      <c r="A9" t="n">
        <v>7</v>
      </c>
      <c r="B9" t="inlineStr">
        <is>
          <t>A&amp;D Company</t>
        </is>
      </c>
      <c r="C9" t="inlineStr">
        <is>
          <t>MX-50 / MS-70 moisture analyzers</t>
        </is>
      </c>
      <c r="D9" t="inlineStr">
        <is>
          <t>halogen-lamp moisture balances</t>
        </is>
      </c>
      <c r="E9" t="inlineStr">
        <is>
          <t>prior</t>
        </is>
      </c>
    </row>
    <row r="10">
      <c r="A10" t="n">
        <v>8</v>
      </c>
      <c r="B10" t="inlineStr">
        <is>
          <t>A&amp;D Engineering</t>
        </is>
      </c>
      <c r="C10" t="inlineStr">
        <is>
          <t>Apollo GX-A / GF-A series</t>
        </is>
      </c>
      <c r="D10" t="inlineStr">
        <is>
          <t>precision balances with impact-shock detection</t>
        </is>
      </c>
      <c r="E10" t="inlineStr">
        <is>
          <t>prior</t>
        </is>
      </c>
    </row>
    <row r="11">
      <c r="A11" t="n">
        <v>8</v>
      </c>
      <c r="B11" t="inlineStr">
        <is>
          <t>A&amp;D Engineering</t>
        </is>
      </c>
      <c r="C11" t="inlineStr">
        <is>
          <t>HR-A / HR-AZ series</t>
        </is>
      </c>
      <c r="D11" t="inlineStr">
        <is>
          <t>0.1 mg analytical balances</t>
        </is>
      </c>
      <c r="E11" t="inlineStr">
        <is>
          <t>prior</t>
        </is>
      </c>
    </row>
    <row r="12">
      <c r="A12" t="n">
        <v>8</v>
      </c>
      <c r="B12" t="inlineStr">
        <is>
          <t>A&amp;D Engineering</t>
        </is>
      </c>
      <c r="C12" t="inlineStr">
        <is>
          <t>MX-50 / MS-70 moisture analyzers</t>
        </is>
      </c>
      <c r="D12" t="inlineStr">
        <is>
          <t>halogen-lamp moisture balances</t>
        </is>
      </c>
      <c r="E12" t="inlineStr">
        <is>
          <t>prior</t>
        </is>
      </c>
    </row>
    <row r="13">
      <c r="A13" t="n">
        <v>9</v>
      </c>
      <c r="B13" t="inlineStr">
        <is>
          <t>A&amp;D instruments</t>
        </is>
      </c>
      <c r="C13" t="inlineStr">
        <is>
          <t>Apollo GX-A / GF-A series</t>
        </is>
      </c>
      <c r="D13" t="inlineStr">
        <is>
          <t>precision balances with impact-shock detection</t>
        </is>
      </c>
      <c r="E13" t="inlineStr">
        <is>
          <t>prior</t>
        </is>
      </c>
    </row>
    <row r="14">
      <c r="A14" t="n">
        <v>9</v>
      </c>
      <c r="B14" t="inlineStr">
        <is>
          <t>A&amp;D instruments</t>
        </is>
      </c>
      <c r="C14" t="inlineStr">
        <is>
          <t>HR-A / HR-AZ series</t>
        </is>
      </c>
      <c r="D14" t="inlineStr">
        <is>
          <t>0.1 mg analytical balances</t>
        </is>
      </c>
      <c r="E14" t="inlineStr">
        <is>
          <t>prior</t>
        </is>
      </c>
    </row>
    <row r="15">
      <c r="A15" t="n">
        <v>9</v>
      </c>
      <c r="B15" t="inlineStr">
        <is>
          <t>A&amp;D instruments</t>
        </is>
      </c>
      <c r="C15" t="inlineStr">
        <is>
          <t>MX-50 / MS-70 moisture analyzers</t>
        </is>
      </c>
      <c r="D15" t="inlineStr">
        <is>
          <t>halogen-lamp moisture balances</t>
        </is>
      </c>
      <c r="E15" t="inlineStr">
        <is>
          <t>prior</t>
        </is>
      </c>
    </row>
    <row r="16">
      <c r="A16" t="n">
        <v>10</v>
      </c>
      <c r="B16" t="inlineStr">
        <is>
          <t>A&amp;D Weighing</t>
        </is>
      </c>
      <c r="C16" t="inlineStr">
        <is>
          <t>Apollo GX-A / GF-A series</t>
        </is>
      </c>
      <c r="D16" t="inlineStr">
        <is>
          <t>precision balances with impact-shock detection</t>
        </is>
      </c>
      <c r="E16" t="inlineStr">
        <is>
          <t>prior</t>
        </is>
      </c>
    </row>
    <row r="17">
      <c r="A17" t="n">
        <v>10</v>
      </c>
      <c r="B17" t="inlineStr">
        <is>
          <t>A&amp;D Weighing</t>
        </is>
      </c>
      <c r="C17" t="inlineStr">
        <is>
          <t>HR-A / HR-AZ series</t>
        </is>
      </c>
      <c r="D17" t="inlineStr">
        <is>
          <t>0.1 mg analytical balances</t>
        </is>
      </c>
      <c r="E17" t="inlineStr">
        <is>
          <t>prior</t>
        </is>
      </c>
    </row>
    <row r="18">
      <c r="A18" t="n">
        <v>10</v>
      </c>
      <c r="B18" t="inlineStr">
        <is>
          <t>A&amp;D Weighing</t>
        </is>
      </c>
      <c r="C18" t="inlineStr">
        <is>
          <t>MX-50 / MS-70 moisture analyzers</t>
        </is>
      </c>
      <c r="D18" t="inlineStr">
        <is>
          <t>halogen-lamp moisture balances</t>
        </is>
      </c>
      <c r="E18" t="inlineStr">
        <is>
          <t>prior</t>
        </is>
      </c>
    </row>
    <row r="19">
      <c r="A19" t="n">
        <v>29</v>
      </c>
      <c r="B19" t="inlineStr">
        <is>
          <t>Ace Glass</t>
        </is>
      </c>
      <c r="C19" t="inlineStr">
        <is>
          <t>Adapter, Rotary Evaporator Vial Adapter</t>
        </is>
      </c>
      <c r="E19" t="inlineStr">
        <is>
          <t>thomassci</t>
        </is>
      </c>
      <c r="F19" t="inlineStr">
        <is>
          <t>https://www.thomassci.com/p/adapter-rotary-evaporator-vial-adapter</t>
        </is>
      </c>
    </row>
    <row r="20">
      <c r="A20" t="n">
        <v>29</v>
      </c>
      <c r="B20" t="inlineStr">
        <is>
          <t>Ace Glass</t>
        </is>
      </c>
      <c r="C20" t="inlineStr">
        <is>
          <t>1mL Tissue Grinder, Dounce Type, Glass</t>
        </is>
      </c>
      <c r="E20" t="inlineStr">
        <is>
          <t>thomassci</t>
        </is>
      </c>
      <c r="F20" t="inlineStr">
        <is>
          <t>https://www.thomassci.com/p/1ml-tissue-grinder-dounce-type</t>
        </is>
      </c>
    </row>
    <row r="21">
      <c r="A21" t="n">
        <v>29</v>
      </c>
      <c r="B21" t="inlineStr">
        <is>
          <t>Ace Glass</t>
        </is>
      </c>
      <c r="C21" t="inlineStr">
        <is>
          <t>Adapter, Gas Inlet</t>
        </is>
      </c>
      <c r="E21" t="inlineStr">
        <is>
          <t>thomassci</t>
        </is>
      </c>
      <c r="F21" t="inlineStr">
        <is>
          <t>https://www.thomassci.com/p/adapter-gas-inlet2</t>
        </is>
      </c>
    </row>
    <row r="22">
      <c r="A22" t="n">
        <v>29</v>
      </c>
      <c r="B22" t="inlineStr">
        <is>
          <t>Ace Glass</t>
        </is>
      </c>
      <c r="C22" t="inlineStr">
        <is>
          <t>Flask, Pressure, Round Bottom</t>
        </is>
      </c>
      <c r="E22" t="inlineStr">
        <is>
          <t>thomassci</t>
        </is>
      </c>
      <c r="F22" t="inlineStr">
        <is>
          <t>https://www.thomassci.com/p/flask-pressure-round-bottom1</t>
        </is>
      </c>
    </row>
    <row r="23">
      <c r="A23" t="n">
        <v>29</v>
      </c>
      <c r="B23" t="inlineStr">
        <is>
          <t>Ace Glass</t>
        </is>
      </c>
      <c r="C23" t="inlineStr">
        <is>
          <t>Sublimation Apparatus, Vacuum</t>
        </is>
      </c>
      <c r="E23" t="inlineStr">
        <is>
          <t>thomassci</t>
        </is>
      </c>
      <c r="F23" t="inlineStr">
        <is>
          <t>https://www.thomassci.com/p/sublimation-apparatus-vacuum</t>
        </is>
      </c>
    </row>
    <row r="24">
      <c r="A24" t="n">
        <v>53</v>
      </c>
      <c r="B24" t="inlineStr">
        <is>
          <t>Agilent</t>
        </is>
      </c>
      <c r="C24" t="inlineStr">
        <is>
          <t>Agilent 1290 Infinity III LC</t>
        </is>
      </c>
      <c r="D24" t="inlineStr">
        <is>
          <t>flagship UHPLC liquid chromatography system</t>
        </is>
      </c>
      <c r="E24" t="inlineStr">
        <is>
          <t>prior</t>
        </is>
      </c>
    </row>
    <row r="25">
      <c r="A25" t="n">
        <v>53</v>
      </c>
      <c r="B25" t="inlineStr">
        <is>
          <t>Agilent</t>
        </is>
      </c>
      <c r="C25" t="inlineStr">
        <is>
          <t>Agilent 8890 GC / 7010 Triple Quad GC/MS</t>
        </is>
      </c>
      <c r="D25" t="inlineStr">
        <is>
          <t>gas chromatograph and GC-MS/MS systems</t>
        </is>
      </c>
      <c r="E25" t="inlineStr">
        <is>
          <t>prior</t>
        </is>
      </c>
    </row>
    <row r="26">
      <c r="A26" t="n">
        <v>53</v>
      </c>
      <c r="B26" t="inlineStr">
        <is>
          <t>Agilent</t>
        </is>
      </c>
      <c r="C26" t="inlineStr">
        <is>
          <t>Agilent BioTek Cytation</t>
        </is>
      </c>
      <c r="D26" t="inlineStr">
        <is>
          <t>cell imaging multimode microplate reader</t>
        </is>
      </c>
      <c r="E26" t="inlineStr">
        <is>
          <t>prior</t>
        </is>
      </c>
    </row>
    <row r="27">
      <c r="A27" t="n">
        <v>56</v>
      </c>
      <c r="B27" t="inlineStr">
        <is>
          <t>Agilent Technologies</t>
        </is>
      </c>
      <c r="C27" t="inlineStr">
        <is>
          <t>Agilent 1290 Infinity III LC</t>
        </is>
      </c>
      <c r="D27" t="inlineStr">
        <is>
          <t>flagship UHPLC liquid chromatography system</t>
        </is>
      </c>
      <c r="E27" t="inlineStr">
        <is>
          <t>prior</t>
        </is>
      </c>
    </row>
    <row r="28">
      <c r="A28" t="n">
        <v>56</v>
      </c>
      <c r="B28" t="inlineStr">
        <is>
          <t>Agilent Technologies</t>
        </is>
      </c>
      <c r="C28" t="inlineStr">
        <is>
          <t>Agilent 8890 GC / 7010 Triple Quad GC/MS</t>
        </is>
      </c>
      <c r="D28" t="inlineStr">
        <is>
          <t>gas chromatograph and GC-MS/MS systems</t>
        </is>
      </c>
      <c r="E28" t="inlineStr">
        <is>
          <t>prior</t>
        </is>
      </c>
    </row>
    <row r="29">
      <c r="A29" t="n">
        <v>56</v>
      </c>
      <c r="B29" t="inlineStr">
        <is>
          <t>Agilent Technologies</t>
        </is>
      </c>
      <c r="C29" t="inlineStr">
        <is>
          <t>Agilent BioTek Cytation</t>
        </is>
      </c>
      <c r="D29" t="inlineStr">
        <is>
          <t>cell imaging multimode microplate reader</t>
        </is>
      </c>
      <c r="E29" t="inlineStr">
        <is>
          <t>prior</t>
        </is>
      </c>
    </row>
    <row r="30">
      <c r="A30" t="n">
        <v>99</v>
      </c>
      <c r="B30" t="inlineStr">
        <is>
          <t>Analytik Jena</t>
        </is>
      </c>
      <c r="C30" t="inlineStr">
        <is>
          <t>PlasmaQuant 9100 / PlasmaQuant MS</t>
        </is>
      </c>
      <c r="D30" t="inlineStr">
        <is>
          <t>ICP-OES and ICP-MS spectrometers</t>
        </is>
      </c>
      <c r="E30" t="inlineStr">
        <is>
          <t>prior</t>
        </is>
      </c>
    </row>
    <row r="31">
      <c r="A31" t="n">
        <v>99</v>
      </c>
      <c r="B31" t="inlineStr">
        <is>
          <t>Analytik Jena</t>
        </is>
      </c>
      <c r="C31" t="inlineStr">
        <is>
          <t>contrAA 800</t>
        </is>
      </c>
      <c r="D31" t="inlineStr">
        <is>
          <t>high-resolution continuum-source AAS</t>
        </is>
      </c>
      <c r="E31" t="inlineStr">
        <is>
          <t>prior</t>
        </is>
      </c>
    </row>
    <row r="32">
      <c r="A32" t="n">
        <v>99</v>
      </c>
      <c r="B32" t="inlineStr">
        <is>
          <t>Analytik Jena</t>
        </is>
      </c>
      <c r="C32" t="inlineStr">
        <is>
          <t>multi N/C series</t>
        </is>
      </c>
      <c r="D32" t="inlineStr">
        <is>
          <t>TOC/TNb analyzers</t>
        </is>
      </c>
      <c r="E32" t="inlineStr">
        <is>
          <t>prior</t>
        </is>
      </c>
    </row>
    <row r="33">
      <c r="A33" t="n">
        <v>108</v>
      </c>
      <c r="B33" t="inlineStr">
        <is>
          <t>Anton Paar</t>
        </is>
      </c>
      <c r="C33" t="inlineStr">
        <is>
          <t>DMA density meters (e.g. DMA 5000 M)</t>
        </is>
      </c>
      <c r="D33" t="inlineStr">
        <is>
          <t>laboratory density &amp; concentration measurement</t>
        </is>
      </c>
      <c r="E33" t="inlineStr">
        <is>
          <t>prior</t>
        </is>
      </c>
    </row>
    <row r="34">
      <c r="A34" t="n">
        <v>108</v>
      </c>
      <c r="B34" t="inlineStr">
        <is>
          <t>Anton Paar</t>
        </is>
      </c>
      <c r="C34" t="inlineStr">
        <is>
          <t>MCR rheometer series (e.g. MCR 702e)</t>
        </is>
      </c>
      <c r="D34" t="inlineStr">
        <is>
          <t>rotational &amp; oscillatory rheometers</t>
        </is>
      </c>
      <c r="E34" t="inlineStr">
        <is>
          <t>prior</t>
        </is>
      </c>
    </row>
    <row r="35">
      <c r="A35" t="n">
        <v>108</v>
      </c>
      <c r="B35" t="inlineStr">
        <is>
          <t>Anton Paar</t>
        </is>
      </c>
      <c r="C35" t="inlineStr">
        <is>
          <t>Multiwave 5000 / 7000</t>
        </is>
      </c>
      <c r="D35" t="inlineStr">
        <is>
          <t>microwave sample digestion systems</t>
        </is>
      </c>
      <c r="E35" t="inlineStr">
        <is>
          <t>prior</t>
        </is>
      </c>
    </row>
    <row r="36">
      <c r="A36" t="n">
        <v>145</v>
      </c>
      <c r="B36" t="inlineStr">
        <is>
          <t>Avantor - J.T.Baker®</t>
        </is>
      </c>
      <c r="C36" t="inlineStr">
        <is>
          <t>VWR-brand consumables and lab supplies</t>
        </is>
      </c>
      <c r="D36" t="inlineStr">
        <is>
          <t>lab products sold through the VWR distribution channel</t>
        </is>
      </c>
      <c r="E36" t="inlineStr">
        <is>
          <t>prior</t>
        </is>
      </c>
    </row>
    <row r="37">
      <c r="A37" t="n">
        <v>145</v>
      </c>
      <c r="B37" t="inlineStr">
        <is>
          <t>Avantor - J.T.Baker®</t>
        </is>
      </c>
      <c r="C37" t="inlineStr">
        <is>
          <t>J.T.Baker chemicals</t>
        </is>
      </c>
      <c r="D37" t="inlineStr">
        <is>
          <t>high-purity lab chemicals and solvents</t>
        </is>
      </c>
      <c r="E37" t="inlineStr">
        <is>
          <t>prior</t>
        </is>
      </c>
    </row>
    <row r="38">
      <c r="A38" t="n">
        <v>145</v>
      </c>
      <c r="B38" t="inlineStr">
        <is>
          <t>Avantor - J.T.Baker®</t>
        </is>
      </c>
      <c r="C38" t="inlineStr">
        <is>
          <t>NuSil silicones</t>
        </is>
      </c>
      <c r="D38" t="inlineStr">
        <is>
          <t>medical- and implant-grade silicone materials</t>
        </is>
      </c>
      <c r="E38" t="inlineStr">
        <is>
          <t>prior</t>
        </is>
      </c>
    </row>
    <row r="39">
      <c r="A39" t="n">
        <v>146</v>
      </c>
      <c r="B39" t="inlineStr">
        <is>
          <t>Avantor - Macron Fine Chemicals™</t>
        </is>
      </c>
      <c r="C39" t="inlineStr">
        <is>
          <t>VWR-brand consumables and lab supplies</t>
        </is>
      </c>
      <c r="D39" t="inlineStr">
        <is>
          <t>lab products sold through the VWR distribution channel</t>
        </is>
      </c>
      <c r="E39" t="inlineStr">
        <is>
          <t>prior</t>
        </is>
      </c>
    </row>
    <row r="40">
      <c r="A40" t="n">
        <v>146</v>
      </c>
      <c r="B40" t="inlineStr">
        <is>
          <t>Avantor - Macron Fine Chemicals™</t>
        </is>
      </c>
      <c r="C40" t="inlineStr">
        <is>
          <t>J.T.Baker chemicals</t>
        </is>
      </c>
      <c r="D40" t="inlineStr">
        <is>
          <t>high-purity lab chemicals and solvents</t>
        </is>
      </c>
      <c r="E40" t="inlineStr">
        <is>
          <t>prior</t>
        </is>
      </c>
    </row>
    <row r="41">
      <c r="A41" t="n">
        <v>146</v>
      </c>
      <c r="B41" t="inlineStr">
        <is>
          <t>Avantor - Macron Fine Chemicals™</t>
        </is>
      </c>
      <c r="C41" t="inlineStr">
        <is>
          <t>NuSil silicones</t>
        </is>
      </c>
      <c r="D41" t="inlineStr">
        <is>
          <t>medical- and implant-grade silicone materials</t>
        </is>
      </c>
      <c r="E41" t="inlineStr">
        <is>
          <t>prior</t>
        </is>
      </c>
    </row>
    <row r="42">
      <c r="A42" t="n">
        <v>149</v>
      </c>
      <c r="B42" t="inlineStr">
        <is>
          <t>Azenta</t>
        </is>
      </c>
      <c r="C42" t="inlineStr">
        <is>
          <t>BioStore III Cryo</t>
        </is>
      </c>
      <c r="D42" t="inlineStr">
        <is>
          <t>automated LN2 cryogenic sample storage system</t>
        </is>
      </c>
      <c r="E42" t="inlineStr">
        <is>
          <t>prior</t>
        </is>
      </c>
    </row>
    <row r="43">
      <c r="A43" t="n">
        <v>149</v>
      </c>
      <c r="B43" t="inlineStr">
        <is>
          <t>Azenta</t>
        </is>
      </c>
      <c r="C43" t="inlineStr">
        <is>
          <t>FluidX / Ziath tubes and readers</t>
        </is>
      </c>
      <c r="D43" t="inlineStr">
        <is>
          <t>2D-barcoded sample tubes and rack scanners</t>
        </is>
      </c>
      <c r="E43" t="inlineStr">
        <is>
          <t>prior</t>
        </is>
      </c>
    </row>
    <row r="44">
      <c r="A44" t="n">
        <v>149</v>
      </c>
      <c r="B44" t="inlineStr">
        <is>
          <t>Azenta</t>
        </is>
      </c>
      <c r="C44" t="inlineStr">
        <is>
          <t>GENEWIZ services</t>
        </is>
      </c>
      <c r="D44" t="inlineStr">
        <is>
          <t>Sanger/NGS sequencing and gene synthesis services</t>
        </is>
      </c>
      <c r="E44" t="inlineStr">
        <is>
          <t>prior</t>
        </is>
      </c>
    </row>
    <row r="45">
      <c r="A45" t="n">
        <v>150</v>
      </c>
      <c r="B45" t="inlineStr">
        <is>
          <t>Azenta Life Sciences (formerly 4titude)</t>
        </is>
      </c>
      <c r="C45" t="inlineStr">
        <is>
          <t>BioStore III Cryo</t>
        </is>
      </c>
      <c r="D45" t="inlineStr">
        <is>
          <t>automated LN2 cryogenic sample storage system</t>
        </is>
      </c>
      <c r="E45" t="inlineStr">
        <is>
          <t>prior</t>
        </is>
      </c>
    </row>
    <row r="46">
      <c r="A46" t="n">
        <v>150</v>
      </c>
      <c r="B46" t="inlineStr">
        <is>
          <t>Azenta Life Sciences (formerly 4titude)</t>
        </is>
      </c>
      <c r="C46" t="inlineStr">
        <is>
          <t>FluidX / Ziath tubes and readers</t>
        </is>
      </c>
      <c r="D46" t="inlineStr">
        <is>
          <t>2D-barcoded sample tubes and rack scanners</t>
        </is>
      </c>
      <c r="E46" t="inlineStr">
        <is>
          <t>prior</t>
        </is>
      </c>
    </row>
    <row r="47">
      <c r="A47" t="n">
        <v>150</v>
      </c>
      <c r="B47" t="inlineStr">
        <is>
          <t>Azenta Life Sciences (formerly 4titude)</t>
        </is>
      </c>
      <c r="C47" t="inlineStr">
        <is>
          <t>GENEWIZ services</t>
        </is>
      </c>
      <c r="D47" t="inlineStr">
        <is>
          <t>Sanger/NGS sequencing and gene synthesis services</t>
        </is>
      </c>
      <c r="E47" t="inlineStr">
        <is>
          <t>prior</t>
        </is>
      </c>
    </row>
    <row r="48">
      <c r="A48" t="n">
        <v>165</v>
      </c>
      <c r="B48" t="inlineStr">
        <is>
          <t>BD Biosciences</t>
        </is>
      </c>
      <c r="C48" t="inlineStr">
        <is>
          <t>BD FACSDiscover S8</t>
        </is>
      </c>
      <c r="D48" t="inlineStr">
        <is>
          <t>spectral cell sorter with real-time cell imaging</t>
        </is>
      </c>
      <c r="E48" t="inlineStr">
        <is>
          <t>prior</t>
        </is>
      </c>
    </row>
    <row r="49">
      <c r="A49" t="n">
        <v>165</v>
      </c>
      <c r="B49" t="inlineStr">
        <is>
          <t>BD Biosciences</t>
        </is>
      </c>
      <c r="C49" t="inlineStr">
        <is>
          <t>BD FACSymphony A5 SE / A1</t>
        </is>
      </c>
      <c r="D49" t="inlineStr">
        <is>
          <t>high-parameter spectral flow cytometry analyzers</t>
        </is>
      </c>
      <c r="E49" t="inlineStr">
        <is>
          <t>prior</t>
        </is>
      </c>
    </row>
    <row r="50">
      <c r="A50" t="n">
        <v>165</v>
      </c>
      <c r="B50" t="inlineStr">
        <is>
          <t>BD Biosciences</t>
        </is>
      </c>
      <c r="C50" t="inlineStr">
        <is>
          <t>BD BACTEC FX, BD MAX, BD Phoenix</t>
        </is>
      </c>
      <c r="D50" t="inlineStr">
        <is>
          <t>blood-culture, molecular IVD and ID/AST systems</t>
        </is>
      </c>
      <c r="E50" t="inlineStr">
        <is>
          <t>prior</t>
        </is>
      </c>
    </row>
    <row r="51">
      <c r="A51" t="n">
        <v>168</v>
      </c>
      <c r="B51" t="inlineStr">
        <is>
          <t>Beckman Coulter</t>
        </is>
      </c>
      <c r="C51" t="inlineStr">
        <is>
          <t>DxH 900</t>
        </is>
      </c>
      <c r="D51" t="inlineStr">
        <is>
          <t>hematology analyzer (Diagnostics)</t>
        </is>
      </c>
      <c r="E51" t="inlineStr">
        <is>
          <t>prior</t>
        </is>
      </c>
    </row>
    <row r="52">
      <c r="A52" t="n">
        <v>168</v>
      </c>
      <c r="B52" t="inlineStr">
        <is>
          <t>Beckman Coulter</t>
        </is>
      </c>
      <c r="C52" t="inlineStr">
        <is>
          <t>DxI 9000 Access</t>
        </is>
      </c>
      <c r="D52" t="inlineStr">
        <is>
          <t>immunoassay analyzer (Diagnostics)</t>
        </is>
      </c>
      <c r="E52" t="inlineStr">
        <is>
          <t>prior</t>
        </is>
      </c>
    </row>
    <row r="53">
      <c r="A53" t="n">
        <v>168</v>
      </c>
      <c r="B53" t="inlineStr">
        <is>
          <t>Beckman Coulter</t>
        </is>
      </c>
      <c r="C53" t="inlineStr">
        <is>
          <t>CytoFLEX</t>
        </is>
      </c>
      <c r="D53" t="inlineStr">
        <is>
          <t>benchtop flow cytometers (Life Sciences)</t>
        </is>
      </c>
      <c r="E53" t="inlineStr">
        <is>
          <t>prior</t>
        </is>
      </c>
    </row>
    <row r="54">
      <c r="A54" t="n">
        <v>189</v>
      </c>
      <c r="B54" t="inlineStr">
        <is>
          <t>Binder</t>
        </is>
      </c>
      <c r="C54" t="inlineStr">
        <is>
          <t>KBF / KBF P series</t>
        </is>
      </c>
      <c r="D54" t="inlineStr">
        <is>
          <t>constant climate chambers for ICH stability testing</t>
        </is>
      </c>
      <c r="E54" t="inlineStr">
        <is>
          <t>prior</t>
        </is>
      </c>
    </row>
    <row r="55">
      <c r="A55" t="n">
        <v>189</v>
      </c>
      <c r="B55" t="inlineStr">
        <is>
          <t>Binder</t>
        </is>
      </c>
      <c r="C55" t="inlineStr">
        <is>
          <t>CB / CB-S series</t>
        </is>
      </c>
      <c r="D55" t="inlineStr">
        <is>
          <t>CO2 incubators with hot-air sterilisation</t>
        </is>
      </c>
      <c r="E55" t="inlineStr">
        <is>
          <t>prior</t>
        </is>
      </c>
    </row>
    <row r="56">
      <c r="A56" t="n">
        <v>189</v>
      </c>
      <c r="B56" t="inlineStr">
        <is>
          <t>Binder</t>
        </is>
      </c>
      <c r="C56" t="inlineStr">
        <is>
          <t>FD / FED / FP series</t>
        </is>
      </c>
      <c r="D56" t="inlineStr">
        <is>
          <t>drying and heating chambers (lab ovens)</t>
        </is>
      </c>
      <c r="E56" t="inlineStr">
        <is>
          <t>prior</t>
        </is>
      </c>
    </row>
    <row r="57">
      <c r="A57" t="n">
        <v>192</v>
      </c>
      <c r="B57" t="inlineStr">
        <is>
          <t>Bio-Rad</t>
        </is>
      </c>
      <c r="C57" t="inlineStr">
        <is>
          <t>QX600 Droplet Digital PCR</t>
        </is>
      </c>
      <c r="D57" t="inlineStr">
        <is>
          <t>ddPCR absolute nucleic-acid quantification system</t>
        </is>
      </c>
      <c r="E57" t="inlineStr">
        <is>
          <t>prior</t>
        </is>
      </c>
    </row>
    <row r="58">
      <c r="A58" t="n">
        <v>192</v>
      </c>
      <c r="B58" t="inlineStr">
        <is>
          <t>Bio-Rad</t>
        </is>
      </c>
      <c r="C58" t="inlineStr">
        <is>
          <t>CFX Opus Real-Time PCR</t>
        </is>
      </c>
      <c r="D58" t="inlineStr">
        <is>
          <t>qPCR detection systems</t>
        </is>
      </c>
      <c r="E58" t="inlineStr">
        <is>
          <t>prior</t>
        </is>
      </c>
    </row>
    <row r="59">
      <c r="A59" t="n">
        <v>192</v>
      </c>
      <c r="B59" t="inlineStr">
        <is>
          <t>Bio-Rad</t>
        </is>
      </c>
      <c r="C59" t="inlineStr">
        <is>
          <t>ChemiDoc MP</t>
        </is>
      </c>
      <c r="D59" t="inlineStr">
        <is>
          <t>gel and western-blot imaging system</t>
        </is>
      </c>
      <c r="E59" t="inlineStr">
        <is>
          <t>prior</t>
        </is>
      </c>
    </row>
    <row r="60">
      <c r="A60" t="n">
        <v>217</v>
      </c>
      <c r="B60" t="inlineStr">
        <is>
          <t>Biotage</t>
        </is>
      </c>
      <c r="C60" t="inlineStr">
        <is>
          <t>Biotage Selekt (with Sfär columns)</t>
        </is>
      </c>
      <c r="D60" t="inlineStr">
        <is>
          <t>flash chromatography purification system and columns</t>
        </is>
      </c>
      <c r="E60" t="inlineStr">
        <is>
          <t>prior</t>
        </is>
      </c>
    </row>
    <row r="61">
      <c r="A61" t="n">
        <v>217</v>
      </c>
      <c r="B61" t="inlineStr">
        <is>
          <t>Biotage</t>
        </is>
      </c>
      <c r="C61" t="inlineStr">
        <is>
          <t>Biotage Extrahera</t>
        </is>
      </c>
      <c r="D61" t="inlineStr">
        <is>
          <t>automated SPE/SLE sample-preparation workstation</t>
        </is>
      </c>
      <c r="E61" t="inlineStr">
        <is>
          <t>prior</t>
        </is>
      </c>
    </row>
    <row r="62">
      <c r="A62" t="n">
        <v>217</v>
      </c>
      <c r="B62" t="inlineStr">
        <is>
          <t>Biotage</t>
        </is>
      </c>
      <c r="C62" t="inlineStr">
        <is>
          <t>Biotage Initiator+ / Alstra+</t>
        </is>
      </c>
      <c r="D62" t="inlineStr">
        <is>
          <t>microwave organic and peptide synthesizers</t>
        </is>
      </c>
      <c r="E62" t="inlineStr">
        <is>
          <t>prior</t>
        </is>
      </c>
    </row>
    <row r="63">
      <c r="A63" t="n">
        <v>246</v>
      </c>
      <c r="B63" t="inlineStr">
        <is>
          <t>Brand</t>
        </is>
      </c>
      <c r="C63" t="inlineStr">
        <is>
          <t>Transferpette S / electronic</t>
        </is>
      </c>
      <c r="D63" t="inlineStr">
        <is>
          <t>single- and multichannel air-displacement pipettes</t>
        </is>
      </c>
      <c r="E63" t="inlineStr">
        <is>
          <t>prior</t>
        </is>
      </c>
    </row>
    <row r="64">
      <c r="A64" t="n">
        <v>246</v>
      </c>
      <c r="B64" t="inlineStr">
        <is>
          <t>Brand</t>
        </is>
      </c>
      <c r="C64" t="inlineStr">
        <is>
          <t>Dispensette S &amp; HandyStep</t>
        </is>
      </c>
      <c r="D64" t="inlineStr">
        <is>
          <t>bottle-top dispensers and repetitive pipettes</t>
        </is>
      </c>
      <c r="E64" t="inlineStr">
        <is>
          <t>prior</t>
        </is>
      </c>
    </row>
    <row r="65">
      <c r="A65" t="n">
        <v>246</v>
      </c>
      <c r="B65" t="inlineStr">
        <is>
          <t>Brand</t>
        </is>
      </c>
      <c r="C65" t="inlineStr">
        <is>
          <t>BLAUBRAND volumetric glassware</t>
        </is>
      </c>
      <c r="D65" t="inlineStr">
        <is>
          <t>Class A flasks, pipettes, burettes</t>
        </is>
      </c>
      <c r="E65" t="inlineStr">
        <is>
          <t>prior</t>
        </is>
      </c>
    </row>
    <row r="66">
      <c r="A66" t="n">
        <v>247</v>
      </c>
      <c r="B66" t="inlineStr">
        <is>
          <t>BrandTech®</t>
        </is>
      </c>
      <c r="C66" t="inlineStr">
        <is>
          <t>Transferpette S / electronic</t>
        </is>
      </c>
      <c r="D66" t="inlineStr">
        <is>
          <t>single- and multichannel air-displacement pipettes</t>
        </is>
      </c>
      <c r="E66" t="inlineStr">
        <is>
          <t>prior</t>
        </is>
      </c>
    </row>
    <row r="67">
      <c r="A67" t="n">
        <v>247</v>
      </c>
      <c r="B67" t="inlineStr">
        <is>
          <t>BrandTech®</t>
        </is>
      </c>
      <c r="C67" t="inlineStr">
        <is>
          <t>Dispensette S &amp; HandyStep</t>
        </is>
      </c>
      <c r="D67" t="inlineStr">
        <is>
          <t>bottle-top dispensers and repetitive pipettes</t>
        </is>
      </c>
      <c r="E67" t="inlineStr">
        <is>
          <t>prior</t>
        </is>
      </c>
    </row>
    <row r="68">
      <c r="A68" t="n">
        <v>247</v>
      </c>
      <c r="B68" t="inlineStr">
        <is>
          <t>BrandTech®</t>
        </is>
      </c>
      <c r="C68" t="inlineStr">
        <is>
          <t>BLAUBRAND volumetric glassware</t>
        </is>
      </c>
      <c r="D68" t="inlineStr">
        <is>
          <t>Class A flasks, pipettes, burettes</t>
        </is>
      </c>
      <c r="E68" t="inlineStr">
        <is>
          <t>prior</t>
        </is>
      </c>
    </row>
    <row r="69">
      <c r="A69" t="n">
        <v>257</v>
      </c>
      <c r="B69" t="inlineStr">
        <is>
          <t>Buchi</t>
        </is>
      </c>
      <c r="C69" t="inlineStr">
        <is>
          <t>Rotavapor R-300</t>
        </is>
      </c>
      <c r="D69" t="inlineStr">
        <is>
          <t>modular rotary evaporator system</t>
        </is>
      </c>
      <c r="E69" t="inlineStr">
        <is>
          <t>prior</t>
        </is>
      </c>
    </row>
    <row r="70">
      <c r="A70" t="n">
        <v>257</v>
      </c>
      <c r="B70" t="inlineStr">
        <is>
          <t>Buchi</t>
        </is>
      </c>
      <c r="C70" t="inlineStr">
        <is>
          <t>Mini Spray Dryer S-300 / B-290</t>
        </is>
      </c>
      <c r="D70" t="inlineStr">
        <is>
          <t>laboratory spray dryers</t>
        </is>
      </c>
      <c r="E70" t="inlineStr">
        <is>
          <t>prior</t>
        </is>
      </c>
    </row>
    <row r="71">
      <c r="A71" t="n">
        <v>257</v>
      </c>
      <c r="B71" t="inlineStr">
        <is>
          <t>Buchi</t>
        </is>
      </c>
      <c r="C71" t="inlineStr">
        <is>
          <t>KjelMaster K-375 / Kjeldahl line</t>
        </is>
      </c>
      <c r="D71" t="inlineStr">
        <is>
          <t>nitrogen and protein determination systems</t>
        </is>
      </c>
      <c r="E71" t="inlineStr">
        <is>
          <t>prior</t>
        </is>
      </c>
    </row>
    <row r="72">
      <c r="A72" t="n">
        <v>345</v>
      </c>
      <c r="B72" t="inlineStr">
        <is>
          <t>Cole parmer</t>
        </is>
      </c>
      <c r="C72" t="inlineStr">
        <is>
          <t>Jenway spectrophotometers</t>
        </is>
      </c>
      <c r="D72" t="inlineStr">
        <is>
          <t>UV/Vis and visible benchtop spectrophotometers</t>
        </is>
      </c>
      <c r="E72" t="inlineStr">
        <is>
          <t>prior</t>
        </is>
      </c>
    </row>
    <row r="73">
      <c r="A73" t="n">
        <v>345</v>
      </c>
      <c r="B73" t="inlineStr">
        <is>
          <t>Cole parmer</t>
        </is>
      </c>
      <c r="C73" t="inlineStr">
        <is>
          <t>Environmental Express HotBlock</t>
        </is>
      </c>
      <c r="D73" t="inlineStr">
        <is>
          <t>sample digestion and prep for environmental testing</t>
        </is>
      </c>
      <c r="E73" t="inlineStr">
        <is>
          <t>prior</t>
        </is>
      </c>
    </row>
    <row r="74">
      <c r="A74" t="n">
        <v>345</v>
      </c>
      <c r="B74" t="inlineStr">
        <is>
          <t>Cole parmer</t>
        </is>
      </c>
      <c r="C74" t="inlineStr">
        <is>
          <t>Stuart / Techne benchtop equipment</t>
        </is>
      </c>
      <c r="D74" t="inlineStr">
        <is>
          <t>stirrers, shakers, hotplates, dry blocks, thermal cyclers</t>
        </is>
      </c>
      <c r="E74" t="inlineStr">
        <is>
          <t>prior</t>
        </is>
      </c>
    </row>
    <row r="75">
      <c r="A75" t="n">
        <v>362</v>
      </c>
      <c r="B75" t="inlineStr">
        <is>
          <t>Corning</t>
        </is>
      </c>
      <c r="C75" t="inlineStr">
        <is>
          <t>Falcon</t>
        </is>
      </c>
      <c r="D75" t="inlineStr">
        <is>
          <t>conical tubes, cell-culture plasticware, serological pipets</t>
        </is>
      </c>
      <c r="E75" t="inlineStr">
        <is>
          <t>prior</t>
        </is>
      </c>
    </row>
    <row r="76">
      <c r="A76" t="n">
        <v>362</v>
      </c>
      <c r="B76" t="inlineStr">
        <is>
          <t>Corning</t>
        </is>
      </c>
      <c r="C76" t="inlineStr">
        <is>
          <t>Corning Matrigel Matrix</t>
        </is>
      </c>
      <c r="D76" t="inlineStr">
        <is>
          <t>basement-membrane extract for 3D cell culture</t>
        </is>
      </c>
      <c r="E76" t="inlineStr">
        <is>
          <t>prior</t>
        </is>
      </c>
    </row>
    <row r="77">
      <c r="A77" t="n">
        <v>362</v>
      </c>
      <c r="B77" t="inlineStr">
        <is>
          <t>Corning</t>
        </is>
      </c>
      <c r="C77" t="inlineStr">
        <is>
          <t>Axygen</t>
        </is>
      </c>
      <c r="D77" t="inlineStr">
        <is>
          <t>pipette tips, PCR tubes/plates, genomics consumables</t>
        </is>
      </c>
      <c r="E77" t="inlineStr">
        <is>
          <t>prior</t>
        </is>
      </c>
    </row>
    <row r="78">
      <c r="A78" t="n">
        <v>388</v>
      </c>
      <c r="B78" t="inlineStr">
        <is>
          <t>Cytiva</t>
        </is>
      </c>
      <c r="C78" t="inlineStr">
        <is>
          <t>AKTA</t>
        </is>
      </c>
      <c r="D78" t="inlineStr">
        <is>
          <t>protein purification chromatography systems</t>
        </is>
      </c>
      <c r="E78" t="inlineStr">
        <is>
          <t>prior</t>
        </is>
      </c>
    </row>
    <row r="79">
      <c r="A79" t="n">
        <v>388</v>
      </c>
      <c r="B79" t="inlineStr">
        <is>
          <t>Cytiva</t>
        </is>
      </c>
      <c r="C79" t="inlineStr">
        <is>
          <t>MabSelect / Capto resins</t>
        </is>
      </c>
      <c r="D79" t="inlineStr">
        <is>
          <t>chromatography resins for biologics manufacturing</t>
        </is>
      </c>
      <c r="E79" t="inlineStr">
        <is>
          <t>prior</t>
        </is>
      </c>
    </row>
    <row r="80">
      <c r="A80" t="n">
        <v>388</v>
      </c>
      <c r="B80" t="inlineStr">
        <is>
          <t>Cytiva</t>
        </is>
      </c>
      <c r="C80" t="inlineStr">
        <is>
          <t>Biacore</t>
        </is>
      </c>
      <c r="D80" t="inlineStr">
        <is>
          <t>surface plasmon resonance interaction analysis</t>
        </is>
      </c>
      <c r="E80" t="inlineStr">
        <is>
          <t>prior</t>
        </is>
      </c>
    </row>
    <row r="81">
      <c r="A81" t="n">
        <v>418</v>
      </c>
      <c r="B81" t="inlineStr">
        <is>
          <t>Duran</t>
        </is>
      </c>
      <c r="C81" t="inlineStr">
        <is>
          <t>DURAN laboratory glass bottles</t>
        </is>
      </c>
      <c r="D81" t="inlineStr">
        <is>
          <t>GL 45 borosilicate 3.3 bottles &amp; lab glassware</t>
        </is>
      </c>
      <c r="E81" t="inlineStr">
        <is>
          <t>prior</t>
        </is>
      </c>
    </row>
    <row r="82">
      <c r="A82" t="n">
        <v>418</v>
      </c>
      <c r="B82" t="inlineStr">
        <is>
          <t>Duran</t>
        </is>
      </c>
      <c r="C82" t="inlineStr">
        <is>
          <t>WHEATON vials &amp; serum bottles</t>
        </is>
      </c>
      <c r="D82" t="inlineStr">
        <is>
          <t>glass vials, serum bottles, packaging</t>
        </is>
      </c>
      <c r="E82" t="inlineStr">
        <is>
          <t>prior</t>
        </is>
      </c>
    </row>
    <row r="83">
      <c r="A83" t="n">
        <v>418</v>
      </c>
      <c r="B83" t="inlineStr">
        <is>
          <t>Duran</t>
        </is>
      </c>
      <c r="C83" t="inlineStr">
        <is>
          <t>KIMBLE KIMAX glassware</t>
        </is>
      </c>
      <c r="D83" t="inlineStr">
        <is>
          <t>volumetric &amp; general laboratory glassware</t>
        </is>
      </c>
      <c r="E83" t="inlineStr">
        <is>
          <t>prior</t>
        </is>
      </c>
    </row>
    <row r="84">
      <c r="A84" t="n">
        <v>422</v>
      </c>
      <c r="B84" t="inlineStr">
        <is>
          <t>DWK Life Sciences (Wheaton)</t>
        </is>
      </c>
      <c r="C84" t="inlineStr">
        <is>
          <t>DURAN laboratory glass bottles</t>
        </is>
      </c>
      <c r="D84" t="inlineStr">
        <is>
          <t>GL 45 borosilicate 3.3 bottles &amp; lab glassware</t>
        </is>
      </c>
      <c r="E84" t="inlineStr">
        <is>
          <t>prior</t>
        </is>
      </c>
    </row>
    <row r="85">
      <c r="A85" t="n">
        <v>422</v>
      </c>
      <c r="B85" t="inlineStr">
        <is>
          <t>DWK Life Sciences (Wheaton)</t>
        </is>
      </c>
      <c r="C85" t="inlineStr">
        <is>
          <t>WHEATON vials &amp; serum bottles</t>
        </is>
      </c>
      <c r="D85" t="inlineStr">
        <is>
          <t>glass vials, serum bottles, packaging</t>
        </is>
      </c>
      <c r="E85" t="inlineStr">
        <is>
          <t>prior</t>
        </is>
      </c>
    </row>
    <row r="86">
      <c r="A86" t="n">
        <v>422</v>
      </c>
      <c r="B86" t="inlineStr">
        <is>
          <t>DWK Life Sciences (Wheaton)</t>
        </is>
      </c>
      <c r="C86" t="inlineStr">
        <is>
          <t>KIMBLE KIMAX glassware</t>
        </is>
      </c>
      <c r="D86" t="inlineStr">
        <is>
          <t>volumetric &amp; general laboratory glassware</t>
        </is>
      </c>
      <c r="E86" t="inlineStr">
        <is>
          <t>prior</t>
        </is>
      </c>
    </row>
    <row r="87">
      <c r="A87" t="n">
        <v>451</v>
      </c>
      <c r="B87" t="inlineStr">
        <is>
          <t>Electrothermal (Cole-Parmer)</t>
        </is>
      </c>
      <c r="C87" t="inlineStr">
        <is>
          <t>Jenway spectrophotometers</t>
        </is>
      </c>
      <c r="D87" t="inlineStr">
        <is>
          <t>UV/Vis and visible benchtop spectrophotometers</t>
        </is>
      </c>
      <c r="E87" t="inlineStr">
        <is>
          <t>prior</t>
        </is>
      </c>
    </row>
    <row r="88">
      <c r="A88" t="n">
        <v>451</v>
      </c>
      <c r="B88" t="inlineStr">
        <is>
          <t>Electrothermal (Cole-Parmer)</t>
        </is>
      </c>
      <c r="C88" t="inlineStr">
        <is>
          <t>Environmental Express HotBlock</t>
        </is>
      </c>
      <c r="D88" t="inlineStr">
        <is>
          <t>sample digestion and prep for environmental testing</t>
        </is>
      </c>
      <c r="E88" t="inlineStr">
        <is>
          <t>prior</t>
        </is>
      </c>
    </row>
    <row r="89">
      <c r="A89" t="n">
        <v>451</v>
      </c>
      <c r="B89" t="inlineStr">
        <is>
          <t>Electrothermal (Cole-Parmer)</t>
        </is>
      </c>
      <c r="C89" t="inlineStr">
        <is>
          <t>Stuart / Techne benchtop equipment</t>
        </is>
      </c>
      <c r="D89" t="inlineStr">
        <is>
          <t>stirrers, shakers, hotplates, dry blocks, thermal cyclers</t>
        </is>
      </c>
      <c r="E89" t="inlineStr">
        <is>
          <t>prior</t>
        </is>
      </c>
    </row>
    <row r="90">
      <c r="A90" t="n">
        <v>470</v>
      </c>
      <c r="B90" t="inlineStr">
        <is>
          <t>Eppendorf</t>
        </is>
      </c>
      <c r="C90" t="inlineStr">
        <is>
          <t>Eppendorf Research plus</t>
        </is>
      </c>
      <c r="D90" t="inlineStr">
        <is>
          <t>manual mechanical pipettes</t>
        </is>
      </c>
      <c r="E90" t="inlineStr">
        <is>
          <t>prior</t>
        </is>
      </c>
    </row>
    <row r="91">
      <c r="A91" t="n">
        <v>470</v>
      </c>
      <c r="B91" t="inlineStr">
        <is>
          <t>Eppendorf</t>
        </is>
      </c>
      <c r="C91" t="inlineStr">
        <is>
          <t>Centrifuge 5430 / 5910 Ri</t>
        </is>
      </c>
      <c r="D91" t="inlineStr">
        <is>
          <t>benchtop refrigerated centrifuges</t>
        </is>
      </c>
      <c r="E91" t="inlineStr">
        <is>
          <t>prior</t>
        </is>
      </c>
    </row>
    <row r="92">
      <c r="A92" t="n">
        <v>470</v>
      </c>
      <c r="B92" t="inlineStr">
        <is>
          <t>Eppendorf</t>
        </is>
      </c>
      <c r="C92" t="inlineStr">
        <is>
          <t>epMotion</t>
        </is>
      </c>
      <c r="D92" t="inlineStr">
        <is>
          <t>automated liquid-handling workstations</t>
        </is>
      </c>
      <c r="E92" t="inlineStr">
        <is>
          <t>prior</t>
        </is>
      </c>
    </row>
    <row r="93">
      <c r="A93" t="n">
        <v>477</v>
      </c>
      <c r="B93" t="inlineStr">
        <is>
          <t>Esco</t>
        </is>
      </c>
      <c r="C93" t="inlineStr">
        <is>
          <t>Airstream Class II (Gen 3)</t>
        </is>
      </c>
      <c r="D93" t="inlineStr">
        <is>
          <t>biological safety cabinets</t>
        </is>
      </c>
      <c r="E93" t="inlineStr">
        <is>
          <t>prior</t>
        </is>
      </c>
    </row>
    <row r="94">
      <c r="A94" t="n">
        <v>477</v>
      </c>
      <c r="B94" t="inlineStr">
        <is>
          <t>Esco</t>
        </is>
      </c>
      <c r="C94" t="inlineStr">
        <is>
          <t>CelCulture</t>
        </is>
      </c>
      <c r="D94" t="inlineStr">
        <is>
          <t>CO2 incubators</t>
        </is>
      </c>
      <c r="E94" t="inlineStr">
        <is>
          <t>prior</t>
        </is>
      </c>
    </row>
    <row r="95">
      <c r="A95" t="n">
        <v>477</v>
      </c>
      <c r="B95" t="inlineStr">
        <is>
          <t>Esco</t>
        </is>
      </c>
      <c r="C95" t="inlineStr">
        <is>
          <t>Isoclean / Streamline isolators</t>
        </is>
      </c>
      <c r="D95" t="inlineStr">
        <is>
          <t>aseptic and containment isolators</t>
        </is>
      </c>
      <c r="E95" t="inlineStr">
        <is>
          <t>prior</t>
        </is>
      </c>
    </row>
    <row r="96">
      <c r="A96" t="n">
        <v>552</v>
      </c>
      <c r="B96" t="inlineStr">
        <is>
          <t>Gilson Co. Inc.</t>
        </is>
      </c>
      <c r="C96" t="inlineStr">
        <is>
          <t>PIPETMAN L / G / P</t>
        </is>
      </c>
      <c r="D96" t="inlineStr">
        <is>
          <t>manual air-displacement micropipettes</t>
        </is>
      </c>
      <c r="E96" t="inlineStr">
        <is>
          <t>prior</t>
        </is>
      </c>
    </row>
    <row r="97">
      <c r="A97" t="n">
        <v>552</v>
      </c>
      <c r="B97" t="inlineStr">
        <is>
          <t>Gilson Co. Inc.</t>
        </is>
      </c>
      <c r="C97" t="inlineStr">
        <is>
          <t>PLC 2050 / 2250 purification systems</t>
        </is>
      </c>
      <c r="D97" t="inlineStr">
        <is>
          <t>preparative HPLC / flash purification</t>
        </is>
      </c>
      <c r="E97" t="inlineStr">
        <is>
          <t>prior</t>
        </is>
      </c>
    </row>
    <row r="98">
      <c r="A98" t="n">
        <v>552</v>
      </c>
      <c r="B98" t="inlineStr">
        <is>
          <t>Gilson Co. Inc.</t>
        </is>
      </c>
      <c r="C98" t="inlineStr">
        <is>
          <t>GX-271 / GX-274 ASPEC</t>
        </is>
      </c>
      <c r="D98" t="inlineStr">
        <is>
          <t>liquid-handling and SPE automation platforms</t>
        </is>
      </c>
      <c r="E98" t="inlineStr">
        <is>
          <t>prior</t>
        </is>
      </c>
    </row>
    <row r="99">
      <c r="A99" t="n">
        <v>573</v>
      </c>
      <c r="B99" t="inlineStr">
        <is>
          <t>Greiner Bio-One</t>
        </is>
      </c>
      <c r="C99" t="inlineStr">
        <is>
          <t>VACUETTE</t>
        </is>
      </c>
      <c r="D99" t="inlineStr">
        <is>
          <t>evacuated blood collection tubes &amp; safety needles</t>
        </is>
      </c>
      <c r="E99" t="inlineStr">
        <is>
          <t>prior</t>
        </is>
      </c>
    </row>
    <row r="100">
      <c r="A100" t="n">
        <v>573</v>
      </c>
      <c r="B100" t="inlineStr">
        <is>
          <t>Greiner Bio-One</t>
        </is>
      </c>
      <c r="C100" t="inlineStr">
        <is>
          <t>CELLSTAR</t>
        </is>
      </c>
      <c r="D100" t="inlineStr">
        <is>
          <t>cell culture flasks, dishes &amp; plates</t>
        </is>
      </c>
      <c r="E100" t="inlineStr">
        <is>
          <t>prior</t>
        </is>
      </c>
    </row>
    <row r="101">
      <c r="A101" t="n">
        <v>573</v>
      </c>
      <c r="B101" t="inlineStr">
        <is>
          <t>Greiner Bio-One</t>
        </is>
      </c>
      <c r="C101" t="inlineStr">
        <is>
          <t>Sapphire tips &amp; µClear microplates</t>
        </is>
      </c>
      <c r="D101" t="inlineStr">
        <is>
          <t>pipette tips, PCR &amp; assay microplates</t>
        </is>
      </c>
      <c r="E101" t="inlineStr">
        <is>
          <t>prior</t>
        </is>
      </c>
    </row>
    <row r="102">
      <c r="A102" t="n">
        <v>584</v>
      </c>
      <c r="B102" t="inlineStr">
        <is>
          <t>Hach</t>
        </is>
      </c>
      <c r="C102" t="inlineStr">
        <is>
          <t>DR3900 / DR6000</t>
        </is>
      </c>
      <c r="D102" t="inlineStr">
        <is>
          <t>benchtop VIS / UV-VIS spectrophotometers for water analysis</t>
        </is>
      </c>
      <c r="E102" t="inlineStr">
        <is>
          <t>prior</t>
        </is>
      </c>
    </row>
    <row r="103">
      <c r="A103" t="n">
        <v>584</v>
      </c>
      <c r="B103" t="inlineStr">
        <is>
          <t>Hach</t>
        </is>
      </c>
      <c r="C103" t="inlineStr">
        <is>
          <t>TNTplus</t>
        </is>
      </c>
      <c r="D103" t="inlineStr">
        <is>
          <t>barcoded reagent-vial test chemistries</t>
        </is>
      </c>
      <c r="E103" t="inlineStr">
        <is>
          <t>prior</t>
        </is>
      </c>
    </row>
    <row r="104">
      <c r="A104" t="n">
        <v>584</v>
      </c>
      <c r="B104" t="inlineStr">
        <is>
          <t>Hach</t>
        </is>
      </c>
      <c r="C104" t="inlineStr">
        <is>
          <t>HQ series (HQ1100/HQ4300) with Intellical probes</t>
        </is>
      </c>
      <c r="D104" t="inlineStr">
        <is>
          <t>portable and benchtop pH / DO / conductivity meters</t>
        </is>
      </c>
      <c r="E104" t="inlineStr">
        <is>
          <t>prior</t>
        </is>
      </c>
    </row>
    <row r="105">
      <c r="A105" t="n">
        <v>585</v>
      </c>
      <c r="B105" t="inlineStr">
        <is>
          <t>Haier</t>
        </is>
      </c>
      <c r="C105" t="inlineStr">
        <is>
          <t>DW-86L series</t>
        </is>
      </c>
      <c r="D105" t="inlineStr">
        <is>
          <t>-86C ultra-low temperature freezers</t>
        </is>
      </c>
      <c r="E105" t="inlineStr">
        <is>
          <t>prior</t>
        </is>
      </c>
    </row>
    <row r="106">
      <c r="A106" t="n">
        <v>585</v>
      </c>
      <c r="B106" t="inlineStr">
        <is>
          <t>Haier</t>
        </is>
      </c>
      <c r="C106" t="inlineStr">
        <is>
          <t>Automated Biobank</t>
        </is>
      </c>
      <c r="D106" t="inlineStr">
        <is>
          <t>automated -80C / LN2 sample storage systems</t>
        </is>
      </c>
      <c r="E106" t="inlineStr">
        <is>
          <t>prior</t>
        </is>
      </c>
    </row>
    <row r="107">
      <c r="A107" t="n">
        <v>585</v>
      </c>
      <c r="B107" t="inlineStr">
        <is>
          <t>Haier</t>
        </is>
      </c>
      <c r="C107" t="inlineStr">
        <is>
          <t>HXC / HYC series</t>
        </is>
      </c>
      <c r="D107" t="inlineStr">
        <is>
          <t>blood bank and pharmacy/vaccine refrigerators</t>
        </is>
      </c>
      <c r="E107" t="inlineStr">
        <is>
          <t>prior</t>
        </is>
      </c>
    </row>
    <row r="108">
      <c r="A108" t="n">
        <v>587</v>
      </c>
      <c r="B108" t="inlineStr">
        <is>
          <t>Hamilton</t>
        </is>
      </c>
      <c r="C108" t="inlineStr">
        <is>
          <t>Microlab STAR / STARlet / Vantage</t>
        </is>
      </c>
      <c r="D108" t="inlineStr">
        <is>
          <t>automated liquid-handling workstations with CO-RE pipetting</t>
        </is>
      </c>
      <c r="E108" t="inlineStr">
        <is>
          <t>prior</t>
        </is>
      </c>
    </row>
    <row r="109">
      <c r="A109" t="n">
        <v>587</v>
      </c>
      <c r="B109" t="inlineStr">
        <is>
          <t>Hamilton</t>
        </is>
      </c>
      <c r="C109" t="inlineStr">
        <is>
          <t>Hamilton precision syringes (Microliter / Gastight)</t>
        </is>
      </c>
      <c r="D109" t="inlineStr">
        <is>
          <t>glass microliter syringes for GC/HPLC autosamplers</t>
        </is>
      </c>
      <c r="E109" t="inlineStr">
        <is>
          <t>prior</t>
        </is>
      </c>
    </row>
    <row r="110">
      <c r="A110" t="n">
        <v>587</v>
      </c>
      <c r="B110" t="inlineStr">
        <is>
          <t>Hamilton</t>
        </is>
      </c>
      <c r="C110" t="inlineStr">
        <is>
          <t>Hamilton Storage BiOS / SAM</t>
        </is>
      </c>
      <c r="D110" t="inlineStr">
        <is>
          <t>automated ultra-low-temperature sample storage systems</t>
        </is>
      </c>
      <c r="E110" t="inlineStr">
        <is>
          <t>prior</t>
        </is>
      </c>
    </row>
    <row r="111">
      <c r="A111" t="n">
        <v>590</v>
      </c>
      <c r="B111" t="inlineStr">
        <is>
          <t>Hanna Instruments</t>
        </is>
      </c>
      <c r="C111" t="inlineStr">
        <is>
          <t>HI931 / HI932</t>
        </is>
      </c>
      <c r="D111" t="inlineStr">
        <is>
          <t>automatic potentiometric titrators</t>
        </is>
      </c>
      <c r="E111" t="inlineStr">
        <is>
          <t>prior</t>
        </is>
      </c>
    </row>
    <row r="112">
      <c r="A112" t="n">
        <v>590</v>
      </c>
      <c r="B112" t="inlineStr">
        <is>
          <t>Hanna Instruments</t>
        </is>
      </c>
      <c r="C112" t="inlineStr">
        <is>
          <t>edge (HI2020)</t>
        </is>
      </c>
      <c r="D112" t="inlineStr">
        <is>
          <t>benchtop/portable pH, EC and DO meter</t>
        </is>
      </c>
      <c r="E112" t="inlineStr">
        <is>
          <t>prior</t>
        </is>
      </c>
    </row>
    <row r="113">
      <c r="A113" t="n">
        <v>590</v>
      </c>
      <c r="B113" t="inlineStr">
        <is>
          <t>Hanna Instruments</t>
        </is>
      </c>
      <c r="C113" t="inlineStr">
        <is>
          <t>HI83300 series &amp; Checker HC</t>
        </is>
      </c>
      <c r="D113" t="inlineStr">
        <is>
          <t>multiparameter photometers and handheld colorimeters</t>
        </is>
      </c>
      <c r="E113" t="inlineStr">
        <is>
          <t>prior</t>
        </is>
      </c>
    </row>
    <row r="114">
      <c r="A114" t="n">
        <v>596</v>
      </c>
      <c r="B114" t="inlineStr">
        <is>
          <t>Heathrow Scientific</t>
        </is>
      </c>
      <c r="C114" t="inlineStr">
        <is>
          <t>OneRack® Full-Size Delrin® POM Test Tube Racks</t>
        </is>
      </c>
      <c r="E114" t="inlineStr">
        <is>
          <t>thomassci</t>
        </is>
      </c>
      <c r="F114" t="inlineStr">
        <is>
          <t>https://www.thomassci.com/p/onerack-full-size-delrin-pom-test-tube-racks</t>
        </is>
      </c>
    </row>
    <row r="115">
      <c r="A115" t="n">
        <v>596</v>
      </c>
      <c r="B115" t="inlineStr">
        <is>
          <t>Heathrow Scientific</t>
        </is>
      </c>
      <c r="C115" t="inlineStr">
        <is>
          <t>Disposable Transfer Pipets</t>
        </is>
      </c>
      <c r="E115" t="inlineStr">
        <is>
          <t>thomassci</t>
        </is>
      </c>
      <c r="F115" t="inlineStr">
        <is>
          <t>https://www.thomassci.com/p/disposable-transfer-pipets</t>
        </is>
      </c>
    </row>
    <row r="116">
      <c r="A116" t="n">
        <v>596</v>
      </c>
      <c r="B116" t="inlineStr">
        <is>
          <t>Heathrow Scientific</t>
        </is>
      </c>
      <c r="C116" t="inlineStr">
        <is>
          <t>Cube Rack</t>
        </is>
      </c>
      <c r="E116" t="inlineStr">
        <is>
          <t>thomassci</t>
        </is>
      </c>
      <c r="F116" t="inlineStr">
        <is>
          <t>https://www.thomassci.com/p/cube-rack</t>
        </is>
      </c>
    </row>
    <row r="117">
      <c r="A117" t="n">
        <v>596</v>
      </c>
      <c r="B117" t="inlineStr">
        <is>
          <t>Heathrow Scientific</t>
        </is>
      </c>
      <c r="C117" t="inlineStr">
        <is>
          <t>Spatulas</t>
        </is>
      </c>
      <c r="E117" t="inlineStr">
        <is>
          <t>thomassci</t>
        </is>
      </c>
      <c r="F117" t="inlineStr">
        <is>
          <t>https://www.thomassci.com/p/spatulas1</t>
        </is>
      </c>
    </row>
    <row r="118">
      <c r="A118" t="n">
        <v>596</v>
      </c>
      <c r="B118" t="inlineStr">
        <is>
          <t>Heathrow Scientific</t>
        </is>
      </c>
      <c r="C118" t="inlineStr">
        <is>
          <t>Sprout® Plus Mini Centrifuge</t>
        </is>
      </c>
      <c r="E118" t="inlineStr">
        <is>
          <t>thomassci</t>
        </is>
      </c>
      <c r="F118" t="inlineStr">
        <is>
          <t>https://www.thomassci.com/p/sprout-plus-mini-centrifuge</t>
        </is>
      </c>
    </row>
    <row r="119">
      <c r="A119" t="n">
        <v>597</v>
      </c>
      <c r="B119" t="inlineStr">
        <is>
          <t>Heidolph</t>
        </is>
      </c>
      <c r="C119" t="inlineStr">
        <is>
          <t>Hei-VAP series</t>
        </is>
      </c>
      <c r="D119" t="inlineStr">
        <is>
          <t>rotary evaporators (Core, Expert, Ultimate)</t>
        </is>
      </c>
      <c r="E119" t="inlineStr">
        <is>
          <t>prior</t>
        </is>
      </c>
    </row>
    <row r="120">
      <c r="A120" t="n">
        <v>597</v>
      </c>
      <c r="B120" t="inlineStr">
        <is>
          <t>Heidolph</t>
        </is>
      </c>
      <c r="C120" t="inlineStr">
        <is>
          <t>Hei-TORQUE series</t>
        </is>
      </c>
      <c r="D120" t="inlineStr">
        <is>
          <t>overhead stirrers</t>
        </is>
      </c>
      <c r="E120" t="inlineStr">
        <is>
          <t>prior</t>
        </is>
      </c>
    </row>
    <row r="121">
      <c r="A121" t="n">
        <v>597</v>
      </c>
      <c r="B121" t="inlineStr">
        <is>
          <t>Heidolph</t>
        </is>
      </c>
      <c r="C121" t="inlineStr">
        <is>
          <t>Hei-PLATE / Hei-Tec</t>
        </is>
      </c>
      <c r="D121" t="inlineStr">
        <is>
          <t>magnetic hotplate stirrers</t>
        </is>
      </c>
      <c r="E121" t="inlineStr">
        <is>
          <t>prior</t>
        </is>
      </c>
    </row>
    <row r="122">
      <c r="A122" t="n">
        <v>603</v>
      </c>
      <c r="B122" t="inlineStr">
        <is>
          <t>Hettich</t>
        </is>
      </c>
      <c r="C122" t="inlineStr">
        <is>
          <t>UNIVERSAL 320 / 320 R</t>
        </is>
      </c>
      <c r="D122" t="inlineStr">
        <is>
          <t>benchtop laboratory centrifuge</t>
        </is>
      </c>
      <c r="E122" t="inlineStr">
        <is>
          <t>prior</t>
        </is>
      </c>
    </row>
    <row r="123">
      <c r="A123" t="n">
        <v>603</v>
      </c>
      <c r="B123" t="inlineStr">
        <is>
          <t>Hettich</t>
        </is>
      </c>
      <c r="C123" t="inlineStr">
        <is>
          <t>ROTINA 380 / 420 (R)</t>
        </is>
      </c>
      <c r="D123" t="inlineStr">
        <is>
          <t>high-capacity benchtop centrifuges</t>
        </is>
      </c>
      <c r="E123" t="inlineStr">
        <is>
          <t>prior</t>
        </is>
      </c>
    </row>
    <row r="124">
      <c r="A124" t="n">
        <v>603</v>
      </c>
      <c r="B124" t="inlineStr">
        <is>
          <t>Hettich</t>
        </is>
      </c>
      <c r="C124" t="inlineStr">
        <is>
          <t>HettCube</t>
        </is>
      </c>
      <c r="D124" t="inlineStr">
        <is>
          <t>microbiological incubators</t>
        </is>
      </c>
      <c r="E124" t="inlineStr">
        <is>
          <t>prior</t>
        </is>
      </c>
    </row>
    <row r="125">
      <c r="A125" t="n">
        <v>604</v>
      </c>
      <c r="B125" t="inlineStr">
        <is>
          <t>Hettich Instruments</t>
        </is>
      </c>
      <c r="C125" t="inlineStr">
        <is>
          <t>UNIVERSAL 320 / 320 R</t>
        </is>
      </c>
      <c r="D125" t="inlineStr">
        <is>
          <t>benchtop laboratory centrifuge</t>
        </is>
      </c>
      <c r="E125" t="inlineStr">
        <is>
          <t>prior</t>
        </is>
      </c>
    </row>
    <row r="126">
      <c r="A126" t="n">
        <v>604</v>
      </c>
      <c r="B126" t="inlineStr">
        <is>
          <t>Hettich Instruments</t>
        </is>
      </c>
      <c r="C126" t="inlineStr">
        <is>
          <t>ROTINA 380 / 420 (R)</t>
        </is>
      </c>
      <c r="D126" t="inlineStr">
        <is>
          <t>high-capacity benchtop centrifuges</t>
        </is>
      </c>
      <c r="E126" t="inlineStr">
        <is>
          <t>prior</t>
        </is>
      </c>
    </row>
    <row r="127">
      <c r="A127" t="n">
        <v>604</v>
      </c>
      <c r="B127" t="inlineStr">
        <is>
          <t>Hettich Instruments</t>
        </is>
      </c>
      <c r="C127" t="inlineStr">
        <is>
          <t>HettCube</t>
        </is>
      </c>
      <c r="D127" t="inlineStr">
        <is>
          <t>microbiological incubators</t>
        </is>
      </c>
      <c r="E127" t="inlineStr">
        <is>
          <t>prior</t>
        </is>
      </c>
    </row>
    <row r="128">
      <c r="A128" t="n">
        <v>626</v>
      </c>
      <c r="B128" t="inlineStr">
        <is>
          <t>Huber USA</t>
        </is>
      </c>
      <c r="C128" t="inlineStr">
        <is>
          <t>Unistat</t>
        </is>
      </c>
      <c r="D128" t="inlineStr">
        <is>
          <t>highly dynamic temperature control systems (-125 to +425 C)</t>
        </is>
      </c>
      <c r="E128" t="inlineStr">
        <is>
          <t>prior</t>
        </is>
      </c>
    </row>
    <row r="129">
      <c r="A129" t="n">
        <v>626</v>
      </c>
      <c r="B129" t="inlineStr">
        <is>
          <t>Huber USA</t>
        </is>
      </c>
      <c r="C129" t="inlineStr">
        <is>
          <t>Unichiller</t>
        </is>
      </c>
      <c r="D129" t="inlineStr">
        <is>
          <t>recirculating chillers</t>
        </is>
      </c>
      <c r="E129" t="inlineStr">
        <is>
          <t>prior</t>
        </is>
      </c>
    </row>
    <row r="130">
      <c r="A130" t="n">
        <v>626</v>
      </c>
      <c r="B130" t="inlineStr">
        <is>
          <t>Huber USA</t>
        </is>
      </c>
      <c r="C130" t="inlineStr">
        <is>
          <t>Ministat / Petite Fleur / CC series</t>
        </is>
      </c>
      <c r="D130" t="inlineStr">
        <is>
          <t>compact bath and circulation thermostats</t>
        </is>
      </c>
      <c r="E130" t="inlineStr">
        <is>
          <t>prior</t>
        </is>
      </c>
    </row>
    <row r="131">
      <c r="A131" t="n">
        <v>647</v>
      </c>
      <c r="B131" t="inlineStr">
        <is>
          <t>Ika</t>
        </is>
      </c>
      <c r="C131" t="inlineStr">
        <is>
          <t>RCT basic / C-MAG HS</t>
        </is>
      </c>
      <c r="D131" t="inlineStr">
        <is>
          <t>magnetic hotplate stirrers</t>
        </is>
      </c>
      <c r="E131" t="inlineStr">
        <is>
          <t>prior</t>
        </is>
      </c>
    </row>
    <row r="132">
      <c r="A132" t="n">
        <v>647</v>
      </c>
      <c r="B132" t="inlineStr">
        <is>
          <t>Ika</t>
        </is>
      </c>
      <c r="C132" t="inlineStr">
        <is>
          <t>ULTRA-TURRAX T 25 / T 50</t>
        </is>
      </c>
      <c r="D132" t="inlineStr">
        <is>
          <t>high-shear dispersers / homogenisers</t>
        </is>
      </c>
      <c r="E132" t="inlineStr">
        <is>
          <t>prior</t>
        </is>
      </c>
    </row>
    <row r="133">
      <c r="A133" t="n">
        <v>647</v>
      </c>
      <c r="B133" t="inlineStr">
        <is>
          <t>Ika</t>
        </is>
      </c>
      <c r="C133" t="inlineStr">
        <is>
          <t>EUROSTAR / MICROSTAR</t>
        </is>
      </c>
      <c r="D133" t="inlineStr">
        <is>
          <t>overhead laboratory stirrers</t>
        </is>
      </c>
      <c r="E133" t="inlineStr">
        <is>
          <t>prior</t>
        </is>
      </c>
    </row>
    <row r="134">
      <c r="A134" t="n">
        <v>648</v>
      </c>
      <c r="B134" t="inlineStr">
        <is>
          <t>IKA Works</t>
        </is>
      </c>
      <c r="C134" t="inlineStr">
        <is>
          <t>RCT basic / C-MAG HS</t>
        </is>
      </c>
      <c r="D134" t="inlineStr">
        <is>
          <t>magnetic hotplate stirrers</t>
        </is>
      </c>
      <c r="E134" t="inlineStr">
        <is>
          <t>prior</t>
        </is>
      </c>
    </row>
    <row r="135">
      <c r="A135" t="n">
        <v>648</v>
      </c>
      <c r="B135" t="inlineStr">
        <is>
          <t>IKA Works</t>
        </is>
      </c>
      <c r="C135" t="inlineStr">
        <is>
          <t>ULTRA-TURRAX T 25 / T 50</t>
        </is>
      </c>
      <c r="D135" t="inlineStr">
        <is>
          <t>high-shear dispersers / homogenisers</t>
        </is>
      </c>
      <c r="E135" t="inlineStr">
        <is>
          <t>prior</t>
        </is>
      </c>
    </row>
    <row r="136">
      <c r="A136" t="n">
        <v>648</v>
      </c>
      <c r="B136" t="inlineStr">
        <is>
          <t>IKA Works</t>
        </is>
      </c>
      <c r="C136" t="inlineStr">
        <is>
          <t>EUROSTAR / MICROSTAR</t>
        </is>
      </c>
      <c r="D136" t="inlineStr">
        <is>
          <t>overhead laboratory stirrers</t>
        </is>
      </c>
      <c r="E136" t="inlineStr">
        <is>
          <t>prior</t>
        </is>
      </c>
    </row>
    <row r="137">
      <c r="A137" t="n">
        <v>669</v>
      </c>
      <c r="B137" t="inlineStr">
        <is>
          <t>Integra</t>
        </is>
      </c>
      <c r="C137" t="inlineStr">
        <is>
          <t>VIAFLO / VOYAGER</t>
        </is>
      </c>
      <c r="D137" t="inlineStr">
        <is>
          <t>electronic single- and multichannel pipettes</t>
        </is>
      </c>
      <c r="E137" t="inlineStr">
        <is>
          <t>prior</t>
        </is>
      </c>
    </row>
    <row r="138">
      <c r="A138" t="n">
        <v>669</v>
      </c>
      <c r="B138" t="inlineStr">
        <is>
          <t>Integra</t>
        </is>
      </c>
      <c r="C138" t="inlineStr">
        <is>
          <t>ASSIST PLUS</t>
        </is>
      </c>
      <c r="D138" t="inlineStr">
        <is>
          <t>benchtop pipetting robot for electronic pipettes</t>
        </is>
      </c>
      <c r="E138" t="inlineStr">
        <is>
          <t>prior</t>
        </is>
      </c>
    </row>
    <row r="139">
      <c r="A139" t="n">
        <v>669</v>
      </c>
      <c r="B139" t="inlineStr">
        <is>
          <t>Integra</t>
        </is>
      </c>
      <c r="C139" t="inlineStr">
        <is>
          <t>VACUSAFE / MEDIACLAVE</t>
        </is>
      </c>
      <c r="D139" t="inlineStr">
        <is>
          <t>aspiration system and media sterilizer/preparator</t>
        </is>
      </c>
      <c r="E139" t="inlineStr">
        <is>
          <t>prior</t>
        </is>
      </c>
    </row>
    <row r="140">
      <c r="A140" t="n">
        <v>670</v>
      </c>
      <c r="B140" t="inlineStr">
        <is>
          <t>INTEGRA Biosciences</t>
        </is>
      </c>
      <c r="C140" t="inlineStr">
        <is>
          <t>VIAFLO / VOYAGER</t>
        </is>
      </c>
      <c r="D140" t="inlineStr">
        <is>
          <t>electronic single- and multichannel pipettes</t>
        </is>
      </c>
      <c r="E140" t="inlineStr">
        <is>
          <t>prior</t>
        </is>
      </c>
    </row>
    <row r="141">
      <c r="A141" t="n">
        <v>670</v>
      </c>
      <c r="B141" t="inlineStr">
        <is>
          <t>INTEGRA Biosciences</t>
        </is>
      </c>
      <c r="C141" t="inlineStr">
        <is>
          <t>ASSIST PLUS</t>
        </is>
      </c>
      <c r="D141" t="inlineStr">
        <is>
          <t>benchtop pipetting robot for electronic pipettes</t>
        </is>
      </c>
      <c r="E141" t="inlineStr">
        <is>
          <t>prior</t>
        </is>
      </c>
    </row>
    <row r="142">
      <c r="A142" t="n">
        <v>670</v>
      </c>
      <c r="B142" t="inlineStr">
        <is>
          <t>INTEGRA Biosciences</t>
        </is>
      </c>
      <c r="C142" t="inlineStr">
        <is>
          <t>VACUSAFE / MEDIACLAVE</t>
        </is>
      </c>
      <c r="D142" t="inlineStr">
        <is>
          <t>aspiration system and media sterilizer/preparator</t>
        </is>
      </c>
      <c r="E142" t="inlineStr">
        <is>
          <t>prior</t>
        </is>
      </c>
    </row>
    <row r="143">
      <c r="A143" t="n">
        <v>692</v>
      </c>
      <c r="B143" t="inlineStr">
        <is>
          <t>Jasco</t>
        </is>
      </c>
      <c r="C143" t="inlineStr">
        <is>
          <t>J-1500</t>
        </is>
      </c>
      <c r="D143" t="inlineStr">
        <is>
          <t>circular dichroism (CD) spectrometer</t>
        </is>
      </c>
      <c r="E143" t="inlineStr">
        <is>
          <t>prior</t>
        </is>
      </c>
    </row>
    <row r="144">
      <c r="A144" t="n">
        <v>692</v>
      </c>
      <c r="B144" t="inlineStr">
        <is>
          <t>Jasco</t>
        </is>
      </c>
      <c r="C144" t="inlineStr">
        <is>
          <t>FT/IR-4X / FT/IR-6X</t>
        </is>
      </c>
      <c r="D144" t="inlineStr">
        <is>
          <t>FTIR spectrometers</t>
        </is>
      </c>
      <c r="E144" t="inlineStr">
        <is>
          <t>prior</t>
        </is>
      </c>
    </row>
    <row r="145">
      <c r="A145" t="n">
        <v>692</v>
      </c>
      <c r="B145" t="inlineStr">
        <is>
          <t>Jasco</t>
        </is>
      </c>
      <c r="C145" t="inlineStr">
        <is>
          <t>V-700 series (V-780)</t>
        </is>
      </c>
      <c r="D145" t="inlineStr">
        <is>
          <t>UV-Vis/NIR spectrophotometers</t>
        </is>
      </c>
      <c r="E145" t="inlineStr">
        <is>
          <t>prior</t>
        </is>
      </c>
    </row>
    <row r="146">
      <c r="A146" t="n">
        <v>695</v>
      </c>
      <c r="B146" t="inlineStr">
        <is>
          <t>Jenway (Cole-Parmer)</t>
        </is>
      </c>
      <c r="C146" t="inlineStr">
        <is>
          <t>Jenway spectrophotometers</t>
        </is>
      </c>
      <c r="D146" t="inlineStr">
        <is>
          <t>UV/Vis and visible benchtop spectrophotometers</t>
        </is>
      </c>
      <c r="E146" t="inlineStr">
        <is>
          <t>prior</t>
        </is>
      </c>
    </row>
    <row r="147">
      <c r="A147" t="n">
        <v>695</v>
      </c>
      <c r="B147" t="inlineStr">
        <is>
          <t>Jenway (Cole-Parmer)</t>
        </is>
      </c>
      <c r="C147" t="inlineStr">
        <is>
          <t>Environmental Express HotBlock</t>
        </is>
      </c>
      <c r="D147" t="inlineStr">
        <is>
          <t>sample digestion and prep for environmental testing</t>
        </is>
      </c>
      <c r="E147" t="inlineStr">
        <is>
          <t>prior</t>
        </is>
      </c>
    </row>
    <row r="148">
      <c r="A148" t="n">
        <v>695</v>
      </c>
      <c r="B148" t="inlineStr">
        <is>
          <t>Jenway (Cole-Parmer)</t>
        </is>
      </c>
      <c r="C148" t="inlineStr">
        <is>
          <t>Stuart / Techne benchtop equipment</t>
        </is>
      </c>
      <c r="D148" t="inlineStr">
        <is>
          <t>stirrers, shakers, hotplates, dry blocks, thermal cyclers</t>
        </is>
      </c>
      <c r="E148" t="inlineStr">
        <is>
          <t>prior</t>
        </is>
      </c>
    </row>
    <row r="149">
      <c r="A149" t="n">
        <v>696</v>
      </c>
      <c r="B149" t="inlineStr">
        <is>
          <t>JEOL USA</t>
        </is>
      </c>
      <c r="C149" t="inlineStr">
        <is>
          <t>JEM-ARM300F2 GRAND ARM2</t>
        </is>
      </c>
      <c r="D149" t="inlineStr">
        <is>
          <t>atomic-resolution aberration-corrected TEM/STEM</t>
        </is>
      </c>
      <c r="E149" t="inlineStr">
        <is>
          <t>prior</t>
        </is>
      </c>
    </row>
    <row r="150">
      <c r="A150" t="n">
        <v>696</v>
      </c>
      <c r="B150" t="inlineStr">
        <is>
          <t>JEOL USA</t>
        </is>
      </c>
      <c r="C150" t="inlineStr">
        <is>
          <t>JSM-IT800 / JSM-7900F</t>
        </is>
      </c>
      <c r="D150" t="inlineStr">
        <is>
          <t>field-emission scanning electron microscopes</t>
        </is>
      </c>
      <c r="E150" t="inlineStr">
        <is>
          <t>prior</t>
        </is>
      </c>
    </row>
    <row r="151">
      <c r="A151" t="n">
        <v>696</v>
      </c>
      <c r="B151" t="inlineStr">
        <is>
          <t>JEOL USA</t>
        </is>
      </c>
      <c r="C151" t="inlineStr">
        <is>
          <t>JNM-ECZ Luminous (ECZL)</t>
        </is>
      </c>
      <c r="D151" t="inlineStr">
        <is>
          <t>NMR spectrometer series</t>
        </is>
      </c>
      <c r="E151" t="inlineStr">
        <is>
          <t>prior</t>
        </is>
      </c>
    </row>
    <row r="152">
      <c r="A152" t="n">
        <v>700</v>
      </c>
      <c r="B152" t="inlineStr">
        <is>
          <t>Julabo</t>
        </is>
      </c>
      <c r="C152" t="inlineStr">
        <is>
          <t>PRESTO</t>
        </is>
      </c>
      <c r="D152" t="inlineStr">
        <is>
          <t>highly dynamic process temperature control systems</t>
        </is>
      </c>
      <c r="E152" t="inlineStr">
        <is>
          <t>prior</t>
        </is>
      </c>
    </row>
    <row r="153">
      <c r="A153" t="n">
        <v>700</v>
      </c>
      <c r="B153" t="inlineStr">
        <is>
          <t>Julabo</t>
        </is>
      </c>
      <c r="C153" t="inlineStr">
        <is>
          <t>CORIO / DYNEO / MAGIO</t>
        </is>
      </c>
      <c r="D153" t="inlineStr">
        <is>
          <t>refrigerated and heating circulators</t>
        </is>
      </c>
      <c r="E153" t="inlineStr">
        <is>
          <t>prior</t>
        </is>
      </c>
    </row>
    <row r="154">
      <c r="A154" t="n">
        <v>700</v>
      </c>
      <c r="B154" t="inlineStr">
        <is>
          <t>Julabo</t>
        </is>
      </c>
      <c r="C154" t="inlineStr">
        <is>
          <t>FL / FC series</t>
        </is>
      </c>
      <c r="D154" t="inlineStr">
        <is>
          <t>recirculating coolers (chillers)</t>
        </is>
      </c>
      <c r="E154" t="inlineStr">
        <is>
          <t>prior</t>
        </is>
      </c>
    </row>
    <row r="155">
      <c r="A155" t="n">
        <v>702</v>
      </c>
      <c r="B155" t="inlineStr">
        <is>
          <t>Justrite</t>
        </is>
      </c>
      <c r="C155" t="inlineStr">
        <is>
          <t>JUSTRITE Sure-Grip Yellow EX Flammable Safety Cabinet</t>
        </is>
      </c>
      <c r="E155" t="inlineStr">
        <is>
          <t>thomassci</t>
        </is>
      </c>
      <c r="F155" t="inlineStr">
        <is>
          <t>https://www.thomassci.com/p/justrite-sure-grip-yellow-ex-flammable-safety-cabinet-90-gallons-w/-2-shelves-and-2-self-close-doors-18-ga-cr-steel</t>
        </is>
      </c>
    </row>
    <row r="156">
      <c r="A156" t="n">
        <v>702</v>
      </c>
      <c r="B156" t="inlineStr">
        <is>
          <t>Justrite</t>
        </is>
      </c>
      <c r="C156" t="inlineStr">
        <is>
          <t>Sure-Grip® EX Countertop and Compac Cabinets for Corrosives</t>
        </is>
      </c>
      <c r="E156" t="inlineStr">
        <is>
          <t>thomassci</t>
        </is>
      </c>
      <c r="F156" t="inlineStr">
        <is>
          <t>https://www.thomassci.com/p/sure-grip-ex-countertop-and-compac-cabinets-for-corrosives</t>
        </is>
      </c>
    </row>
    <row r="157">
      <c r="A157" t="n">
        <v>702</v>
      </c>
      <c r="B157" t="inlineStr">
        <is>
          <t>Justrite</t>
        </is>
      </c>
      <c r="C157" t="inlineStr">
        <is>
          <t>Sure-Grip® EX Corrosives/Acid Steel Safety Cabinets</t>
        </is>
      </c>
      <c r="E157" t="inlineStr">
        <is>
          <t>thomassci</t>
        </is>
      </c>
      <c r="F157" t="inlineStr">
        <is>
          <t>https://www.thomassci.com/p/steel-acid-storage-cabinets</t>
        </is>
      </c>
    </row>
    <row r="158">
      <c r="A158" t="n">
        <v>702</v>
      </c>
      <c r="B158" t="inlineStr">
        <is>
          <t>Justrite</t>
        </is>
      </c>
      <c r="C158" t="inlineStr">
        <is>
          <t>Flammable Liquid Storage Cabinets, Compac</t>
        </is>
      </c>
      <c r="E158" t="inlineStr">
        <is>
          <t>thomassci</t>
        </is>
      </c>
      <c r="F158" t="inlineStr">
        <is>
          <t>https://www.thomassci.com/p/flammable-liquid-storage-cabinets-compac</t>
        </is>
      </c>
    </row>
    <row r="159">
      <c r="A159" t="n">
        <v>702</v>
      </c>
      <c r="B159" t="inlineStr">
        <is>
          <t>Justrite</t>
        </is>
      </c>
      <c r="C159" t="inlineStr">
        <is>
          <t>Safety Drum Funnel</t>
        </is>
      </c>
      <c r="E159" t="inlineStr">
        <is>
          <t>thomassci</t>
        </is>
      </c>
      <c r="F159" t="inlineStr">
        <is>
          <t>https://www.thomassci.com/p/safety-drum-funnel-large-steel-funnel-with-self-closing-cover-and-6-inch-flame-arrester-for-use-with-flammables</t>
        </is>
      </c>
    </row>
    <row r="160">
      <c r="A160" t="n">
        <v>720</v>
      </c>
      <c r="B160" t="inlineStr">
        <is>
          <t>Kimble</t>
        </is>
      </c>
      <c r="C160" t="inlineStr">
        <is>
          <t>DURAN laboratory glass bottles</t>
        </is>
      </c>
      <c r="D160" t="inlineStr">
        <is>
          <t>GL 45 borosilicate 3.3 bottles &amp; lab glassware</t>
        </is>
      </c>
      <c r="E160" t="inlineStr">
        <is>
          <t>prior</t>
        </is>
      </c>
    </row>
    <row r="161">
      <c r="A161" t="n">
        <v>720</v>
      </c>
      <c r="B161" t="inlineStr">
        <is>
          <t>Kimble</t>
        </is>
      </c>
      <c r="C161" t="inlineStr">
        <is>
          <t>WHEATON vials &amp; serum bottles</t>
        </is>
      </c>
      <c r="D161" t="inlineStr">
        <is>
          <t>glass vials, serum bottles, packaging</t>
        </is>
      </c>
      <c r="E161" t="inlineStr">
        <is>
          <t>prior</t>
        </is>
      </c>
    </row>
    <row r="162">
      <c r="A162" t="n">
        <v>720</v>
      </c>
      <c r="B162" t="inlineStr">
        <is>
          <t>Kimble</t>
        </is>
      </c>
      <c r="C162" t="inlineStr">
        <is>
          <t>KIMBLE KIMAX glassware</t>
        </is>
      </c>
      <c r="D162" t="inlineStr">
        <is>
          <t>volumetric &amp; general laboratory glassware</t>
        </is>
      </c>
      <c r="E162" t="inlineStr">
        <is>
          <t>prior</t>
        </is>
      </c>
    </row>
    <row r="163">
      <c r="A163" t="n">
        <v>738</v>
      </c>
      <c r="B163" t="inlineStr">
        <is>
          <t>Labcon</t>
        </is>
      </c>
      <c r="C163" t="inlineStr">
        <is>
          <t>Eclipse™ Macro 10mL Pipet Tips for Popular Pipettors</t>
        </is>
      </c>
      <c r="E163" t="inlineStr">
        <is>
          <t>thomassci</t>
        </is>
      </c>
      <c r="F163" t="inlineStr">
        <is>
          <t>https://www.thomassci.com/p/eclipse-macro-10ml-pipet-tips-for-popular-pipettors</t>
        </is>
      </c>
    </row>
    <row r="164">
      <c r="A164" t="n">
        <v>738</v>
      </c>
      <c r="B164" t="inlineStr">
        <is>
          <t>Labcon</t>
        </is>
      </c>
      <c r="C164" t="inlineStr">
        <is>
          <t>Microtube Storage Racks</t>
        </is>
      </c>
      <c r="E164" t="inlineStr">
        <is>
          <t>thomassci</t>
        </is>
      </c>
      <c r="F164" t="inlineStr">
        <is>
          <t>https://www.thomassci.com/p/microtube-storage-racks</t>
        </is>
      </c>
    </row>
    <row r="165">
      <c r="A165" t="n">
        <v>738</v>
      </c>
      <c r="B165" t="inlineStr">
        <is>
          <t>Labcon</t>
        </is>
      </c>
      <c r="C165" t="inlineStr">
        <is>
          <t>Eclipse™ 200µL Graduated Pipet Tips</t>
        </is>
      </c>
      <c r="E165" t="inlineStr">
        <is>
          <t>thomassci</t>
        </is>
      </c>
      <c r="F165" t="inlineStr">
        <is>
          <t>https://www.thomassci.com/p/eclipse-200l-graduated-pipet-tips</t>
        </is>
      </c>
    </row>
    <row r="166">
      <c r="A166" t="n">
        <v>738</v>
      </c>
      <c r="B166" t="inlineStr">
        <is>
          <t>Labcon</t>
        </is>
      </c>
      <c r="C166" t="inlineStr">
        <is>
          <t>2.0mL SuperClear® Microcentrifuge Tubes with Attached Caps</t>
        </is>
      </c>
      <c r="E166" t="inlineStr">
        <is>
          <t>thomassci</t>
        </is>
      </c>
      <c r="F166" t="inlineStr">
        <is>
          <t>https://www.thomassci.com/p/20ml-superclear-microcentrifuge-tubes-with-attached-caps</t>
        </is>
      </c>
    </row>
    <row r="167">
      <c r="A167" t="n">
        <v>738</v>
      </c>
      <c r="B167" t="inlineStr">
        <is>
          <t>Labcon</t>
        </is>
      </c>
      <c r="C167" t="inlineStr">
        <is>
          <t>ZAP™ SLIK 1000µL Low Retention Aerosol Filter Pipet Tips with Wide Orifice</t>
        </is>
      </c>
      <c r="E167" t="inlineStr">
        <is>
          <t>thomassci</t>
        </is>
      </c>
      <c r="F167" t="inlineStr">
        <is>
          <t>https://www.thomassci.com/p/zap-slik-1000l-low-retention-aerosol-filter-pipet-tips-with-wide-orifice</t>
        </is>
      </c>
    </row>
    <row r="168">
      <c r="A168" t="n">
        <v>739</v>
      </c>
      <c r="B168" t="inlineStr">
        <is>
          <t>Labconco</t>
        </is>
      </c>
      <c r="C168" t="inlineStr">
        <is>
          <t>Protector fume hoods (XStream / Premier)</t>
        </is>
      </c>
      <c r="D168" t="inlineStr">
        <is>
          <t>ducted and ductless chemical fume hoods</t>
        </is>
      </c>
      <c r="E168" t="inlineStr">
        <is>
          <t>prior</t>
        </is>
      </c>
    </row>
    <row r="169">
      <c r="A169" t="n">
        <v>739</v>
      </c>
      <c r="B169" t="inlineStr">
        <is>
          <t>Labconco</t>
        </is>
      </c>
      <c r="C169" t="inlineStr">
        <is>
          <t>FreeZone freeze dryers</t>
        </is>
      </c>
      <c r="D169" t="inlineStr">
        <is>
          <t>benchtop and console laboratory lyophilizers</t>
        </is>
      </c>
      <c r="E169" t="inlineStr">
        <is>
          <t>prior</t>
        </is>
      </c>
    </row>
    <row r="170">
      <c r="A170" t="n">
        <v>739</v>
      </c>
      <c r="B170" t="inlineStr">
        <is>
          <t>Labconco</t>
        </is>
      </c>
      <c r="C170" t="inlineStr">
        <is>
          <t>Purifier Logic+ biosafety cabinets</t>
        </is>
      </c>
      <c r="D170" t="inlineStr">
        <is>
          <t>Class II A2/B2/C1 biological safety cabinets</t>
        </is>
      </c>
      <c r="E170" t="inlineStr">
        <is>
          <t>prior</t>
        </is>
      </c>
    </row>
    <row r="171">
      <c r="A171" t="n">
        <v>751</v>
      </c>
      <c r="B171" t="inlineStr">
        <is>
          <t>Lauda</t>
        </is>
      </c>
      <c r="C171" t="inlineStr">
        <is>
          <t>Integral</t>
        </is>
      </c>
      <c r="D171" t="inlineStr">
        <is>
          <t>process thermostats for heating and cooling</t>
        </is>
      </c>
      <c r="E171" t="inlineStr">
        <is>
          <t>prior</t>
        </is>
      </c>
    </row>
    <row r="172">
      <c r="A172" t="n">
        <v>751</v>
      </c>
      <c r="B172" t="inlineStr">
        <is>
          <t>Lauda</t>
        </is>
      </c>
      <c r="C172" t="inlineStr">
        <is>
          <t>PRO / ECO / Alpha</t>
        </is>
      </c>
      <c r="D172" t="inlineStr">
        <is>
          <t>laboratory heating and cooling thermostats</t>
        </is>
      </c>
      <c r="E172" t="inlineStr">
        <is>
          <t>prior</t>
        </is>
      </c>
    </row>
    <row r="173">
      <c r="A173" t="n">
        <v>751</v>
      </c>
      <c r="B173" t="inlineStr">
        <is>
          <t>Lauda</t>
        </is>
      </c>
      <c r="C173" t="inlineStr">
        <is>
          <t>Ultracool / Variocool</t>
        </is>
      </c>
      <c r="D173" t="inlineStr">
        <is>
          <t>process circulation chillers</t>
        </is>
      </c>
      <c r="E173" t="inlineStr">
        <is>
          <t>prior</t>
        </is>
      </c>
    </row>
    <row r="174">
      <c r="A174" t="n">
        <v>757</v>
      </c>
      <c r="B174" t="inlineStr">
        <is>
          <t>Leica</t>
        </is>
      </c>
      <c r="C174" t="inlineStr">
        <is>
          <t>STELLARIS</t>
        </is>
      </c>
      <c r="D174" t="inlineStr">
        <is>
          <t>confocal microscopy platform</t>
        </is>
      </c>
      <c r="E174" t="inlineStr">
        <is>
          <t>prior</t>
        </is>
      </c>
    </row>
    <row r="175">
      <c r="A175" t="n">
        <v>757</v>
      </c>
      <c r="B175" t="inlineStr">
        <is>
          <t>Leica</t>
        </is>
      </c>
      <c r="C175" t="inlineStr">
        <is>
          <t>Mica</t>
        </is>
      </c>
      <c r="D175" t="inlineStr">
        <is>
          <t>automated widefield/confocal imaging microhub</t>
        </is>
      </c>
      <c r="E175" t="inlineStr">
        <is>
          <t>prior</t>
        </is>
      </c>
    </row>
    <row r="176">
      <c r="A176" t="n">
        <v>757</v>
      </c>
      <c r="B176" t="inlineStr">
        <is>
          <t>Leica</t>
        </is>
      </c>
      <c r="C176" t="inlineStr">
        <is>
          <t>THUNDER Imagers</t>
        </is>
      </c>
      <c r="D176" t="inlineStr">
        <is>
          <t>computational-clearing widefield imaging systems</t>
        </is>
      </c>
      <c r="E176" t="inlineStr">
        <is>
          <t>prior</t>
        </is>
      </c>
    </row>
    <row r="177">
      <c r="A177" t="n">
        <v>793</v>
      </c>
      <c r="B177" t="inlineStr">
        <is>
          <t>Luxor</t>
        </is>
      </c>
      <c r="C177" t="inlineStr">
        <is>
          <t>Utility Cart / Utility Bins</t>
        </is>
      </c>
      <c r="E177" t="inlineStr">
        <is>
          <t>thomassci</t>
        </is>
      </c>
      <c r="F177" t="inlineStr">
        <is>
          <t>https://www.thomassci.com/p/utility-cart-/-utility-bins</t>
        </is>
      </c>
    </row>
    <row r="178">
      <c r="A178" t="n">
        <v>793</v>
      </c>
      <c r="B178" t="inlineStr">
        <is>
          <t>Luxor</t>
        </is>
      </c>
      <c r="C178" t="inlineStr">
        <is>
          <t>Pneumatic Adjustable Height Flip-Top Student Desk/Nesting Desk</t>
        </is>
      </c>
      <c r="E178" t="inlineStr">
        <is>
          <t>thomassci</t>
        </is>
      </c>
      <c r="F178" t="inlineStr">
        <is>
          <t>https://www.thomassci.com/p/pneumatic-adjustable-height-flip-top-student-desk/nesting-desk</t>
        </is>
      </c>
    </row>
    <row r="179">
      <c r="A179" t="n">
        <v>793</v>
      </c>
      <c r="B179" t="inlineStr">
        <is>
          <t>Luxor</t>
        </is>
      </c>
      <c r="C179" t="inlineStr">
        <is>
          <t>Reversable Double Sided Whiteboard</t>
        </is>
      </c>
      <c r="E179" t="inlineStr">
        <is>
          <t>thomassci</t>
        </is>
      </c>
      <c r="F179" t="inlineStr">
        <is>
          <t>https://www.thomassci.com/p/reversable-double-sided-whiteboard</t>
        </is>
      </c>
    </row>
    <row r="180">
      <c r="A180" t="n">
        <v>793</v>
      </c>
      <c r="B180" t="inlineStr">
        <is>
          <t>Luxor</t>
        </is>
      </c>
      <c r="C180" t="inlineStr">
        <is>
          <t>SideTrak® Portable Freestanding and Attachable Monitors</t>
        </is>
      </c>
      <c r="E180" t="inlineStr">
        <is>
          <t>thomassci</t>
        </is>
      </c>
      <c r="F180" t="inlineStr">
        <is>
          <t>https://www.thomassci.com/p/sidetrak-portable-freestanding-and-attachable-monitors</t>
        </is>
      </c>
    </row>
    <row r="181">
      <c r="A181" t="n">
        <v>793</v>
      </c>
      <c r="B181" t="inlineStr">
        <is>
          <t>Luxor</t>
        </is>
      </c>
      <c r="C181" t="inlineStr">
        <is>
          <t>Three Shelf Tub Cart</t>
        </is>
      </c>
      <c r="E181" t="inlineStr">
        <is>
          <t>thomassci</t>
        </is>
      </c>
      <c r="F181" t="inlineStr">
        <is>
          <t>https://www.thomassci.com/p/three-shelf-tub-cart</t>
        </is>
      </c>
    </row>
    <row r="182">
      <c r="A182" t="n">
        <v>832</v>
      </c>
      <c r="B182" t="inlineStr">
        <is>
          <t>Memmert</t>
        </is>
      </c>
      <c r="C182" t="inlineStr">
        <is>
          <t>UN / UF series</t>
        </is>
      </c>
      <c r="D182" t="inlineStr">
        <is>
          <t>universal heating and drying ovens</t>
        </is>
      </c>
      <c r="E182" t="inlineStr">
        <is>
          <t>prior</t>
        </is>
      </c>
    </row>
    <row r="183">
      <c r="A183" t="n">
        <v>832</v>
      </c>
      <c r="B183" t="inlineStr">
        <is>
          <t>Memmert</t>
        </is>
      </c>
      <c r="C183" t="inlineStr">
        <is>
          <t>IN / IF / ICO series</t>
        </is>
      </c>
      <c r="D183" t="inlineStr">
        <is>
          <t>incubators, cooled and CO2 incubators</t>
        </is>
      </c>
      <c r="E183" t="inlineStr">
        <is>
          <t>prior</t>
        </is>
      </c>
    </row>
    <row r="184">
      <c r="A184" t="n">
        <v>832</v>
      </c>
      <c r="B184" t="inlineStr">
        <is>
          <t>Memmert</t>
        </is>
      </c>
      <c r="C184" t="inlineStr">
        <is>
          <t>HPP / ICH series</t>
        </is>
      </c>
      <c r="D184" t="inlineStr">
        <is>
          <t>constant climate and stability test chambers</t>
        </is>
      </c>
      <c r="E184" t="inlineStr">
        <is>
          <t>prior</t>
        </is>
      </c>
    </row>
    <row r="185">
      <c r="A185" t="n">
        <v>835</v>
      </c>
      <c r="B185" t="inlineStr">
        <is>
          <t>Merck</t>
        </is>
      </c>
      <c r="C185" t="inlineStr">
        <is>
          <t>Milli-Q</t>
        </is>
      </c>
      <c r="D185" t="inlineStr">
        <is>
          <t>laboratory ultrapure / pure water purification systems</t>
        </is>
      </c>
      <c r="E185" t="inlineStr">
        <is>
          <t>prior</t>
        </is>
      </c>
    </row>
    <row r="186">
      <c r="A186" t="n">
        <v>835</v>
      </c>
      <c r="B186" t="inlineStr">
        <is>
          <t>Merck</t>
        </is>
      </c>
      <c r="C186" t="inlineStr">
        <is>
          <t>Millipore filtration (Millex, Stericup, Mobius)</t>
        </is>
      </c>
      <c r="D186" t="inlineStr">
        <is>
          <t>lab filtration and single-use bioprocess products</t>
        </is>
      </c>
      <c r="E186" t="inlineStr">
        <is>
          <t>prior</t>
        </is>
      </c>
    </row>
    <row r="187">
      <c r="A187" t="n">
        <v>835</v>
      </c>
      <c r="B187" t="inlineStr">
        <is>
          <t>Merck</t>
        </is>
      </c>
      <c r="C187" t="inlineStr">
        <is>
          <t>Sigma-Aldrich research chemicals</t>
        </is>
      </c>
      <c r="D187" t="inlineStr">
        <is>
          <t>reagents, biochemicals and analytical standards</t>
        </is>
      </c>
      <c r="E187" t="inlineStr">
        <is>
          <t>prior</t>
        </is>
      </c>
    </row>
    <row r="188">
      <c r="A188" t="n">
        <v>846</v>
      </c>
      <c r="B188" t="inlineStr">
        <is>
          <t>Metrohm</t>
        </is>
      </c>
      <c r="C188" t="inlineStr">
        <is>
          <t>OMNIS</t>
        </is>
      </c>
      <c r="D188" t="inlineStr">
        <is>
          <t>modular automated titration platform</t>
        </is>
      </c>
      <c r="E188" t="inlineStr">
        <is>
          <t>prior</t>
        </is>
      </c>
    </row>
    <row r="189">
      <c r="A189" t="n">
        <v>846</v>
      </c>
      <c r="B189" t="inlineStr">
        <is>
          <t>Metrohm</t>
        </is>
      </c>
      <c r="C189" t="inlineStr">
        <is>
          <t>940 Professional IC Vario / Eco IC</t>
        </is>
      </c>
      <c r="D189" t="inlineStr">
        <is>
          <t>ion chromatography systems</t>
        </is>
      </c>
      <c r="E189" t="inlineStr">
        <is>
          <t>prior</t>
        </is>
      </c>
    </row>
    <row r="190">
      <c r="A190" t="n">
        <v>846</v>
      </c>
      <c r="B190" t="inlineStr">
        <is>
          <t>Metrohm</t>
        </is>
      </c>
      <c r="C190" t="inlineStr">
        <is>
          <t>Autolab PGSTAT204 / PGSTAT302N</t>
        </is>
      </c>
      <c r="D190" t="inlineStr">
        <is>
          <t>potentiostat/galvanostat electrochemistry workstations</t>
        </is>
      </c>
      <c r="E190" t="inlineStr">
        <is>
          <t>prior</t>
        </is>
      </c>
    </row>
    <row r="191">
      <c r="A191" t="n">
        <v>847</v>
      </c>
      <c r="B191" t="inlineStr">
        <is>
          <t>Mettler-Toledo</t>
        </is>
      </c>
      <c r="C191" t="inlineStr">
        <is>
          <t>XPR analytical &amp; micro balances</t>
        </is>
      </c>
      <c r="D191" t="inlineStr">
        <is>
          <t>high-precision laboratory balances</t>
        </is>
      </c>
      <c r="E191" t="inlineStr">
        <is>
          <t>prior</t>
        </is>
      </c>
    </row>
    <row r="192">
      <c r="A192" t="n">
        <v>847</v>
      </c>
      <c r="B192" t="inlineStr">
        <is>
          <t>Mettler-Toledo</t>
        </is>
      </c>
      <c r="C192" t="inlineStr">
        <is>
          <t>Rainin Pipet-Lite XLS / E4 XLS</t>
        </is>
      </c>
      <c r="D192" t="inlineStr">
        <is>
          <t>manual and electronic pipettes</t>
        </is>
      </c>
      <c r="E192" t="inlineStr">
        <is>
          <t>prior</t>
        </is>
      </c>
    </row>
    <row r="193">
      <c r="A193" t="n">
        <v>847</v>
      </c>
      <c r="B193" t="inlineStr">
        <is>
          <t>Mettler-Toledo</t>
        </is>
      </c>
      <c r="C193" t="inlineStr">
        <is>
          <t>Excellence Titrators &amp; SevenExcellence meters</t>
        </is>
      </c>
      <c r="D193" t="inlineStr">
        <is>
          <t>titration and pH/ion analysis</t>
        </is>
      </c>
      <c r="E193" t="inlineStr">
        <is>
          <t>prior</t>
        </is>
      </c>
    </row>
    <row r="194">
      <c r="A194" t="n">
        <v>865</v>
      </c>
      <c r="B194" t="inlineStr">
        <is>
          <t>MilliporeSigma</t>
        </is>
      </c>
      <c r="C194" t="inlineStr">
        <is>
          <t>Milli-Q</t>
        </is>
      </c>
      <c r="D194" t="inlineStr">
        <is>
          <t>laboratory ultrapure / pure water purification systems</t>
        </is>
      </c>
      <c r="E194" t="inlineStr">
        <is>
          <t>prior</t>
        </is>
      </c>
    </row>
    <row r="195">
      <c r="A195" t="n">
        <v>865</v>
      </c>
      <c r="B195" t="inlineStr">
        <is>
          <t>MilliporeSigma</t>
        </is>
      </c>
      <c r="C195" t="inlineStr">
        <is>
          <t>Millipore filtration (Millex, Stericup, Mobius)</t>
        </is>
      </c>
      <c r="D195" t="inlineStr">
        <is>
          <t>lab filtration and single-use bioprocess products</t>
        </is>
      </c>
      <c r="E195" t="inlineStr">
        <is>
          <t>prior</t>
        </is>
      </c>
    </row>
    <row r="196">
      <c r="A196" t="n">
        <v>865</v>
      </c>
      <c r="B196" t="inlineStr">
        <is>
          <t>MilliporeSigma</t>
        </is>
      </c>
      <c r="C196" t="inlineStr">
        <is>
          <t>Sigma-Aldrich research chemicals</t>
        </is>
      </c>
      <c r="D196" t="inlineStr">
        <is>
          <t>reagents, biochemicals and analytical standards</t>
        </is>
      </c>
      <c r="E196" t="inlineStr">
        <is>
          <t>prior</t>
        </is>
      </c>
    </row>
    <row r="197">
      <c r="A197" t="n">
        <v>898</v>
      </c>
      <c r="B197" t="inlineStr">
        <is>
          <t>Nabertherm</t>
        </is>
      </c>
      <c r="C197" t="inlineStr">
        <is>
          <t>L / LE / LT muffle furnaces</t>
        </is>
      </c>
      <c r="D197" t="inlineStr">
        <is>
          <t>laboratory muffle furnaces up to 1,300 °C</t>
        </is>
      </c>
      <c r="E197" t="inlineStr">
        <is>
          <t>prior</t>
        </is>
      </c>
    </row>
    <row r="198">
      <c r="A198" t="n">
        <v>898</v>
      </c>
      <c r="B198" t="inlineStr">
        <is>
          <t>Nabertherm</t>
        </is>
      </c>
      <c r="C198" t="inlineStr">
        <is>
          <t>RT / RS tube furnaces</t>
        </is>
      </c>
      <c r="D198" t="inlineStr">
        <is>
          <t>compact and rotary tube furnaces</t>
        </is>
      </c>
      <c r="E198" t="inlineStr">
        <is>
          <t>prior</t>
        </is>
      </c>
    </row>
    <row r="199">
      <c r="A199" t="n">
        <v>898</v>
      </c>
      <c r="B199" t="inlineStr">
        <is>
          <t>Nabertherm</t>
        </is>
      </c>
      <c r="C199" t="inlineStr">
        <is>
          <t>LHT / HTC high-temperature furnaces</t>
        </is>
      </c>
      <c r="D199" t="inlineStr">
        <is>
          <t>chamber furnaces up to 1,800 °C</t>
        </is>
      </c>
      <c r="E199" t="inlineStr">
        <is>
          <t>prior</t>
        </is>
      </c>
    </row>
    <row r="200">
      <c r="A200" t="n">
        <v>900</v>
      </c>
      <c r="B200" t="inlineStr">
        <is>
          <t>Nalgene</t>
        </is>
      </c>
      <c r="C200" t="inlineStr">
        <is>
          <t>Thermo Scientific Orbitrap Astral</t>
        </is>
      </c>
      <c r="D200" t="inlineStr">
        <is>
          <t>high-resolution Orbitrap LC-MS mass spectrometer</t>
        </is>
      </c>
      <c r="E200" t="inlineStr">
        <is>
          <t>prior</t>
        </is>
      </c>
    </row>
    <row r="201">
      <c r="A201" t="n">
        <v>900</v>
      </c>
      <c r="B201" t="inlineStr">
        <is>
          <t>Nalgene</t>
        </is>
      </c>
      <c r="C201" t="inlineStr">
        <is>
          <t>Applied Biosystems QuantStudio</t>
        </is>
      </c>
      <c r="D201" t="inlineStr">
        <is>
          <t>real-time PCR (qPCR/dPCR) instrument family</t>
        </is>
      </c>
      <c r="E201" t="inlineStr">
        <is>
          <t>prior</t>
        </is>
      </c>
    </row>
    <row r="202">
      <c r="A202" t="n">
        <v>900</v>
      </c>
      <c r="B202" t="inlineStr">
        <is>
          <t>Nalgene</t>
        </is>
      </c>
      <c r="C202" t="inlineStr">
        <is>
          <t>Thermo Scientific Krios cryo-TEM</t>
        </is>
      </c>
      <c r="D202" t="inlineStr">
        <is>
          <t>cryo-electron microscope for structural biology</t>
        </is>
      </c>
      <c r="E202" t="inlineStr">
        <is>
          <t>prior</t>
        </is>
      </c>
    </row>
    <row r="203">
      <c r="A203" t="n">
        <v>908</v>
      </c>
      <c r="B203" t="inlineStr">
        <is>
          <t>NEL Scientific</t>
        </is>
      </c>
      <c r="C203" t="inlineStr">
        <is>
          <t>Fluid Thioglycollate Medium (USP Formulation)</t>
        </is>
      </c>
      <c r="E203" t="inlineStr">
        <is>
          <t>thomassci</t>
        </is>
      </c>
      <c r="F203" t="inlineStr">
        <is>
          <t>https://www.thomassci.com/p/fluid-thioglycollate-medium-usp-formulation</t>
        </is>
      </c>
    </row>
    <row r="204">
      <c r="A204" t="n">
        <v>908</v>
      </c>
      <c r="B204" t="inlineStr">
        <is>
          <t>NEL Scientific</t>
        </is>
      </c>
      <c r="C204" t="inlineStr">
        <is>
          <t>MR-VP Broth</t>
        </is>
      </c>
      <c r="E204" t="inlineStr">
        <is>
          <t>thomassci</t>
        </is>
      </c>
      <c r="F204" t="inlineStr">
        <is>
          <t>https://www.thomassci.com/p/mr-vp-broth</t>
        </is>
      </c>
    </row>
    <row r="205">
      <c r="A205" t="n">
        <v>908</v>
      </c>
      <c r="B205" t="inlineStr">
        <is>
          <t>NEL Scientific</t>
        </is>
      </c>
      <c r="C205" t="inlineStr">
        <is>
          <t>Campy-Blaser</t>
        </is>
      </c>
      <c r="E205" t="inlineStr">
        <is>
          <t>thomassci</t>
        </is>
      </c>
      <c r="F205" t="inlineStr">
        <is>
          <t>https://www.thomassci.com/p/campy-blaser</t>
        </is>
      </c>
    </row>
    <row r="206">
      <c r="A206" t="n">
        <v>908</v>
      </c>
      <c r="B206" t="inlineStr">
        <is>
          <t>NEL Scientific</t>
        </is>
      </c>
      <c r="C206" t="inlineStr">
        <is>
          <t>Ureaplasma Broth</t>
        </is>
      </c>
      <c r="E206" t="inlineStr">
        <is>
          <t>thomassci</t>
        </is>
      </c>
      <c r="F206" t="inlineStr">
        <is>
          <t>https://www.thomassci.com/p/ureaplasma-broth</t>
        </is>
      </c>
    </row>
    <row r="207">
      <c r="A207" t="n">
        <v>908</v>
      </c>
      <c r="B207" t="inlineStr">
        <is>
          <t>NEL Scientific</t>
        </is>
      </c>
      <c r="C207" t="inlineStr">
        <is>
          <t>Urea Agar</t>
        </is>
      </c>
      <c r="E207" t="inlineStr">
        <is>
          <t>thomassci</t>
        </is>
      </c>
      <c r="F207" t="inlineStr">
        <is>
          <t>https://www.thomassci.com/p/urea-agar-1</t>
        </is>
      </c>
    </row>
    <row r="208">
      <c r="A208" t="n">
        <v>915</v>
      </c>
      <c r="B208" t="inlineStr">
        <is>
          <t>New England Biolabs (NEB)</t>
        </is>
      </c>
      <c r="C208" t="inlineStr">
        <is>
          <t>Q5 High-Fidelity DNA Polymerase</t>
        </is>
      </c>
      <c r="D208" t="inlineStr">
        <is>
          <t>high-fidelity PCR enzyme and master mixes</t>
        </is>
      </c>
      <c r="E208" t="inlineStr">
        <is>
          <t>prior</t>
        </is>
      </c>
    </row>
    <row r="209">
      <c r="A209" t="n">
        <v>915</v>
      </c>
      <c r="B209" t="inlineStr">
        <is>
          <t>New England Biolabs (NEB)</t>
        </is>
      </c>
      <c r="C209" t="inlineStr">
        <is>
          <t>NEBNext</t>
        </is>
      </c>
      <c r="D209" t="inlineStr">
        <is>
          <t>NGS library-preparation kits</t>
        </is>
      </c>
      <c r="E209" t="inlineStr">
        <is>
          <t>prior</t>
        </is>
      </c>
    </row>
    <row r="210">
      <c r="A210" t="n">
        <v>915</v>
      </c>
      <c r="B210" t="inlineStr">
        <is>
          <t>New England Biolabs (NEB)</t>
        </is>
      </c>
      <c r="C210" t="inlineStr">
        <is>
          <t>Monarch</t>
        </is>
      </c>
      <c r="D210" t="inlineStr">
        <is>
          <t>nucleic acid purification kits</t>
        </is>
      </c>
      <c r="E210" t="inlineStr">
        <is>
          <t>prior</t>
        </is>
      </c>
    </row>
    <row r="211">
      <c r="A211" t="n">
        <v>924</v>
      </c>
      <c r="B211" t="inlineStr">
        <is>
          <t>Nikon</t>
        </is>
      </c>
      <c r="C211" t="inlineStr">
        <is>
          <t>ECLIPSE Ti2</t>
        </is>
      </c>
      <c r="D211" t="inlineStr">
        <is>
          <t>inverted research microscope platform for live-cell imaging</t>
        </is>
      </c>
      <c r="E211" t="inlineStr">
        <is>
          <t>prior</t>
        </is>
      </c>
    </row>
    <row r="212">
      <c r="A212" t="n">
        <v>924</v>
      </c>
      <c r="B212" t="inlineStr">
        <is>
          <t>Nikon</t>
        </is>
      </c>
      <c r="C212" t="inlineStr">
        <is>
          <t>AX / AX R with NSPARC</t>
        </is>
      </c>
      <c r="D212" t="inlineStr">
        <is>
          <t>high-resolution confocal microscope systems</t>
        </is>
      </c>
      <c r="E212" t="inlineStr">
        <is>
          <t>prior</t>
        </is>
      </c>
    </row>
    <row r="213">
      <c r="A213" t="n">
        <v>924</v>
      </c>
      <c r="B213" t="inlineStr">
        <is>
          <t>Nikon</t>
        </is>
      </c>
      <c r="C213" t="inlineStr">
        <is>
          <t>ECLIPSE Ji</t>
        </is>
      </c>
      <c r="D213" t="inlineStr">
        <is>
          <t>AI-driven smart imaging/cell-analysis system</t>
        </is>
      </c>
      <c r="E213" t="inlineStr">
        <is>
          <t>prior</t>
        </is>
      </c>
    </row>
    <row r="214">
      <c r="A214" t="n">
        <v>935</v>
      </c>
      <c r="B214" t="inlineStr">
        <is>
          <t>Novus Biologicals</t>
        </is>
      </c>
      <c r="C214" t="inlineStr">
        <is>
          <t>ProteinSimple Jess / Simple Western</t>
        </is>
      </c>
      <c r="D214" t="inlineStr">
        <is>
          <t>automated capillary western-blot immunoassay systems</t>
        </is>
      </c>
      <c r="E214" t="inlineStr">
        <is>
          <t>prior</t>
        </is>
      </c>
    </row>
    <row r="215">
      <c r="A215" t="n">
        <v>935</v>
      </c>
      <c r="B215" t="inlineStr">
        <is>
          <t>Novus Biologicals</t>
        </is>
      </c>
      <c r="C215" t="inlineStr">
        <is>
          <t>R&amp;D Systems proteins, antibodies &amp; Quantikine ELISAs</t>
        </is>
      </c>
      <c r="D215" t="inlineStr">
        <is>
          <t>recombinant proteins, antibodies, immunoassay kits</t>
        </is>
      </c>
      <c r="E215" t="inlineStr">
        <is>
          <t>prior</t>
        </is>
      </c>
    </row>
    <row r="216">
      <c r="A216" t="n">
        <v>935</v>
      </c>
      <c r="B216" t="inlineStr">
        <is>
          <t>Novus Biologicals</t>
        </is>
      </c>
      <c r="C216" t="inlineStr">
        <is>
          <t>RNAscope (ACD)</t>
        </is>
      </c>
      <c r="D216" t="inlineStr">
        <is>
          <t>in situ hybridization assays for RNA detection</t>
        </is>
      </c>
      <c r="E216" t="inlineStr">
        <is>
          <t>prior</t>
        </is>
      </c>
    </row>
    <row r="217">
      <c r="A217" t="n">
        <v>942</v>
      </c>
      <c r="B217" t="inlineStr">
        <is>
          <t>Oakton</t>
        </is>
      </c>
      <c r="C217" t="inlineStr">
        <is>
          <t>Jenway spectrophotometers</t>
        </is>
      </c>
      <c r="D217" t="inlineStr">
        <is>
          <t>UV/Vis and visible benchtop spectrophotometers</t>
        </is>
      </c>
      <c r="E217" t="inlineStr">
        <is>
          <t>prior</t>
        </is>
      </c>
    </row>
    <row r="218">
      <c r="A218" t="n">
        <v>942</v>
      </c>
      <c r="B218" t="inlineStr">
        <is>
          <t>Oakton</t>
        </is>
      </c>
      <c r="C218" t="inlineStr">
        <is>
          <t>Environmental Express HotBlock</t>
        </is>
      </c>
      <c r="D218" t="inlineStr">
        <is>
          <t>sample digestion and prep for environmental testing</t>
        </is>
      </c>
      <c r="E218" t="inlineStr">
        <is>
          <t>prior</t>
        </is>
      </c>
    </row>
    <row r="219">
      <c r="A219" t="n">
        <v>942</v>
      </c>
      <c r="B219" t="inlineStr">
        <is>
          <t>Oakton</t>
        </is>
      </c>
      <c r="C219" t="inlineStr">
        <is>
          <t>Stuart / Techne benchtop equipment</t>
        </is>
      </c>
      <c r="D219" t="inlineStr">
        <is>
          <t>stirrers, shakers, hotplates, dry blocks, thermal cyclers</t>
        </is>
      </c>
      <c r="E219" t="inlineStr">
        <is>
          <t>prior</t>
        </is>
      </c>
    </row>
    <row r="220">
      <c r="A220" t="n">
        <v>947</v>
      </c>
      <c r="B220" t="inlineStr">
        <is>
          <t>Ohaus</t>
        </is>
      </c>
      <c r="C220" t="inlineStr">
        <is>
          <t>Explorer series</t>
        </is>
      </c>
      <c r="D220" t="inlineStr">
        <is>
          <t>analytical &amp; precision laboratory balances</t>
        </is>
      </c>
      <c r="E220" t="inlineStr">
        <is>
          <t>prior</t>
        </is>
      </c>
    </row>
    <row r="221">
      <c r="A221" t="n">
        <v>947</v>
      </c>
      <c r="B221" t="inlineStr">
        <is>
          <t>Ohaus</t>
        </is>
      </c>
      <c r="C221" t="inlineStr">
        <is>
          <t>Pioneer / Adventurer balances</t>
        </is>
      </c>
      <c r="D221" t="inlineStr">
        <is>
          <t>mid-range analytical and precision balances</t>
        </is>
      </c>
      <c r="E221" t="inlineStr">
        <is>
          <t>prior</t>
        </is>
      </c>
    </row>
    <row r="222">
      <c r="A222" t="n">
        <v>947</v>
      </c>
      <c r="B222" t="inlineStr">
        <is>
          <t>Ohaus</t>
        </is>
      </c>
      <c r="C222" t="inlineStr">
        <is>
          <t>Frontier series centrifuges</t>
        </is>
      </c>
      <c r="D222" t="inlineStr">
        <is>
          <t>benchtop micro, multi-pro and high-speed centrifuges</t>
        </is>
      </c>
      <c r="E222" t="inlineStr">
        <is>
          <t>prior</t>
        </is>
      </c>
    </row>
    <row r="223">
      <c r="A223" t="n">
        <v>965</v>
      </c>
      <c r="B223" t="inlineStr">
        <is>
          <t>Oxford Instruments America</t>
        </is>
      </c>
      <c r="C223" t="inlineStr">
        <is>
          <t>AZtec with Ultim Max (NanoAnalysis)</t>
        </is>
      </c>
      <c r="D223" t="inlineStr">
        <is>
          <t>EDS/EBSD microanalysis systems for SEM/TEM</t>
        </is>
      </c>
      <c r="E223" t="inlineStr">
        <is>
          <t>prior</t>
        </is>
      </c>
    </row>
    <row r="224">
      <c r="A224" t="n">
        <v>965</v>
      </c>
      <c r="B224" t="inlineStr">
        <is>
          <t>Oxford Instruments America</t>
        </is>
      </c>
      <c r="C224" t="inlineStr">
        <is>
          <t>Andor iXon / Sona / Dragonfly</t>
        </is>
      </c>
      <c r="D224" t="inlineStr">
        <is>
          <t>scientific EMCCD/sCMOS cameras &amp; confocal imaging</t>
        </is>
      </c>
      <c r="E224" t="inlineStr">
        <is>
          <t>prior</t>
        </is>
      </c>
    </row>
    <row r="225">
      <c r="A225" t="n">
        <v>965</v>
      </c>
      <c r="B225" t="inlineStr">
        <is>
          <t>Oxford Instruments America</t>
        </is>
      </c>
      <c r="C225" t="inlineStr">
        <is>
          <t>PlasmaPro 100 (Plasma Technology)</t>
        </is>
      </c>
      <c r="D225" t="inlineStr">
        <is>
          <t>plasma etch &amp; deposition tools for semiconductors</t>
        </is>
      </c>
      <c r="E225" t="inlineStr">
        <is>
          <t>prior</t>
        </is>
      </c>
    </row>
    <row r="226">
      <c r="A226" t="n">
        <v>985</v>
      </c>
      <c r="B226" t="inlineStr">
        <is>
          <t>PerkinElmer</t>
        </is>
      </c>
      <c r="C226" t="inlineStr">
        <is>
          <t>NexION ICP-MS</t>
        </is>
      </c>
      <c r="D226" t="inlineStr">
        <is>
          <t>inductively coupled plasma mass spectrometers</t>
        </is>
      </c>
      <c r="E226" t="inlineStr">
        <is>
          <t>prior</t>
        </is>
      </c>
    </row>
    <row r="227">
      <c r="A227" t="n">
        <v>985</v>
      </c>
      <c r="B227" t="inlineStr">
        <is>
          <t>PerkinElmer</t>
        </is>
      </c>
      <c r="C227" t="inlineStr">
        <is>
          <t>Avio ICP-OES</t>
        </is>
      </c>
      <c r="D227" t="inlineStr">
        <is>
          <t>ICP optical emission spectrometers for elemental analysis</t>
        </is>
      </c>
      <c r="E227" t="inlineStr">
        <is>
          <t>prior</t>
        </is>
      </c>
    </row>
    <row r="228">
      <c r="A228" t="n">
        <v>985</v>
      </c>
      <c r="B228" t="inlineStr">
        <is>
          <t>PerkinElmer</t>
        </is>
      </c>
      <c r="C228" t="inlineStr">
        <is>
          <t>Spectrum 3 / Lambda / Pyris</t>
        </is>
      </c>
      <c r="D228" t="inlineStr">
        <is>
          <t>FT-IR, UV-Vis and thermal analysis instruments</t>
        </is>
      </c>
      <c r="E228" t="inlineStr">
        <is>
          <t>prior</t>
        </is>
      </c>
    </row>
    <row r="229">
      <c r="A229" t="n">
        <v>988</v>
      </c>
      <c r="B229" t="inlineStr">
        <is>
          <t>PHC Corporation of North America</t>
        </is>
      </c>
      <c r="C229" t="inlineStr">
        <is>
          <t>MDF-DU702VH VIP ECO</t>
        </is>
      </c>
      <c r="D229" t="inlineStr">
        <is>
          <t>-86C ultra-low temperature freezer</t>
        </is>
      </c>
      <c r="E229" t="inlineStr">
        <is>
          <t>prior</t>
        </is>
      </c>
    </row>
    <row r="230">
      <c r="A230" t="n">
        <v>988</v>
      </c>
      <c r="B230" t="inlineStr">
        <is>
          <t>PHC Corporation of North America</t>
        </is>
      </c>
      <c r="C230" t="inlineStr">
        <is>
          <t>MCO-170AIC / MCO-230AIC IncuSafe</t>
        </is>
      </c>
      <c r="D230" t="inlineStr">
        <is>
          <t>CO2 incubators with H2O2 decontamination</t>
        </is>
      </c>
      <c r="E230" t="inlineStr">
        <is>
          <t>prior</t>
        </is>
      </c>
    </row>
    <row r="231">
      <c r="A231" t="n">
        <v>988</v>
      </c>
      <c r="B231" t="inlineStr">
        <is>
          <t>PHC Corporation of North America</t>
        </is>
      </c>
      <c r="C231" t="inlineStr">
        <is>
          <t>MPR / MBR series</t>
        </is>
      </c>
      <c r="D231" t="inlineStr">
        <is>
          <t>pharmaceutical refrigerators and biomedical freezers</t>
        </is>
      </c>
      <c r="E231" t="inlineStr">
        <is>
          <t>prior</t>
        </is>
      </c>
    </row>
    <row r="232">
      <c r="A232" t="n">
        <v>989</v>
      </c>
      <c r="B232" t="inlineStr">
        <is>
          <t>PHCBI</t>
        </is>
      </c>
      <c r="C232" t="inlineStr">
        <is>
          <t>MDF-DU702VH VIP ECO</t>
        </is>
      </c>
      <c r="D232" t="inlineStr">
        <is>
          <t>-86C ultra-low temperature freezer</t>
        </is>
      </c>
      <c r="E232" t="inlineStr">
        <is>
          <t>prior</t>
        </is>
      </c>
    </row>
    <row r="233">
      <c r="A233" t="n">
        <v>989</v>
      </c>
      <c r="B233" t="inlineStr">
        <is>
          <t>PHCBI</t>
        </is>
      </c>
      <c r="C233" t="inlineStr">
        <is>
          <t>MCO-170AIC / MCO-230AIC IncuSafe</t>
        </is>
      </c>
      <c r="D233" t="inlineStr">
        <is>
          <t>CO2 incubators with H2O2 decontamination</t>
        </is>
      </c>
      <c r="E233" t="inlineStr">
        <is>
          <t>prior</t>
        </is>
      </c>
    </row>
    <row r="234">
      <c r="A234" t="n">
        <v>989</v>
      </c>
      <c r="B234" t="inlineStr">
        <is>
          <t>PHCBI</t>
        </is>
      </c>
      <c r="C234" t="inlineStr">
        <is>
          <t>MPR / MBR series</t>
        </is>
      </c>
      <c r="D234" t="inlineStr">
        <is>
          <t>pharmaceutical refrigerators and biomedical freezers</t>
        </is>
      </c>
      <c r="E234" t="inlineStr">
        <is>
          <t>prior</t>
        </is>
      </c>
    </row>
    <row r="235">
      <c r="A235" t="n">
        <v>1029</v>
      </c>
      <c r="B235" t="inlineStr">
        <is>
          <t>Promega</t>
        </is>
      </c>
      <c r="C235" t="inlineStr">
        <is>
          <t>Maxwell RSC</t>
        </is>
      </c>
      <c r="D235" t="inlineStr">
        <is>
          <t>automated nucleic acid purification instrument</t>
        </is>
      </c>
      <c r="E235" t="inlineStr">
        <is>
          <t>prior</t>
        </is>
      </c>
    </row>
    <row r="236">
      <c r="A236" t="n">
        <v>1029</v>
      </c>
      <c r="B236" t="inlineStr">
        <is>
          <t>Promega</t>
        </is>
      </c>
      <c r="C236" t="inlineStr">
        <is>
          <t>GloMax</t>
        </is>
      </c>
      <c r="D236" t="inlineStr">
        <is>
          <t>multimode microplate readers and luminometers</t>
        </is>
      </c>
      <c r="E236" t="inlineStr">
        <is>
          <t>prior</t>
        </is>
      </c>
    </row>
    <row r="237">
      <c r="A237" t="n">
        <v>1029</v>
      </c>
      <c r="B237" t="inlineStr">
        <is>
          <t>Promega</t>
        </is>
      </c>
      <c r="C237" t="inlineStr">
        <is>
          <t>CellTiter-Glo / Dual-Luciferase</t>
        </is>
      </c>
      <c r="D237" t="inlineStr">
        <is>
          <t>bioluminescent cell-viability and reporter assays</t>
        </is>
      </c>
      <c r="E237" t="inlineStr">
        <is>
          <t>prior</t>
        </is>
      </c>
    </row>
    <row r="238">
      <c r="A238" t="n">
        <v>1048</v>
      </c>
      <c r="B238" t="inlineStr">
        <is>
          <t>Qiagen</t>
        </is>
      </c>
      <c r="C238" t="inlineStr">
        <is>
          <t>QIAcube Connect</t>
        </is>
      </c>
      <c r="D238" t="inlineStr">
        <is>
          <t>automated nucleic-acid extraction instrument</t>
        </is>
      </c>
      <c r="E238" t="inlineStr">
        <is>
          <t>prior</t>
        </is>
      </c>
    </row>
    <row r="239">
      <c r="A239" t="n">
        <v>1048</v>
      </c>
      <c r="B239" t="inlineStr">
        <is>
          <t>Qiagen</t>
        </is>
      </c>
      <c r="C239" t="inlineStr">
        <is>
          <t>QIAstat-Dx</t>
        </is>
      </c>
      <c r="D239" t="inlineStr">
        <is>
          <t>syndromic molecular diagnostic panel system</t>
        </is>
      </c>
      <c r="E239" t="inlineStr">
        <is>
          <t>prior</t>
        </is>
      </c>
    </row>
    <row r="240">
      <c r="A240" t="n">
        <v>1048</v>
      </c>
      <c r="B240" t="inlineStr">
        <is>
          <t>Qiagen</t>
        </is>
      </c>
      <c r="C240" t="inlineStr">
        <is>
          <t>QuantiFERON-TB Gold Plus</t>
        </is>
      </c>
      <c r="D240" t="inlineStr">
        <is>
          <t>interferon-gamma TB blood test</t>
        </is>
      </c>
      <c r="E240" t="inlineStr">
        <is>
          <t>prior</t>
        </is>
      </c>
    </row>
    <row r="241">
      <c r="A241" t="n">
        <v>1060</v>
      </c>
      <c r="B241" t="inlineStr">
        <is>
          <t>R&amp;D Systems</t>
        </is>
      </c>
      <c r="C241" t="inlineStr">
        <is>
          <t>ProteinSimple Jess / Simple Western</t>
        </is>
      </c>
      <c r="D241" t="inlineStr">
        <is>
          <t>automated capillary western-blot immunoassay systems</t>
        </is>
      </c>
      <c r="E241" t="inlineStr">
        <is>
          <t>prior</t>
        </is>
      </c>
    </row>
    <row r="242">
      <c r="A242" t="n">
        <v>1060</v>
      </c>
      <c r="B242" t="inlineStr">
        <is>
          <t>R&amp;D Systems</t>
        </is>
      </c>
      <c r="C242" t="inlineStr">
        <is>
          <t>R&amp;D Systems proteins, antibodies &amp; Quantikine ELISAs</t>
        </is>
      </c>
      <c r="D242" t="inlineStr">
        <is>
          <t>recombinant proteins, antibodies, immunoassay kits</t>
        </is>
      </c>
      <c r="E242" t="inlineStr">
        <is>
          <t>prior</t>
        </is>
      </c>
    </row>
    <row r="243">
      <c r="A243" t="n">
        <v>1060</v>
      </c>
      <c r="B243" t="inlineStr">
        <is>
          <t>R&amp;D Systems</t>
        </is>
      </c>
      <c r="C243" t="inlineStr">
        <is>
          <t>RNAscope (ACD)</t>
        </is>
      </c>
      <c r="D243" t="inlineStr">
        <is>
          <t>in situ hybridization assays for RNA detection</t>
        </is>
      </c>
      <c r="E243" t="inlineStr">
        <is>
          <t>prior</t>
        </is>
      </c>
    </row>
    <row r="244">
      <c r="A244" t="n">
        <v>1064</v>
      </c>
      <c r="B244" t="inlineStr">
        <is>
          <t>Rainin</t>
        </is>
      </c>
      <c r="C244" t="inlineStr">
        <is>
          <t>XPR analytical &amp; micro balances</t>
        </is>
      </c>
      <c r="D244" t="inlineStr">
        <is>
          <t>high-precision laboratory balances</t>
        </is>
      </c>
      <c r="E244" t="inlineStr">
        <is>
          <t>prior</t>
        </is>
      </c>
    </row>
    <row r="245">
      <c r="A245" t="n">
        <v>1064</v>
      </c>
      <c r="B245" t="inlineStr">
        <is>
          <t>Rainin</t>
        </is>
      </c>
      <c r="C245" t="inlineStr">
        <is>
          <t>Rainin Pipet-Lite XLS / E4 XLS</t>
        </is>
      </c>
      <c r="D245" t="inlineStr">
        <is>
          <t>manual and electronic pipettes</t>
        </is>
      </c>
      <c r="E245" t="inlineStr">
        <is>
          <t>prior</t>
        </is>
      </c>
    </row>
    <row r="246">
      <c r="A246" t="n">
        <v>1064</v>
      </c>
      <c r="B246" t="inlineStr">
        <is>
          <t>Rainin</t>
        </is>
      </c>
      <c r="C246" t="inlineStr">
        <is>
          <t>Excellence Titrators &amp; SevenExcellence meters</t>
        </is>
      </c>
      <c r="D246" t="inlineStr">
        <is>
          <t>titration and pH/ion analysis</t>
        </is>
      </c>
      <c r="E246" t="inlineStr">
        <is>
          <t>prior</t>
        </is>
      </c>
    </row>
    <row r="247">
      <c r="A247" t="n">
        <v>1080</v>
      </c>
      <c r="B247" t="inlineStr">
        <is>
          <t>Retsch</t>
        </is>
      </c>
      <c r="C247" t="inlineStr">
        <is>
          <t>Retsch mills and sieve shakers</t>
        </is>
      </c>
      <c r="D247" t="inlineStr">
        <is>
          <t>planetary ball mills, cutting mills, AS 200 sieving</t>
        </is>
      </c>
      <c r="E247" t="inlineStr">
        <is>
          <t>prior</t>
        </is>
      </c>
    </row>
    <row r="248">
      <c r="A248" t="n">
        <v>1080</v>
      </c>
      <c r="B248" t="inlineStr">
        <is>
          <t>Retsch</t>
        </is>
      </c>
      <c r="C248" t="inlineStr">
        <is>
          <t>Carbolite Gero furnaces</t>
        </is>
      </c>
      <c r="D248" t="inlineStr">
        <is>
          <t>laboratory chamber, tube and high-temperature furnaces</t>
        </is>
      </c>
      <c r="E248" t="inlineStr">
        <is>
          <t>prior</t>
        </is>
      </c>
    </row>
    <row r="249">
      <c r="A249" t="n">
        <v>1080</v>
      </c>
      <c r="B249" t="inlineStr">
        <is>
          <t>Retsch</t>
        </is>
      </c>
      <c r="C249" t="inlineStr">
        <is>
          <t>Microtrac MRB particle analyzers</t>
        </is>
      </c>
      <c r="D249" t="inlineStr">
        <is>
          <t>laser diffraction and image particle characterization</t>
        </is>
      </c>
      <c r="E249" t="inlineStr">
        <is>
          <t>prior</t>
        </is>
      </c>
    </row>
    <row r="250">
      <c r="A250" t="n">
        <v>1081</v>
      </c>
      <c r="B250" t="inlineStr">
        <is>
          <t>Revvity</t>
        </is>
      </c>
      <c r="C250" t="inlineStr">
        <is>
          <t>NexION ICP-MS</t>
        </is>
      </c>
      <c r="D250" t="inlineStr">
        <is>
          <t>inductively coupled plasma mass spectrometers</t>
        </is>
      </c>
      <c r="E250" t="inlineStr">
        <is>
          <t>prior</t>
        </is>
      </c>
    </row>
    <row r="251">
      <c r="A251" t="n">
        <v>1081</v>
      </c>
      <c r="B251" t="inlineStr">
        <is>
          <t>Revvity</t>
        </is>
      </c>
      <c r="C251" t="inlineStr">
        <is>
          <t>Avio ICP-OES</t>
        </is>
      </c>
      <c r="D251" t="inlineStr">
        <is>
          <t>ICP optical emission spectrometers for elemental analysis</t>
        </is>
      </c>
      <c r="E251" t="inlineStr">
        <is>
          <t>prior</t>
        </is>
      </c>
    </row>
    <row r="252">
      <c r="A252" t="n">
        <v>1081</v>
      </c>
      <c r="B252" t="inlineStr">
        <is>
          <t>Revvity</t>
        </is>
      </c>
      <c r="C252" t="inlineStr">
        <is>
          <t>Spectrum 3 / Lambda / Pyris</t>
        </is>
      </c>
      <c r="D252" t="inlineStr">
        <is>
          <t>FT-IR, UV-Vis and thermal analysis instruments</t>
        </is>
      </c>
      <c r="E252" t="inlineStr">
        <is>
          <t>prior</t>
        </is>
      </c>
    </row>
    <row r="253">
      <c r="A253" t="n">
        <v>1088</v>
      </c>
      <c r="B253" t="inlineStr">
        <is>
          <t>Roche</t>
        </is>
      </c>
      <c r="C253" t="inlineStr">
        <is>
          <t>cobas pro integrated solutions (c 503 / e 801)</t>
        </is>
      </c>
      <c r="D253" t="inlineStr">
        <is>
          <t>high-throughput clinical chemistry and immunoassay analyzers</t>
        </is>
      </c>
      <c r="E253" t="inlineStr">
        <is>
          <t>prior</t>
        </is>
      </c>
    </row>
    <row r="254">
      <c r="A254" t="n">
        <v>1088</v>
      </c>
      <c r="B254" t="inlineStr">
        <is>
          <t>Roche</t>
        </is>
      </c>
      <c r="C254" t="inlineStr">
        <is>
          <t>cobas 6800 / 8800 and cobas 5800 Systems</t>
        </is>
      </c>
      <c r="D254" t="inlineStr">
        <is>
          <t>automated PCR molecular diagnostics platforms</t>
        </is>
      </c>
      <c r="E254" t="inlineStr">
        <is>
          <t>prior</t>
        </is>
      </c>
    </row>
    <row r="255">
      <c r="A255" t="n">
        <v>1088</v>
      </c>
      <c r="B255" t="inlineStr">
        <is>
          <t>Roche</t>
        </is>
      </c>
      <c r="C255" t="inlineStr">
        <is>
          <t>LightCycler 480 / LightCycler PRO</t>
        </is>
      </c>
      <c r="D255" t="inlineStr">
        <is>
          <t>real-time PCR instruments</t>
        </is>
      </c>
      <c r="E255" t="inlineStr">
        <is>
          <t>prior</t>
        </is>
      </c>
    </row>
    <row r="256">
      <c r="A256" t="n">
        <v>1089</v>
      </c>
      <c r="B256" t="inlineStr">
        <is>
          <t>Roche Diagnostics Corp.</t>
        </is>
      </c>
      <c r="C256" t="inlineStr">
        <is>
          <t>cobas pro integrated solutions (c 503 / e 801)</t>
        </is>
      </c>
      <c r="D256" t="inlineStr">
        <is>
          <t>high-throughput clinical chemistry and immunoassay analyzers</t>
        </is>
      </c>
      <c r="E256" t="inlineStr">
        <is>
          <t>prior</t>
        </is>
      </c>
    </row>
    <row r="257">
      <c r="A257" t="n">
        <v>1089</v>
      </c>
      <c r="B257" t="inlineStr">
        <is>
          <t>Roche Diagnostics Corp.</t>
        </is>
      </c>
      <c r="C257" t="inlineStr">
        <is>
          <t>cobas 6800 / 8800 and cobas 5800 Systems</t>
        </is>
      </c>
      <c r="D257" t="inlineStr">
        <is>
          <t>automated PCR molecular diagnostics platforms</t>
        </is>
      </c>
      <c r="E257" t="inlineStr">
        <is>
          <t>prior</t>
        </is>
      </c>
    </row>
    <row r="258">
      <c r="A258" t="n">
        <v>1089</v>
      </c>
      <c r="B258" t="inlineStr">
        <is>
          <t>Roche Diagnostics Corp.</t>
        </is>
      </c>
      <c r="C258" t="inlineStr">
        <is>
          <t>LightCycler 480 / LightCycler PRO</t>
        </is>
      </c>
      <c r="D258" t="inlineStr">
        <is>
          <t>real-time PCR instruments</t>
        </is>
      </c>
      <c r="E258" t="inlineStr">
        <is>
          <t>prior</t>
        </is>
      </c>
    </row>
    <row r="259">
      <c r="A259" t="n">
        <v>1113</v>
      </c>
      <c r="B259" t="inlineStr">
        <is>
          <t>Sarstedt</t>
        </is>
      </c>
      <c r="C259" t="inlineStr">
        <is>
          <t>S-Monovette</t>
        </is>
      </c>
      <c r="D259" t="inlineStr">
        <is>
          <t>venous blood collection system</t>
        </is>
      </c>
      <c r="E259" t="inlineStr">
        <is>
          <t>prior</t>
        </is>
      </c>
    </row>
    <row r="260">
      <c r="A260" t="n">
        <v>1113</v>
      </c>
      <c r="B260" t="inlineStr">
        <is>
          <t>Sarstedt</t>
        </is>
      </c>
      <c r="C260" t="inlineStr">
        <is>
          <t>Microvette &amp; Salivette</t>
        </is>
      </c>
      <c r="D260" t="inlineStr">
        <is>
          <t>capillary blood and saliva collection</t>
        </is>
      </c>
      <c r="E260" t="inlineStr">
        <is>
          <t>prior</t>
        </is>
      </c>
    </row>
    <row r="261">
      <c r="A261" t="n">
        <v>1113</v>
      </c>
      <c r="B261" t="inlineStr">
        <is>
          <t>Sarstedt</t>
        </is>
      </c>
      <c r="C261" t="inlineStr">
        <is>
          <t>Lab consumables (tubes, tips, cell culture)</t>
        </is>
      </c>
      <c r="D261" t="inlineStr">
        <is>
          <t>screw-cap tubes, pipette tips, plates</t>
        </is>
      </c>
      <c r="E261" t="inlineStr">
        <is>
          <t>prior</t>
        </is>
      </c>
    </row>
    <row r="262">
      <c r="A262" t="n">
        <v>1114</v>
      </c>
      <c r="B262" t="inlineStr">
        <is>
          <t>Sartorius</t>
        </is>
      </c>
      <c r="C262" t="inlineStr">
        <is>
          <t>Octet BLI systems</t>
        </is>
      </c>
      <c r="D262" t="inlineStr">
        <is>
          <t>label-free bio-layer interferometry analyzers</t>
        </is>
      </c>
      <c r="E262" t="inlineStr">
        <is>
          <t>prior</t>
        </is>
      </c>
    </row>
    <row r="263">
      <c r="A263" t="n">
        <v>1114</v>
      </c>
      <c r="B263" t="inlineStr">
        <is>
          <t>Sartorius</t>
        </is>
      </c>
      <c r="C263" t="inlineStr">
        <is>
          <t>Biostat STR</t>
        </is>
      </c>
      <c r="D263" t="inlineStr">
        <is>
          <t>single-use stirred-tank bioreactors</t>
        </is>
      </c>
      <c r="E263" t="inlineStr">
        <is>
          <t>prior</t>
        </is>
      </c>
    </row>
    <row r="264">
      <c r="A264" t="n">
        <v>1114</v>
      </c>
      <c r="B264" t="inlineStr">
        <is>
          <t>Sartorius</t>
        </is>
      </c>
      <c r="C264" t="inlineStr">
        <is>
          <t>Cubis II balances</t>
        </is>
      </c>
      <c r="D264" t="inlineStr">
        <is>
          <t>modular premium laboratory balances</t>
        </is>
      </c>
      <c r="E264" t="inlineStr">
        <is>
          <t>prior</t>
        </is>
      </c>
    </row>
    <row r="265">
      <c r="A265" t="n">
        <v>1219</v>
      </c>
      <c r="B265" t="inlineStr">
        <is>
          <t>Stuart (Cole-Parmer)</t>
        </is>
      </c>
      <c r="C265" t="inlineStr">
        <is>
          <t>Jenway spectrophotometers</t>
        </is>
      </c>
      <c r="D265" t="inlineStr">
        <is>
          <t>UV/Vis and visible benchtop spectrophotometers</t>
        </is>
      </c>
      <c r="E265" t="inlineStr">
        <is>
          <t>prior</t>
        </is>
      </c>
    </row>
    <row r="266">
      <c r="A266" t="n">
        <v>1219</v>
      </c>
      <c r="B266" t="inlineStr">
        <is>
          <t>Stuart (Cole-Parmer)</t>
        </is>
      </c>
      <c r="C266" t="inlineStr">
        <is>
          <t>Environmental Express HotBlock</t>
        </is>
      </c>
      <c r="D266" t="inlineStr">
        <is>
          <t>sample digestion and prep for environmental testing</t>
        </is>
      </c>
      <c r="E266" t="inlineStr">
        <is>
          <t>prior</t>
        </is>
      </c>
    </row>
    <row r="267">
      <c r="A267" t="n">
        <v>1219</v>
      </c>
      <c r="B267" t="inlineStr">
        <is>
          <t>Stuart (Cole-Parmer)</t>
        </is>
      </c>
      <c r="C267" t="inlineStr">
        <is>
          <t>Stuart / Techne benchtop equipment</t>
        </is>
      </c>
      <c r="D267" t="inlineStr">
        <is>
          <t>stirrers, shakers, hotplates, dry blocks, thermal cyclers</t>
        </is>
      </c>
      <c r="E267" t="inlineStr">
        <is>
          <t>prior</t>
        </is>
      </c>
    </row>
    <row r="268">
      <c r="A268" t="n">
        <v>1237</v>
      </c>
      <c r="B268" t="inlineStr">
        <is>
          <t>Tecan</t>
        </is>
      </c>
      <c r="C268" t="inlineStr">
        <is>
          <t>Fluent</t>
        </is>
      </c>
      <c r="D268" t="inlineStr">
        <is>
          <t>automated liquid-handling workstation</t>
        </is>
      </c>
      <c r="E268" t="inlineStr">
        <is>
          <t>prior</t>
        </is>
      </c>
    </row>
    <row r="269">
      <c r="A269" t="n">
        <v>1237</v>
      </c>
      <c r="B269" t="inlineStr">
        <is>
          <t>Tecan</t>
        </is>
      </c>
      <c r="C269" t="inlineStr">
        <is>
          <t>Freedom EVO</t>
        </is>
      </c>
      <c r="D269" t="inlineStr">
        <is>
          <t>modular liquid-handling and robotics platform</t>
        </is>
      </c>
      <c r="E269" t="inlineStr">
        <is>
          <t>prior</t>
        </is>
      </c>
    </row>
    <row r="270">
      <c r="A270" t="n">
        <v>1237</v>
      </c>
      <c r="B270" t="inlineStr">
        <is>
          <t>Tecan</t>
        </is>
      </c>
      <c r="C270" t="inlineStr">
        <is>
          <t>Spark</t>
        </is>
      </c>
      <c r="D270" t="inlineStr">
        <is>
          <t>multimode microplate reader</t>
        </is>
      </c>
      <c r="E270" t="inlineStr">
        <is>
          <t>prior</t>
        </is>
      </c>
    </row>
    <row r="271">
      <c r="A271" t="n">
        <v>1238</v>
      </c>
      <c r="B271" t="inlineStr">
        <is>
          <t>Techne (Cole-Parmer)</t>
        </is>
      </c>
      <c r="C271" t="inlineStr">
        <is>
          <t>Jenway spectrophotometers</t>
        </is>
      </c>
      <c r="D271" t="inlineStr">
        <is>
          <t>UV/Vis and visible benchtop spectrophotometers</t>
        </is>
      </c>
      <c r="E271" t="inlineStr">
        <is>
          <t>prior</t>
        </is>
      </c>
    </row>
    <row r="272">
      <c r="A272" t="n">
        <v>1238</v>
      </c>
      <c r="B272" t="inlineStr">
        <is>
          <t>Techne (Cole-Parmer)</t>
        </is>
      </c>
      <c r="C272" t="inlineStr">
        <is>
          <t>Environmental Express HotBlock</t>
        </is>
      </c>
      <c r="D272" t="inlineStr">
        <is>
          <t>sample digestion and prep for environmental testing</t>
        </is>
      </c>
      <c r="E272" t="inlineStr">
        <is>
          <t>prior</t>
        </is>
      </c>
    </row>
    <row r="273">
      <c r="A273" t="n">
        <v>1238</v>
      </c>
      <c r="B273" t="inlineStr">
        <is>
          <t>Techne (Cole-Parmer)</t>
        </is>
      </c>
      <c r="C273" t="inlineStr">
        <is>
          <t>Stuart / Techne benchtop equipment</t>
        </is>
      </c>
      <c r="D273" t="inlineStr">
        <is>
          <t>stirrers, shakers, hotplates, dry blocks, thermal cyclers</t>
        </is>
      </c>
      <c r="E273" t="inlineStr">
        <is>
          <t>prior</t>
        </is>
      </c>
    </row>
    <row r="274">
      <c r="A274" t="n">
        <v>1255</v>
      </c>
      <c r="B274" t="inlineStr">
        <is>
          <t>Thermo Scientific</t>
        </is>
      </c>
      <c r="C274" t="inlineStr">
        <is>
          <t>Thermo Scientific Orbitrap Astral</t>
        </is>
      </c>
      <c r="D274" t="inlineStr">
        <is>
          <t>high-resolution Orbitrap LC-MS mass spectrometer</t>
        </is>
      </c>
      <c r="E274" t="inlineStr">
        <is>
          <t>prior</t>
        </is>
      </c>
    </row>
    <row r="275">
      <c r="A275" t="n">
        <v>1255</v>
      </c>
      <c r="B275" t="inlineStr">
        <is>
          <t>Thermo Scientific</t>
        </is>
      </c>
      <c r="C275" t="inlineStr">
        <is>
          <t>Applied Biosystems QuantStudio</t>
        </is>
      </c>
      <c r="D275" t="inlineStr">
        <is>
          <t>real-time PCR (qPCR/dPCR) instrument family</t>
        </is>
      </c>
      <c r="E275" t="inlineStr">
        <is>
          <t>prior</t>
        </is>
      </c>
    </row>
    <row r="276">
      <c r="A276" t="n">
        <v>1255</v>
      </c>
      <c r="B276" t="inlineStr">
        <is>
          <t>Thermo Scientific</t>
        </is>
      </c>
      <c r="C276" t="inlineStr">
        <is>
          <t>Thermo Scientific Krios cryo-TEM</t>
        </is>
      </c>
      <c r="D276" t="inlineStr">
        <is>
          <t>cryo-electron microscope for structural biology</t>
        </is>
      </c>
      <c r="E276" t="inlineStr">
        <is>
          <t>prior</t>
        </is>
      </c>
    </row>
    <row r="277">
      <c r="A277" t="n">
        <v>1259</v>
      </c>
      <c r="B277" t="inlineStr">
        <is>
          <t>Thermo Scientific Nalgene</t>
        </is>
      </c>
      <c r="C277" t="inlineStr">
        <is>
          <t>Thermo Scientific Orbitrap Astral</t>
        </is>
      </c>
      <c r="D277" t="inlineStr">
        <is>
          <t>high-resolution Orbitrap LC-MS mass spectrometer</t>
        </is>
      </c>
      <c r="E277" t="inlineStr">
        <is>
          <t>prior</t>
        </is>
      </c>
    </row>
    <row r="278">
      <c r="A278" t="n">
        <v>1259</v>
      </c>
      <c r="B278" t="inlineStr">
        <is>
          <t>Thermo Scientific Nalgene</t>
        </is>
      </c>
      <c r="C278" t="inlineStr">
        <is>
          <t>Applied Biosystems QuantStudio</t>
        </is>
      </c>
      <c r="D278" t="inlineStr">
        <is>
          <t>real-time PCR (qPCR/dPCR) instrument family</t>
        </is>
      </c>
      <c r="E278" t="inlineStr">
        <is>
          <t>prior</t>
        </is>
      </c>
    </row>
    <row r="279">
      <c r="A279" t="n">
        <v>1259</v>
      </c>
      <c r="B279" t="inlineStr">
        <is>
          <t>Thermo Scientific Nalgene</t>
        </is>
      </c>
      <c r="C279" t="inlineStr">
        <is>
          <t>Thermo Scientific Krios cryo-TEM</t>
        </is>
      </c>
      <c r="D279" t="inlineStr">
        <is>
          <t>cryo-electron microscope for structural biology</t>
        </is>
      </c>
      <c r="E279" t="inlineStr">
        <is>
          <t>prior</t>
        </is>
      </c>
    </row>
    <row r="280">
      <c r="A280" t="n">
        <v>1261</v>
      </c>
      <c r="B280" t="inlineStr">
        <is>
          <t>Thermo Scientific Orion</t>
        </is>
      </c>
      <c r="C280" t="inlineStr">
        <is>
          <t>Thermo Scientific Orbitrap Astral</t>
        </is>
      </c>
      <c r="D280" t="inlineStr">
        <is>
          <t>high-resolution Orbitrap LC-MS mass spectrometer</t>
        </is>
      </c>
      <c r="E280" t="inlineStr">
        <is>
          <t>prior</t>
        </is>
      </c>
    </row>
    <row r="281">
      <c r="A281" t="n">
        <v>1261</v>
      </c>
      <c r="B281" t="inlineStr">
        <is>
          <t>Thermo Scientific Orion</t>
        </is>
      </c>
      <c r="C281" t="inlineStr">
        <is>
          <t>Applied Biosystems QuantStudio</t>
        </is>
      </c>
      <c r="D281" t="inlineStr">
        <is>
          <t>real-time PCR (qPCR/dPCR) instrument family</t>
        </is>
      </c>
      <c r="E281" t="inlineStr">
        <is>
          <t>prior</t>
        </is>
      </c>
    </row>
    <row r="282">
      <c r="A282" t="n">
        <v>1261</v>
      </c>
      <c r="B282" t="inlineStr">
        <is>
          <t>Thermo Scientific Orion</t>
        </is>
      </c>
      <c r="C282" t="inlineStr">
        <is>
          <t>Thermo Scientific Krios cryo-TEM</t>
        </is>
      </c>
      <c r="D282" t="inlineStr">
        <is>
          <t>cryo-electron microscope for structural biology</t>
        </is>
      </c>
      <c r="E282" t="inlineStr">
        <is>
          <t>prior</t>
        </is>
      </c>
    </row>
    <row r="283">
      <c r="A283" t="n">
        <v>1276</v>
      </c>
      <c r="B283" t="inlineStr">
        <is>
          <t>Tocris</t>
        </is>
      </c>
      <c r="C283" t="inlineStr">
        <is>
          <t>ProteinSimple Jess / Simple Western</t>
        </is>
      </c>
      <c r="D283" t="inlineStr">
        <is>
          <t>automated capillary western-blot immunoassay systems</t>
        </is>
      </c>
      <c r="E283" t="inlineStr">
        <is>
          <t>prior</t>
        </is>
      </c>
    </row>
    <row r="284">
      <c r="A284" t="n">
        <v>1276</v>
      </c>
      <c r="B284" t="inlineStr">
        <is>
          <t>Tocris</t>
        </is>
      </c>
      <c r="C284" t="inlineStr">
        <is>
          <t>R&amp;D Systems proteins, antibodies &amp; Quantikine ELISAs</t>
        </is>
      </c>
      <c r="D284" t="inlineStr">
        <is>
          <t>recombinant proteins, antibodies, immunoassay kits</t>
        </is>
      </c>
      <c r="E284" t="inlineStr">
        <is>
          <t>prior</t>
        </is>
      </c>
    </row>
    <row r="285">
      <c r="A285" t="n">
        <v>1276</v>
      </c>
      <c r="B285" t="inlineStr">
        <is>
          <t>Tocris</t>
        </is>
      </c>
      <c r="C285" t="inlineStr">
        <is>
          <t>RNAscope (ACD)</t>
        </is>
      </c>
      <c r="D285" t="inlineStr">
        <is>
          <t>in situ hybridization assays for RNA detection</t>
        </is>
      </c>
      <c r="E285" t="inlineStr">
        <is>
          <t>prior</t>
        </is>
      </c>
    </row>
    <row r="286">
      <c r="A286" t="n">
        <v>1327</v>
      </c>
      <c r="B286" t="inlineStr">
        <is>
          <t>Velp</t>
        </is>
      </c>
      <c r="C286" t="inlineStr">
        <is>
          <t>UDK 169 / UDK 139</t>
        </is>
      </c>
      <c r="D286" t="inlineStr">
        <is>
          <t>automatic Kjeldahl distillation and titration units</t>
        </is>
      </c>
      <c r="E286" t="inlineStr">
        <is>
          <t>prior</t>
        </is>
      </c>
    </row>
    <row r="287">
      <c r="A287" t="n">
        <v>1327</v>
      </c>
      <c r="B287" t="inlineStr">
        <is>
          <t>Velp</t>
        </is>
      </c>
      <c r="C287" t="inlineStr">
        <is>
          <t>NDA 702 Dumas analyzer</t>
        </is>
      </c>
      <c r="D287" t="inlineStr">
        <is>
          <t>nitrogen/protein determination by combustion</t>
        </is>
      </c>
      <c r="E287" t="inlineStr">
        <is>
          <t>prior</t>
        </is>
      </c>
    </row>
    <row r="288">
      <c r="A288" t="n">
        <v>1327</v>
      </c>
      <c r="B288" t="inlineStr">
        <is>
          <t>Velp</t>
        </is>
      </c>
      <c r="C288" t="inlineStr">
        <is>
          <t>AREX-6 / ARE hotplate stirrers and DKL digesters</t>
        </is>
      </c>
      <c r="D288" t="inlineStr">
        <is>
          <t>magnetic stirrers, hotplates and Kjeldahl digestion units</t>
        </is>
      </c>
      <c r="E288" t="inlineStr">
        <is>
          <t>prior</t>
        </is>
      </c>
    </row>
    <row r="289">
      <c r="A289" t="n">
        <v>1328</v>
      </c>
      <c r="B289" t="inlineStr">
        <is>
          <t>Velp Scientifica</t>
        </is>
      </c>
      <c r="C289" t="inlineStr">
        <is>
          <t>UDK 169 / UDK 139</t>
        </is>
      </c>
      <c r="D289" t="inlineStr">
        <is>
          <t>automatic Kjeldahl distillation and titration units</t>
        </is>
      </c>
      <c r="E289" t="inlineStr">
        <is>
          <t>prior</t>
        </is>
      </c>
    </row>
    <row r="290">
      <c r="A290" t="n">
        <v>1328</v>
      </c>
      <c r="B290" t="inlineStr">
        <is>
          <t>Velp Scientifica</t>
        </is>
      </c>
      <c r="C290" t="inlineStr">
        <is>
          <t>NDA 702 Dumas analyzer</t>
        </is>
      </c>
      <c r="D290" t="inlineStr">
        <is>
          <t>nitrogen/protein determination by combustion</t>
        </is>
      </c>
      <c r="E290" t="inlineStr">
        <is>
          <t>prior</t>
        </is>
      </c>
    </row>
    <row r="291">
      <c r="A291" t="n">
        <v>1328</v>
      </c>
      <c r="B291" t="inlineStr">
        <is>
          <t>Velp Scientifica</t>
        </is>
      </c>
      <c r="C291" t="inlineStr">
        <is>
          <t>AREX-6 / ARE hotplate stirrers and DKL digesters</t>
        </is>
      </c>
      <c r="D291" t="inlineStr">
        <is>
          <t>magnetic stirrers, hotplates and Kjeldahl digestion units</t>
        </is>
      </c>
      <c r="E291" t="inlineStr">
        <is>
          <t>prior</t>
        </is>
      </c>
    </row>
    <row r="292">
      <c r="A292" t="n">
        <v>1345</v>
      </c>
      <c r="B292" t="inlineStr">
        <is>
          <t>Waters</t>
        </is>
      </c>
      <c r="C292" t="inlineStr">
        <is>
          <t>ACQUITY Premier UPLC</t>
        </is>
      </c>
      <c r="D292" t="inlineStr">
        <is>
          <t>ultra-performance liquid chromatography systems</t>
        </is>
      </c>
      <c r="E292" t="inlineStr">
        <is>
          <t>prior</t>
        </is>
      </c>
    </row>
    <row r="293">
      <c r="A293" t="n">
        <v>1345</v>
      </c>
      <c r="B293" t="inlineStr">
        <is>
          <t>Waters</t>
        </is>
      </c>
      <c r="C293" t="inlineStr">
        <is>
          <t>Xevo TQ Absolute</t>
        </is>
      </c>
      <c r="D293" t="inlineStr">
        <is>
          <t>tandem quadrupole LC-MS/MS mass spectrometer</t>
        </is>
      </c>
      <c r="E293" t="inlineStr">
        <is>
          <t>prior</t>
        </is>
      </c>
    </row>
    <row r="294">
      <c r="A294" t="n">
        <v>1345</v>
      </c>
      <c r="B294" t="inlineStr">
        <is>
          <t>Waters</t>
        </is>
      </c>
      <c r="C294" t="inlineStr">
        <is>
          <t>Empower CDS</t>
        </is>
      </c>
      <c r="D294" t="inlineStr">
        <is>
          <t>chromatography data system software</t>
        </is>
      </c>
      <c r="E294" t="inlineStr">
        <is>
          <t>prior</t>
        </is>
      </c>
    </row>
    <row r="295">
      <c r="A295" t="n">
        <v>1355</v>
      </c>
      <c r="B295" t="inlineStr">
        <is>
          <t>Wheaton</t>
        </is>
      </c>
      <c r="C295" t="inlineStr">
        <is>
          <t>DURAN laboratory glass bottles</t>
        </is>
      </c>
      <c r="D295" t="inlineStr">
        <is>
          <t>GL 45 borosilicate 3.3 bottles &amp; lab glassware</t>
        </is>
      </c>
      <c r="E295" t="inlineStr">
        <is>
          <t>prior</t>
        </is>
      </c>
    </row>
    <row r="296">
      <c r="A296" t="n">
        <v>1355</v>
      </c>
      <c r="B296" t="inlineStr">
        <is>
          <t>Wheaton</t>
        </is>
      </c>
      <c r="C296" t="inlineStr">
        <is>
          <t>WHEATON vials &amp; serum bottles</t>
        </is>
      </c>
      <c r="D296" t="inlineStr">
        <is>
          <t>glass vials, serum bottles, packaging</t>
        </is>
      </c>
      <c r="E296" t="inlineStr">
        <is>
          <t>prior</t>
        </is>
      </c>
    </row>
    <row r="297">
      <c r="A297" t="n">
        <v>1355</v>
      </c>
      <c r="B297" t="inlineStr">
        <is>
          <t>Wheaton</t>
        </is>
      </c>
      <c r="C297" t="inlineStr">
        <is>
          <t>KIMBLE KIMAX glassware</t>
        </is>
      </c>
      <c r="D297" t="inlineStr">
        <is>
          <t>volumetric &amp; general laboratory glassware</t>
        </is>
      </c>
      <c r="E297" t="inlineStr">
        <is>
          <t>prior</t>
        </is>
      </c>
    </row>
    <row r="298">
      <c r="A298" t="n">
        <v>1371</v>
      </c>
      <c r="B298" t="inlineStr">
        <is>
          <t>Yamato</t>
        </is>
      </c>
      <c r="C298" t="inlineStr">
        <is>
          <t>DKN / DKM constant temperature ovens</t>
        </is>
      </c>
      <c r="D298" t="inlineStr">
        <is>
          <t>forced-convection laboratory drying ovens</t>
        </is>
      </c>
      <c r="E298" t="inlineStr">
        <is>
          <t>prior</t>
        </is>
      </c>
    </row>
    <row r="299">
      <c r="A299" t="n">
        <v>1371</v>
      </c>
      <c r="B299" t="inlineStr">
        <is>
          <t>Yamato</t>
        </is>
      </c>
      <c r="C299" t="inlineStr">
        <is>
          <t>SM / SQ series autoclaves</t>
        </is>
      </c>
      <c r="D299" t="inlineStr">
        <is>
          <t>benchtop and vertical steam sterilizers</t>
        </is>
      </c>
      <c r="E299" t="inlineStr">
        <is>
          <t>prior</t>
        </is>
      </c>
    </row>
    <row r="300">
      <c r="A300" t="n">
        <v>1371</v>
      </c>
      <c r="B300" t="inlineStr">
        <is>
          <t>Yamato</t>
        </is>
      </c>
      <c r="C300" t="inlineStr">
        <is>
          <t>Auto Pure WL series</t>
        </is>
      </c>
      <c r="D300" t="inlineStr">
        <is>
          <t>laboratory water purification systems</t>
        </is>
      </c>
      <c r="E300" t="inlineStr">
        <is>
          <t>prior</t>
        </is>
      </c>
    </row>
    <row r="301">
      <c r="A301" t="n">
        <v>1372</v>
      </c>
      <c r="B301" t="inlineStr">
        <is>
          <t>Yamato Scientific America</t>
        </is>
      </c>
      <c r="C301" t="inlineStr">
        <is>
          <t>DKN / DKM constant temperature ovens</t>
        </is>
      </c>
      <c r="D301" t="inlineStr">
        <is>
          <t>forced-convection laboratory drying ovens</t>
        </is>
      </c>
      <c r="E301" t="inlineStr">
        <is>
          <t>prior</t>
        </is>
      </c>
    </row>
    <row r="302">
      <c r="A302" t="n">
        <v>1372</v>
      </c>
      <c r="B302" t="inlineStr">
        <is>
          <t>Yamato Scientific America</t>
        </is>
      </c>
      <c r="C302" t="inlineStr">
        <is>
          <t>SM / SQ series autoclaves</t>
        </is>
      </c>
      <c r="D302" t="inlineStr">
        <is>
          <t>benchtop and vertical steam sterilizers</t>
        </is>
      </c>
      <c r="E302" t="inlineStr">
        <is>
          <t>prior</t>
        </is>
      </c>
    </row>
    <row r="303">
      <c r="A303" t="n">
        <v>1372</v>
      </c>
      <c r="B303" t="inlineStr">
        <is>
          <t>Yamato Scientific America</t>
        </is>
      </c>
      <c r="C303" t="inlineStr">
        <is>
          <t>Auto Pure WL series</t>
        </is>
      </c>
      <c r="D303" t="inlineStr">
        <is>
          <t>laboratory water purification systems</t>
        </is>
      </c>
      <c r="E303" t="inlineStr">
        <is>
          <t>prior</t>
        </is>
      </c>
    </row>
    <row r="304">
      <c r="A304" t="n">
        <v>1381</v>
      </c>
      <c r="B304" t="inlineStr">
        <is>
          <t>Zymo Research Corporation</t>
        </is>
      </c>
      <c r="C304" t="inlineStr">
        <is>
          <t>Zymo-Spin I Columns</t>
        </is>
      </c>
      <c r="E304" t="inlineStr">
        <is>
          <t>thomassci</t>
        </is>
      </c>
      <c r="F304" t="inlineStr">
        <is>
          <t>https://www.thomassci.com/p/zymo-spin-i-columns</t>
        </is>
      </c>
    </row>
    <row r="305">
      <c r="A305" t="n">
        <v>1381</v>
      </c>
      <c r="B305" t="inlineStr">
        <is>
          <t>Zymo Research Corporation</t>
        </is>
      </c>
      <c r="C305" t="inlineStr">
        <is>
          <t>ZymoPURE II Plasmid Midiprep Kits</t>
        </is>
      </c>
      <c r="E305" t="inlineStr">
        <is>
          <t>thomassci</t>
        </is>
      </c>
      <c r="F305" t="inlineStr">
        <is>
          <t>https://www.thomassci.com/p/zymopure-ii-plasmid-midiprep-kits</t>
        </is>
      </c>
    </row>
    <row r="306">
      <c r="A306" t="n">
        <v>1381</v>
      </c>
      <c r="B306" t="inlineStr">
        <is>
          <t>Zymo Research Corporation</t>
        </is>
      </c>
      <c r="C306" t="inlineStr">
        <is>
          <t>RNA Clean &amp; Concentrator-5 Kits</t>
        </is>
      </c>
      <c r="E306" t="inlineStr">
        <is>
          <t>thomassci</t>
        </is>
      </c>
      <c r="F306" t="inlineStr">
        <is>
          <t>https://www.thomassci.com/p/rna-clean-and-concentrator-5-kits</t>
        </is>
      </c>
    </row>
    <row r="307">
      <c r="A307" t="n">
        <v>1381</v>
      </c>
      <c r="B307" t="inlineStr">
        <is>
          <t>Zymo Research Corporation</t>
        </is>
      </c>
      <c r="C307" t="inlineStr">
        <is>
          <t>Quick-RNA MagBead</t>
        </is>
      </c>
      <c r="E307" t="inlineStr">
        <is>
          <t>thomassci</t>
        </is>
      </c>
      <c r="F307" t="inlineStr">
        <is>
          <t>https://www.thomassci.com/p/quick-rna-magbead</t>
        </is>
      </c>
    </row>
    <row r="308">
      <c r="A308" t="n">
        <v>1381</v>
      </c>
      <c r="B308" t="inlineStr">
        <is>
          <t>Zymo Research Corporation</t>
        </is>
      </c>
      <c r="C308" t="inlineStr">
        <is>
          <t>ZymoPURE Plasmid Miniprep Kits</t>
        </is>
      </c>
      <c r="E308" t="inlineStr">
        <is>
          <t>thomassci</t>
        </is>
      </c>
      <c r="F308"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6"/>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Medent Scientific Instruments</t>
        </is>
      </c>
      <c r="B2" t="inlineStr">
        <is>
          <t>מדנט מכשור מדעי</t>
        </is>
      </c>
      <c r="C2" t="inlineStr">
        <is>
          <t>מפיץ</t>
        </is>
      </c>
      <c r="D2" t="inlineStr">
        <is>
          <t>https://www.medent.co.il</t>
        </is>
      </c>
      <c r="E2" t="inlineStr">
        <is>
          <t>+972 72-395-0508 (sales); +972 8-683-6306 (service)</t>
        </is>
      </c>
      <c r="F2" t="inlineStr">
        <is>
          <t>info@medent.co.il</t>
        </is>
      </c>
      <c r="G2" t="inlineStr">
        <is>
          <t>110 Mordei HaGetaot St., Beer Sheva 8420643</t>
        </is>
      </c>
      <c r="H2" t="n">
        <v>13</v>
      </c>
      <c r="I2" t="inlineStr">
        <is>
          <t>Cole parmer; Electrothermal (Cole-Parmer); Hanna Instruments; Ika; IKA Works; Integra; INTEGRA Biosciences; Jenway (Cole-Parmer); Lauda; Memmert; Oakton; Stuart (Cole-Parmer); Techne (Cole-Parmer)</t>
        </is>
      </c>
    </row>
    <row r="3">
      <c r="A3" t="inlineStr">
        <is>
          <t>Labotal Scientific Equipment Ltd.</t>
        </is>
      </c>
      <c r="B3" t="inlineStr">
        <is>
          <t>לבוטל ציוד מדעי</t>
        </is>
      </c>
      <c r="C3" t="inlineStr">
        <is>
          <t>מפיץ</t>
        </is>
      </c>
      <c r="D3" t="inlineStr">
        <is>
          <t>https://labotal.co.il</t>
        </is>
      </c>
      <c r="E3" t="inlineStr">
        <is>
          <t>+972 2-579-9222</t>
        </is>
      </c>
      <c r="F3" t="inlineStr">
        <is>
          <t>Sales@labotal.co.il</t>
        </is>
      </c>
      <c r="G3" t="inlineStr">
        <is>
          <t>Hashalom Rd., Abu Ghosh 9084500 (mail: Mevaseret Zion)</t>
        </is>
      </c>
      <c r="H3" t="n">
        <v>12</v>
      </c>
      <c r="I3" t="inlineStr">
        <is>
          <t>Binder; Brand; BrandTech®; Heidolph; Ika; IKA Works; Julabo; Labconco; Ohaus; Sartorius; Velp; Velp Scientifica</t>
        </is>
      </c>
    </row>
    <row r="4">
      <c r="A4" t="inlineStr">
        <is>
          <t>Danyel Biotech</t>
        </is>
      </c>
      <c r="B4" t="inlineStr">
        <is>
          <t>דניאל ביוטק</t>
        </is>
      </c>
      <c r="C4" t="inlineStr">
        <is>
          <t>מפיץ</t>
        </is>
      </c>
      <c r="D4" t="inlineStr">
        <is>
          <t>https://www.danyel.co.il</t>
        </is>
      </c>
      <c r="E4" t="inlineStr">
        <is>
          <t>1-800-711-911 (also +972 8-936-6066)</t>
        </is>
      </c>
      <c r="F4" t="inlineStr"/>
      <c r="G4" t="inlineStr">
        <is>
          <t>8 Hamada St., Science Park, Rehovot 7670308</t>
        </is>
      </c>
      <c r="H4" t="n">
        <v>12</v>
      </c>
      <c r="I4" t="inlineStr">
        <is>
          <t>Cytiva; Duran; DWK Life Sciences (Wheaton); Esco; Greiner Bio-One; Hamilton; Kimble; Nalgene; Thermo Scientific; Thermo Scientific Nalgene; Thermo Scientific Orion; Wheaton</t>
        </is>
      </c>
    </row>
    <row r="5">
      <c r="A5" t="inlineStr">
        <is>
          <t>Thermo Fisher Integrated Solutions Israel Ltd.</t>
        </is>
      </c>
      <c r="B5" t="inlineStr">
        <is>
          <t>תרמו פישר ישראל (רעננה)</t>
        </is>
      </c>
      <c r="C5" t="inlineStr">
        <is>
          <t>חברה-בת</t>
        </is>
      </c>
      <c r="D5" t="inlineStr">
        <is>
          <t>https://www.thermofisher.com</t>
        </is>
      </c>
      <c r="E5" t="inlineStr">
        <is>
          <t>+972 8-940-8618</t>
        </is>
      </c>
      <c r="F5" t="inlineStr"/>
      <c r="G5" t="inlineStr">
        <is>
          <t>5 Golda Meir St., Ness Ziona (also Airport City 1, Lod)</t>
        </is>
      </c>
      <c r="H5" t="n">
        <v>12</v>
      </c>
      <c r="I5" t="inlineStr">
        <is>
          <t>Nalgene; Nalgene; Nalgene; Thermo Scientific; Thermo Scientific; Thermo Scientific; Thermo Scientific Nalgene; Thermo Scientific Nalgene; Thermo Scientific Nalgene; Thermo Scientific Orion; Thermo Scientific Orion; Thermo Scientific Orion</t>
        </is>
      </c>
    </row>
    <row r="6">
      <c r="A6" t="inlineStr">
        <is>
          <t>Eldan Electronic Instruments Ltd. (Neopharm group)</t>
        </is>
      </c>
      <c r="B6" t="inlineStr">
        <is>
          <t>אלדן</t>
        </is>
      </c>
      <c r="C6" t="inlineStr">
        <is>
          <t>מפיץ</t>
        </is>
      </c>
      <c r="D6" t="inlineStr">
        <is>
          <t>https://www.eldan.biz</t>
        </is>
      </c>
      <c r="E6" t="inlineStr">
        <is>
          <t>+972-3-937-1111</t>
        </is>
      </c>
      <c r="F6" t="inlineStr">
        <is>
          <t>info@eldan.biz</t>
        </is>
      </c>
      <c r="G6" t="inlineStr">
        <is>
          <t>6 Hashiloach Street, P.O. Box 7641, Petach Tikva 49170</t>
        </is>
      </c>
      <c r="H6" t="n">
        <v>7</v>
      </c>
      <c r="I6" t="inlineStr">
        <is>
          <t>Agilent; Agilent Technologies; Hettich; Hettich Instruments; PHC Corporation of North America; PHCBI; Qiagen</t>
        </is>
      </c>
    </row>
    <row r="7">
      <c r="A7" t="inlineStr">
        <is>
          <t>Bargal Analytical Instruments Ltd.</t>
        </is>
      </c>
      <c r="B7" t="inlineStr">
        <is>
          <t>ברגל ציוד אנליטי</t>
        </is>
      </c>
      <c r="C7" t="inlineStr">
        <is>
          <t>מפיץ</t>
        </is>
      </c>
      <c r="D7" t="inlineStr">
        <is>
          <t>https://www.bargal.co.il</t>
        </is>
      </c>
      <c r="E7" t="inlineStr">
        <is>
          <t>+972-3-979-6533</t>
        </is>
      </c>
      <c r="F7" t="inlineStr">
        <is>
          <t>sales@bargal.co.il</t>
        </is>
      </c>
      <c r="G7" t="inlineStr">
        <is>
          <t>10 Shaked Street, Modi'in Industrial Park, Shoham 6085102</t>
        </is>
      </c>
      <c r="H7" t="n">
        <v>7</v>
      </c>
      <c r="I7" t="inlineStr">
        <is>
          <t>Biotage; JEOL USA; Nalgene; Thermo Scientific; Thermo Scientific Nalgene; Thermo Scientific Orion; Waters</t>
        </is>
      </c>
    </row>
    <row r="8">
      <c r="A8" t="inlineStr">
        <is>
          <t>Gamidor Diagnostics (1984) Ltd.</t>
        </is>
      </c>
      <c r="B8" t="inlineStr">
        <is>
          <t>גמידור דיאגנוסטיקה</t>
        </is>
      </c>
      <c r="C8" t="inlineStr">
        <is>
          <t>מפיץ</t>
        </is>
      </c>
      <c r="D8" t="inlineStr">
        <is>
          <t>https://www.gamidor.co.il</t>
        </is>
      </c>
      <c r="E8" t="inlineStr">
        <is>
          <t>+972-3-927-7277</t>
        </is>
      </c>
      <c r="F8" t="inlineStr">
        <is>
          <t>info@gamidor.co.il</t>
        </is>
      </c>
      <c r="G8" t="inlineStr">
        <is>
          <t>Shaham 32, Petach Tikva</t>
        </is>
      </c>
      <c r="H8" t="n">
        <v>7</v>
      </c>
      <c r="I8" t="inlineStr">
        <is>
          <t>Nalgene; Roche; Roche Diagnostics Corp.; Tecan; Thermo Scientific; Thermo Scientific Nalgene; Thermo Scientific Orion</t>
        </is>
      </c>
    </row>
    <row r="9">
      <c r="A9" t="inlineStr">
        <is>
          <t>Rhenium Ltd.</t>
        </is>
      </c>
      <c r="B9" t="inlineStr">
        <is>
          <t>רניום</t>
        </is>
      </c>
      <c r="C9" t="inlineStr">
        <is>
          <t>מפיץ</t>
        </is>
      </c>
      <c r="D9" t="inlineStr">
        <is>
          <t>https://www.rhenium.co.il</t>
        </is>
      </c>
      <c r="E9" t="inlineStr">
        <is>
          <t>+972 8-955-8888</t>
        </is>
      </c>
      <c r="F9" t="inlineStr"/>
      <c r="G9" t="inlineStr">
        <is>
          <t>20 Hasatat St., P.O. Box 180, Modi'in 7171101</t>
        </is>
      </c>
      <c r="H9" t="n">
        <v>6</v>
      </c>
      <c r="I9" t="inlineStr">
        <is>
          <t>Beckman Coulter; Leica; Nalgene; Thermo Scientific; Thermo Scientific Nalgene; Thermo Scientific Orion</t>
        </is>
      </c>
    </row>
    <row r="10">
      <c r="A10" t="inlineStr">
        <is>
          <t>Enco Scientific Services Ltd. (Enco Diagnostics)</t>
        </is>
      </c>
      <c r="B10" t="inlineStr">
        <is>
          <t>אנקו</t>
        </is>
      </c>
      <c r="C10" t="inlineStr">
        <is>
          <t>מפיץ</t>
        </is>
      </c>
      <c r="D10" t="inlineStr">
        <is>
          <t>https://www.enco.co.il</t>
        </is>
      </c>
      <c r="H10" t="n">
        <v>5</v>
      </c>
      <c r="I10" t="inlineStr">
        <is>
          <t>Jackson ImmunoResearch; MP Biomedicals; Santa Cruz Biotechnology; STEMCELL Technologies; Worthington Biochemical</t>
        </is>
      </c>
    </row>
    <row r="11">
      <c r="A11" t="inlineStr">
        <is>
          <t>Tamar Laboratory Supplies</t>
        </is>
      </c>
      <c r="B11" t="inlineStr">
        <is>
          <t>תמר ציוד מעבדתי</t>
        </is>
      </c>
      <c r="C11" t="inlineStr">
        <is>
          <t>מפיץ</t>
        </is>
      </c>
      <c r="D11" t="inlineStr">
        <is>
          <t>https://tamar.co.il</t>
        </is>
      </c>
      <c r="E11" t="inlineStr">
        <is>
          <t>+972 2-533-6070 (also 02-579-9777)</t>
        </is>
      </c>
      <c r="F11" t="inlineStr"/>
      <c r="G11" t="inlineStr">
        <is>
          <t>HaAla St., Mevaseret Zion 90805</t>
        </is>
      </c>
      <c r="H11" t="n">
        <v>4</v>
      </c>
      <c r="I11" t="inlineStr">
        <is>
          <t>Analytik Jena; Azenta; Azenta Life Sciences (formerly 4titude); Sarstedt</t>
        </is>
      </c>
    </row>
    <row r="12">
      <c r="A12" t="inlineStr">
        <is>
          <t>Lumitron</t>
        </is>
      </c>
      <c r="B12" t="inlineStr">
        <is>
          <t>לומיטרון</t>
        </is>
      </c>
      <c r="C12" t="inlineStr">
        <is>
          <t>מפיץ</t>
        </is>
      </c>
      <c r="D12" t="inlineStr">
        <is>
          <t>https://www.lumitron.co.il</t>
        </is>
      </c>
      <c r="E12" t="inlineStr">
        <is>
          <t>+972 52-525-6287</t>
        </is>
      </c>
      <c r="F12" t="inlineStr"/>
      <c r="G12" t="inlineStr">
        <is>
          <t>17 Hamiflasim St., Petah Tikva</t>
        </is>
      </c>
      <c r="H12" t="n">
        <v>4</v>
      </c>
      <c r="I12" t="inlineStr">
        <is>
          <t>Analytik Jena; Eppendorf; PHC Corporation of North America; PHCBI</t>
        </is>
      </c>
    </row>
    <row r="13">
      <c r="A13" t="inlineStr">
        <is>
          <t>Ornat BioChemicals &amp; Lab Equipment Ltd.</t>
        </is>
      </c>
      <c r="B13" t="inlineStr">
        <is>
          <t>אורנת</t>
        </is>
      </c>
      <c r="C13" t="inlineStr">
        <is>
          <t>מפיץ</t>
        </is>
      </c>
      <c r="D13" t="inlineStr">
        <is>
          <t>https://www.ornat.co.il</t>
        </is>
      </c>
      <c r="E13" t="inlineStr">
        <is>
          <t>+972-8-9477077</t>
        </is>
      </c>
      <c r="F13" t="inlineStr">
        <is>
          <t>ornatbio@ornat.co.il</t>
        </is>
      </c>
      <c r="G13" t="inlineStr">
        <is>
          <t>19 Horvitz Eli St., Rehovot 7608802</t>
        </is>
      </c>
      <c r="H13" t="n">
        <v>4</v>
      </c>
      <c r="I13" t="inlineStr">
        <is>
          <t>Cell Signaling Technology; Lonza; Macherey Nagel; New England Biolabs (NEB)</t>
        </is>
      </c>
    </row>
    <row r="14">
      <c r="A14" t="inlineStr">
        <is>
          <t>Getter Group (Getter Bio-Med)</t>
        </is>
      </c>
      <c r="B14" t="inlineStr">
        <is>
          <t>קבוצת גטר</t>
        </is>
      </c>
      <c r="C14" t="inlineStr">
        <is>
          <t>מפיץ</t>
        </is>
      </c>
      <c r="D14" t="inlineStr">
        <is>
          <t>https://www.getter.co.il</t>
        </is>
      </c>
      <c r="E14" t="inlineStr">
        <is>
          <t>+972 3-576-1555 (Getter Group switchboard)</t>
        </is>
      </c>
      <c r="F14" t="inlineStr"/>
      <c r="G14" t="inlineStr">
        <is>
          <t>7 Shimshon St., Petah Tikva 4912502</t>
        </is>
      </c>
      <c r="H14" t="n">
        <v>4</v>
      </c>
      <c r="I14" t="inlineStr">
        <is>
          <t>Corning; Novus Biologicals; R&amp;D Systems; Tocris</t>
        </is>
      </c>
    </row>
    <row r="15">
      <c r="A15" t="inlineStr">
        <is>
          <t>Agentek (1987) Ltd.</t>
        </is>
      </c>
      <c r="B15" t="inlineStr">
        <is>
          <t>אגנטק</t>
        </is>
      </c>
      <c r="C15" t="inlineStr">
        <is>
          <t>מפיץ</t>
        </is>
      </c>
      <c r="D15" t="inlineStr">
        <is>
          <t>https://agentek.co.il</t>
        </is>
      </c>
      <c r="E15" t="inlineStr">
        <is>
          <t>+972 9-965-7000</t>
        </is>
      </c>
      <c r="F15" t="inlineStr"/>
      <c r="G15" t="inlineStr">
        <is>
          <t>Greenwork Yakum Business Park, Yakum 6097200</t>
        </is>
      </c>
      <c r="H15" t="n">
        <v>4</v>
      </c>
      <c r="I15" t="inlineStr">
        <is>
          <t>Gilson Co. Inc.; Mettler-Toledo; Nikon; Rainin</t>
        </is>
      </c>
    </row>
    <row r="16">
      <c r="A16" t="inlineStr">
        <is>
          <t>Iner-Tech Ltd. (Rehovot)</t>
        </is>
      </c>
      <c r="B16" t="inlineStr"/>
      <c r="C16" t="inlineStr">
        <is>
          <t>מפיץ</t>
        </is>
      </c>
      <c r="D16" t="inlineStr"/>
      <c r="E16" t="inlineStr"/>
      <c r="F16" t="inlineStr"/>
      <c r="G16" t="inlineStr"/>
      <c r="H16" t="n">
        <v>4</v>
      </c>
      <c r="I16" t="inlineStr">
        <is>
          <t>Nalgene; Thermo Scientific; Thermo Scientific Nalgene; Thermo Scientific Orion</t>
        </is>
      </c>
    </row>
    <row r="17">
      <c r="A17" t="inlineStr">
        <is>
          <t>R.B.M. Ltd. Control &amp; Mechanization (Hod Hasharon)</t>
        </is>
      </c>
      <c r="B17" t="inlineStr"/>
      <c r="C17" t="inlineStr">
        <is>
          <t>מפיץ</t>
        </is>
      </c>
      <c r="D17" t="inlineStr"/>
      <c r="E17" t="inlineStr"/>
      <c r="F17" t="inlineStr"/>
      <c r="G17" t="inlineStr"/>
      <c r="H17" t="n">
        <v>4</v>
      </c>
      <c r="I17" t="inlineStr">
        <is>
          <t>Nalgene; Thermo Scientific; Thermo Scientific Nalgene; Thermo Scientific Orion</t>
        </is>
      </c>
    </row>
    <row r="18">
      <c r="A18" t="inlineStr">
        <is>
          <t>Madid Industrial Controls Ltd.</t>
        </is>
      </c>
      <c r="B18" t="inlineStr"/>
      <c r="C18" t="inlineStr">
        <is>
          <t>מפיץ</t>
        </is>
      </c>
      <c r="D18" t="inlineStr"/>
      <c r="E18" t="inlineStr"/>
      <c r="F18" t="inlineStr"/>
      <c r="G18" t="inlineStr"/>
      <c r="H18" t="n">
        <v>4</v>
      </c>
      <c r="I18" t="inlineStr">
        <is>
          <t>Nalgene; Thermo Scientific; Thermo Scientific Nalgene; Thermo Scientific Orion</t>
        </is>
      </c>
    </row>
    <row r="19">
      <c r="A19" t="inlineStr">
        <is>
          <t>Lifegene</t>
        </is>
      </c>
      <c r="B19" t="inlineStr">
        <is>
          <t>לייפג'ין</t>
        </is>
      </c>
      <c r="C19" t="inlineStr">
        <is>
          <t>מפיץ</t>
        </is>
      </c>
      <c r="D19" t="inlineStr">
        <is>
          <t>https://www.lifegene.co.il</t>
        </is>
      </c>
      <c r="E19" t="inlineStr">
        <is>
          <t>+972 8-644-4314</t>
        </is>
      </c>
      <c r="F19" t="inlineStr">
        <is>
          <t>info@lifegene.co.il</t>
        </is>
      </c>
      <c r="G19" t="inlineStr">
        <is>
          <t>4 Ha'maayan St., Modi'in 7171101 (directory lists Modi'in; other sources say Mevo Horon – verify)</t>
        </is>
      </c>
      <c r="H19" t="n">
        <v>3</v>
      </c>
      <c r="I19" t="inlineStr">
        <is>
          <t>Analytik Jena; Cytiva; Gilson Co. Inc.</t>
        </is>
      </c>
    </row>
    <row r="20">
      <c r="A20" t="inlineStr">
        <is>
          <t>Mercury (mercury-ltd.co.il; part of Gadot Chemicals Group)</t>
        </is>
      </c>
      <c r="B20" t="inlineStr">
        <is>
          <t>מרקורי</t>
        </is>
      </c>
      <c r="C20" t="inlineStr">
        <is>
          <t>מפיץ</t>
        </is>
      </c>
      <c r="D20" t="inlineStr">
        <is>
          <t>https://www.mercury-ltd.co.il</t>
        </is>
      </c>
      <c r="E20" t="inlineStr">
        <is>
          <t>+972 3-938-7164</t>
        </is>
      </c>
      <c r="F20" t="inlineStr"/>
      <c r="G20" t="inlineStr">
        <is>
          <t>12 Ha'avoda St., P.O. Box 159, Rosh Ha'ayin</t>
        </is>
      </c>
      <c r="H20" t="n">
        <v>3</v>
      </c>
      <c r="I20" t="inlineStr">
        <is>
          <t>Hanna Instruments; Merck; MilliporeSigma</t>
        </is>
      </c>
    </row>
    <row r="21">
      <c r="A21" t="inlineStr">
        <is>
          <t>S.L. Moran Ltd.</t>
        </is>
      </c>
      <c r="B21" t="inlineStr">
        <is>
          <t>ש.ל מורן</t>
        </is>
      </c>
      <c r="C21" t="inlineStr">
        <is>
          <t>מפיץ</t>
        </is>
      </c>
      <c r="D21" t="inlineStr">
        <is>
          <t>https://slmoran.co.il</t>
        </is>
      </c>
      <c r="E21" t="inlineStr">
        <is>
          <t>+972 74-702-9898</t>
        </is>
      </c>
      <c r="F21" t="inlineStr"/>
      <c r="G21" t="inlineStr">
        <is>
          <t>Shatner Center 7, Givat Shaul, Jerusalem</t>
        </is>
      </c>
      <c r="H21" t="n">
        <v>3</v>
      </c>
      <c r="I21" t="inlineStr">
        <is>
          <t>Huber USA; Yamato; Yamato Scientific America</t>
        </is>
      </c>
    </row>
    <row r="22">
      <c r="A22" t="inlineStr">
        <is>
          <t>Israel Scientific Instruments Ltd. (ISI)</t>
        </is>
      </c>
      <c r="B22" t="inlineStr">
        <is>
          <t>ISI – ישראל מכשור מדעי</t>
        </is>
      </c>
      <c r="C22" t="inlineStr">
        <is>
          <t>מפיץ</t>
        </is>
      </c>
      <c r="D22" t="inlineStr">
        <is>
          <t>https://www.isil.co.il</t>
        </is>
      </c>
      <c r="E22" t="inlineStr">
        <is>
          <t>+972 3-923-2202</t>
        </is>
      </c>
      <c r="F22" t="inlineStr">
        <is>
          <t>info@isil.co.il</t>
        </is>
      </c>
      <c r="G22" t="inlineStr">
        <is>
          <t>32 Shacham St., P.O. Box 7790, Petah Tikva 49170</t>
        </is>
      </c>
      <c r="H22" t="n">
        <v>3</v>
      </c>
      <c r="I22" t="inlineStr">
        <is>
          <t>Metrohm; PerkinElmer; Revvity</t>
        </is>
      </c>
    </row>
    <row r="23">
      <c r="A23" t="inlineStr">
        <is>
          <t>Biotest</t>
        </is>
      </c>
      <c r="B23" t="inlineStr"/>
      <c r="C23" t="inlineStr">
        <is>
          <t>מפיץ</t>
        </is>
      </c>
      <c r="D23" t="inlineStr"/>
      <c r="E23" t="inlineStr"/>
      <c r="F23" t="inlineStr"/>
      <c r="G23" t="inlineStr"/>
      <c r="H23" t="n">
        <v>3</v>
      </c>
      <c r="I23" t="inlineStr">
        <is>
          <t>Novus Biologicals; R&amp;D Systems; Tocris</t>
        </is>
      </c>
    </row>
    <row r="24">
      <c r="A24" t="inlineStr">
        <is>
          <t>HyLabs (Hy Laboratories Ltd.)</t>
        </is>
      </c>
      <c r="B24" t="inlineStr"/>
      <c r="C24" t="inlineStr">
        <is>
          <t>מפיץ</t>
        </is>
      </c>
      <c r="D24" t="inlineStr">
        <is>
          <t>https://www.hylabs.co.il</t>
        </is>
      </c>
      <c r="E24" t="inlineStr">
        <is>
          <t>+972-8-936-6475</t>
        </is>
      </c>
      <c r="F24" t="inlineStr"/>
      <c r="G24" t="inlineStr">
        <is>
          <t>8 Prof. Menakhem Plaut St., Rehovot (Prospeo lists 6 Plaut St., Rehovot 7670606)</t>
        </is>
      </c>
      <c r="H24" t="n">
        <v>2</v>
      </c>
      <c r="I24" t="inlineStr">
        <is>
          <t>Azenta; Azenta Life Sciences (formerly 4titude)</t>
        </is>
      </c>
    </row>
    <row r="25">
      <c r="A25" t="inlineStr">
        <is>
          <t>Augusta Life Sciences Israel Ltd. (Waters subsidiary, ex-BD Biosciences &amp; Diagnostic Solutions)</t>
        </is>
      </c>
      <c r="B25" t="inlineStr"/>
      <c r="C25" t="inlineStr">
        <is>
          <t>חברה-בת</t>
        </is>
      </c>
      <c r="D25" t="inlineStr">
        <is>
          <t>https://www.waters.com</t>
        </is>
      </c>
      <c r="E25" t="inlineStr"/>
      <c r="F25" t="inlineStr"/>
      <c r="G25" t="inlineStr"/>
      <c r="H25" t="n">
        <v>2</v>
      </c>
      <c r="I25" t="inlineStr">
        <is>
          <t>BD Biosciences; Waters</t>
        </is>
      </c>
    </row>
    <row r="26">
      <c r="A26" t="inlineStr">
        <is>
          <t>Lapidot Group (Lapidot Medical)</t>
        </is>
      </c>
      <c r="B26" t="inlineStr">
        <is>
          <t>לפידות</t>
        </is>
      </c>
      <c r="C26" t="inlineStr">
        <is>
          <t>מפיץ</t>
        </is>
      </c>
      <c r="D26" t="inlineStr">
        <is>
          <t>https://www.lapidot.com</t>
        </is>
      </c>
      <c r="E26" t="inlineStr">
        <is>
          <t>+972-4-6309630 / +972-74-7797836</t>
        </is>
      </c>
      <c r="F26" t="inlineStr">
        <is>
          <t>customerservice@lapidot.com</t>
        </is>
      </c>
      <c r="G26" t="inlineStr">
        <is>
          <t>8 Hashita St., P.O. Box 3552, Caesarea Industrial Park 3088900</t>
        </is>
      </c>
      <c r="H26" t="n">
        <v>2</v>
      </c>
      <c r="I26" t="inlineStr">
        <is>
          <t>BD Biosciences; Leica</t>
        </is>
      </c>
    </row>
    <row r="27">
      <c r="A27" t="inlineStr">
        <is>
          <t>Bio-Rad Israel Ltd. (Bio-Rad Laboratories (Rishon))</t>
        </is>
      </c>
      <c r="B27" t="inlineStr">
        <is>
          <t>ביו-ראד ישראל</t>
        </is>
      </c>
      <c r="C27" t="inlineStr">
        <is>
          <t>חברה-בת</t>
        </is>
      </c>
      <c r="D27" t="inlineStr">
        <is>
          <t>https://www.bio-rad.com</t>
        </is>
      </c>
      <c r="E27" t="inlineStr"/>
      <c r="F27" t="inlineStr"/>
      <c r="G27" t="inlineStr">
        <is>
          <t>Netiv HaOr, Haifa</t>
        </is>
      </c>
      <c r="H27" t="n">
        <v>2</v>
      </c>
      <c r="I27" t="inlineStr">
        <is>
          <t>Bio-Rad; Bio-Rad</t>
        </is>
      </c>
    </row>
    <row r="28">
      <c r="A28" t="inlineStr">
        <is>
          <t>Yoel Naim Ltd.</t>
        </is>
      </c>
      <c r="B28" t="inlineStr"/>
      <c r="C28" t="inlineStr">
        <is>
          <t>מפיץ</t>
        </is>
      </c>
      <c r="D28" t="inlineStr"/>
      <c r="E28" t="inlineStr"/>
      <c r="F28" t="inlineStr"/>
      <c r="G28" t="inlineStr"/>
      <c r="H28" t="n">
        <v>2</v>
      </c>
      <c r="I28" t="inlineStr">
        <is>
          <t>Brand; BrandTech®</t>
        </is>
      </c>
    </row>
    <row r="29">
      <c r="A29" t="inlineStr">
        <is>
          <t>Ophir Analytical Ltd.</t>
        </is>
      </c>
      <c r="B29" t="inlineStr"/>
      <c r="C29" t="inlineStr">
        <is>
          <t>מפיץ</t>
        </is>
      </c>
      <c r="D29" t="inlineStr">
        <is>
          <t>https://ophiranalytical.com</t>
        </is>
      </c>
      <c r="E29" t="inlineStr">
        <is>
          <t>+972 3-902-2277</t>
        </is>
      </c>
      <c r="F29" t="inlineStr"/>
      <c r="G29" t="inlineStr">
        <is>
          <t>Rosh Ha'ayin</t>
        </is>
      </c>
      <c r="H29" t="n">
        <v>2</v>
      </c>
      <c r="I29" t="inlineStr">
        <is>
          <t>Hamilton; Jasco</t>
        </is>
      </c>
    </row>
    <row r="30">
      <c r="A30" t="inlineStr">
        <is>
          <t>Sigma-Aldrich Israel Ltd. (affiliate of Merck KGaA, Darmstadt)</t>
        </is>
      </c>
      <c r="B30" t="inlineStr"/>
      <c r="C30" t="inlineStr">
        <is>
          <t>חברה-בת</t>
        </is>
      </c>
      <c r="D30" t="inlineStr">
        <is>
          <t>https://www.sigmaaldrich.com/IL/en</t>
        </is>
      </c>
      <c r="E30" t="inlineStr">
        <is>
          <t>+972-8-9484222 / +972-8-9484100</t>
        </is>
      </c>
      <c r="F30" t="inlineStr">
        <is>
          <t>isrcustserv@merckgroup.com; isrtechserv@merckgroup.com</t>
        </is>
      </c>
      <c r="G30" t="inlineStr">
        <is>
          <t>3 Plaut St., Rehovot 7670603</t>
        </is>
      </c>
      <c r="H30" t="n">
        <v>2</v>
      </c>
      <c r="I30" t="inlineStr">
        <is>
          <t>Merck; MilliporeSigma</t>
        </is>
      </c>
    </row>
    <row r="31">
      <c r="A31" t="inlineStr">
        <is>
          <t>Modcon Systems Ltd.</t>
        </is>
      </c>
      <c r="B31" t="inlineStr"/>
      <c r="C31" t="inlineStr">
        <is>
          <t>מפיץ</t>
        </is>
      </c>
      <c r="D31" t="inlineStr">
        <is>
          <t>https://modcon-systems.com</t>
        </is>
      </c>
      <c r="E31" t="inlineStr">
        <is>
          <t>+972-4-9553955</t>
        </is>
      </c>
      <c r="F31" t="inlineStr"/>
      <c r="G31" t="inlineStr">
        <is>
          <t>Modcon House, M. Boronshtein St., South Akko Industrial Park, Akko 24222</t>
        </is>
      </c>
      <c r="H31" t="n">
        <v>2</v>
      </c>
      <c r="I31" t="inlineStr">
        <is>
          <t>Mettler-Toledo; Rainin</t>
        </is>
      </c>
    </row>
    <row r="32">
      <c r="A32" t="inlineStr">
        <is>
          <t>Dinco Ltd.</t>
        </is>
      </c>
      <c r="B32" t="inlineStr"/>
      <c r="C32" t="inlineStr">
        <is>
          <t>מפיץ</t>
        </is>
      </c>
      <c r="D32" t="inlineStr"/>
      <c r="E32" t="inlineStr"/>
      <c r="F32" t="inlineStr"/>
      <c r="G32" t="inlineStr"/>
      <c r="H32" t="n">
        <v>2</v>
      </c>
      <c r="I32" t="inlineStr">
        <is>
          <t>Mettler-Toledo; Rainin</t>
        </is>
      </c>
    </row>
    <row r="33">
      <c r="A33" t="inlineStr">
        <is>
          <t>PerkinElmer Israel Ltd.</t>
        </is>
      </c>
      <c r="B33" t="inlineStr"/>
      <c r="C33" t="inlineStr">
        <is>
          <t>חברה-בת</t>
        </is>
      </c>
      <c r="D33" t="inlineStr">
        <is>
          <t>https://www.perkinelmer.com</t>
        </is>
      </c>
      <c r="E33" t="inlineStr">
        <is>
          <t>1-700-500-512</t>
        </is>
      </c>
      <c r="F33" t="inlineStr">
        <is>
          <t>cc.israel@perkinelmer.com</t>
        </is>
      </c>
      <c r="G33" t="inlineStr">
        <is>
          <t>4 HaSheizaf St., Ra'anana</t>
        </is>
      </c>
      <c r="H33" t="n">
        <v>2</v>
      </c>
      <c r="I33" t="inlineStr">
        <is>
          <t>PerkinElmer; Revvity</t>
        </is>
      </c>
    </row>
    <row r="34">
      <c r="A34" t="inlineStr">
        <is>
          <t>Roche Pharmaceuticals (Israel) Ltd. - Diagnostics division ("Roche Diagnostics Israel")</t>
        </is>
      </c>
      <c r="B34" t="inlineStr"/>
      <c r="C34" t="inlineStr">
        <is>
          <t>חברה-בת</t>
        </is>
      </c>
      <c r="D34" t="inlineStr">
        <is>
          <t>https://www.roche.co.il</t>
        </is>
      </c>
      <c r="E34" t="inlineStr">
        <is>
          <t>+972-9-9737777</t>
        </is>
      </c>
      <c r="F34" t="inlineStr"/>
      <c r="G34" t="inlineStr">
        <is>
          <t>6 Hacharash St., P.O. Box 3691, Hod Hasharon 4524079</t>
        </is>
      </c>
      <c r="H34" t="n">
        <v>2</v>
      </c>
      <c r="I34" t="inlineStr">
        <is>
          <t>Roche; Roche Diagnostics Corp.</t>
        </is>
      </c>
    </row>
    <row r="35">
      <c r="A35" t="inlineStr">
        <is>
          <t>Dyn Diagnostics</t>
        </is>
      </c>
      <c r="B35" t="inlineStr"/>
      <c r="C35" t="inlineStr">
        <is>
          <t>מפיץ</t>
        </is>
      </c>
      <c r="D35" t="inlineStr">
        <is>
          <t>https://dyn.co.il</t>
        </is>
      </c>
      <c r="E35" t="inlineStr"/>
      <c r="F35" t="inlineStr"/>
      <c r="G35" t="inlineStr"/>
      <c r="H35" t="n">
        <v>2</v>
      </c>
      <c r="I35" t="inlineStr">
        <is>
          <t>Roche; Roche Diagnostics Corp.</t>
        </is>
      </c>
    </row>
    <row r="36">
      <c r="A36" t="inlineStr">
        <is>
          <t>Prime Lab Scientific Instruments Ltd.</t>
        </is>
      </c>
      <c r="B36" t="inlineStr">
        <is>
          <t>פריים לאב</t>
        </is>
      </c>
      <c r="C36" t="inlineStr">
        <is>
          <t>מפיץ</t>
        </is>
      </c>
      <c r="D36" t="inlineStr">
        <is>
          <t>https://primelab.co.il</t>
        </is>
      </c>
      <c r="E36" t="inlineStr"/>
      <c r="F36" t="inlineStr"/>
      <c r="G36" t="inlineStr"/>
      <c r="H36" t="n">
        <v>1</v>
      </c>
      <c r="I36" t="inlineStr">
        <is>
          <t>Anton Paar</t>
        </is>
      </c>
    </row>
    <row r="37">
      <c r="A37" t="inlineStr">
        <is>
          <t>BD Israel (Becton Dickinson)</t>
        </is>
      </c>
      <c r="B37" t="inlineStr"/>
      <c r="C37" t="inlineStr">
        <is>
          <t>חברה-בת</t>
        </is>
      </c>
      <c r="D37" t="inlineStr">
        <is>
          <t>https://www.bd.com/en-il</t>
        </is>
      </c>
      <c r="E37" t="inlineStr"/>
      <c r="F37" t="inlineStr"/>
      <c r="G37" t="inlineStr">
        <is>
          <t>Caesarea</t>
        </is>
      </c>
      <c r="H37" t="n">
        <v>1</v>
      </c>
      <c r="I37" t="inlineStr">
        <is>
          <t>BD Biosciences</t>
        </is>
      </c>
    </row>
    <row r="38">
      <c r="A38" t="inlineStr">
        <is>
          <t>Beckman Coulter (Israel) Ltd.</t>
        </is>
      </c>
      <c r="B38" t="inlineStr"/>
      <c r="C38" t="inlineStr">
        <is>
          <t>חברה-בת</t>
        </is>
      </c>
      <c r="D38" t="inlineStr"/>
      <c r="E38" t="inlineStr"/>
      <c r="F38" t="inlineStr"/>
      <c r="G38" t="inlineStr"/>
      <c r="H38" t="n">
        <v>1</v>
      </c>
      <c r="I38" t="inlineStr">
        <is>
          <t>Beckman Coulter</t>
        </is>
      </c>
    </row>
    <row r="39">
      <c r="A39" t="inlineStr">
        <is>
          <t>Dr. Golik Scientific Solutions</t>
        </is>
      </c>
      <c r="B39" t="inlineStr">
        <is>
          <t>ד"ר גוליק</t>
        </is>
      </c>
      <c r="C39" t="inlineStr">
        <is>
          <t>מפיץ</t>
        </is>
      </c>
      <c r="D39" t="inlineStr">
        <is>
          <t>https://www.golik.co.il</t>
        </is>
      </c>
      <c r="E39" t="inlineStr">
        <is>
          <t>+972-3-518-7555</t>
        </is>
      </c>
      <c r="F39" t="inlineStr">
        <is>
          <t>marketing@golik.co.il</t>
        </is>
      </c>
      <c r="G39" t="inlineStr">
        <is>
          <t>34 Kibbutz Galuyot St, Tel Aviv 66550</t>
        </is>
      </c>
      <c r="H39" t="n">
        <v>1</v>
      </c>
      <c r="I39" t="inlineStr">
        <is>
          <t>Buchi</t>
        </is>
      </c>
    </row>
    <row r="40">
      <c r="A40" t="inlineStr">
        <is>
          <t>Modotec Ltd.</t>
        </is>
      </c>
      <c r="B40" t="inlineStr">
        <is>
          <t>מודוטק בע"מ</t>
        </is>
      </c>
      <c r="C40" t="inlineStr">
        <is>
          <t>מפיץ</t>
        </is>
      </c>
      <c r="D40" t="inlineStr">
        <is>
          <t>https://www.modotec.co.il</t>
        </is>
      </c>
      <c r="E40" t="inlineStr">
        <is>
          <t>+972-4-991-9988</t>
        </is>
      </c>
      <c r="F40" t="inlineStr"/>
      <c r="G40" t="inlineStr">
        <is>
          <t>16 Moshe Bernstein St., South Industrial Park, Acre (Akko) 2422238</t>
        </is>
      </c>
      <c r="H40" t="n">
        <v>1</v>
      </c>
      <c r="I40" t="inlineStr">
        <is>
          <t>Hach</t>
        </is>
      </c>
    </row>
    <row r="41">
      <c r="A41" t="inlineStr">
        <is>
          <t>Ex-Lab</t>
        </is>
      </c>
      <c r="B41" t="inlineStr">
        <is>
          <t>אקס-לאב</t>
        </is>
      </c>
      <c r="C41" t="inlineStr">
        <is>
          <t>מפיץ</t>
        </is>
      </c>
      <c r="D41" t="inlineStr">
        <is>
          <t>https://ex-lab.com</t>
        </is>
      </c>
      <c r="E41" t="inlineStr"/>
      <c r="F41" t="inlineStr"/>
      <c r="G41" t="inlineStr">
        <is>
          <t>4 Nevatim St., Petah Tikva</t>
        </is>
      </c>
      <c r="H41" t="n">
        <v>1</v>
      </c>
      <c r="I41" t="inlineStr">
        <is>
          <t>Haier</t>
        </is>
      </c>
    </row>
    <row r="42">
      <c r="A42" t="inlineStr">
        <is>
          <t>Tarom Applied Technologies Ltd.</t>
        </is>
      </c>
      <c r="B42" t="inlineStr"/>
      <c r="C42" t="inlineStr">
        <is>
          <t>מפיץ</t>
        </is>
      </c>
      <c r="D42" t="inlineStr">
        <is>
          <t>http://www.tarom.co.il</t>
        </is>
      </c>
      <c r="E42" t="inlineStr"/>
      <c r="F42" t="inlineStr"/>
      <c r="G42" t="inlineStr"/>
      <c r="H42" t="n">
        <v>1</v>
      </c>
      <c r="I42" t="inlineStr">
        <is>
          <t>Hamilton</t>
        </is>
      </c>
    </row>
    <row r="43">
      <c r="A43" t="inlineStr">
        <is>
          <t>BioAnalytics</t>
        </is>
      </c>
      <c r="B43" t="inlineStr"/>
      <c r="C43" t="inlineStr">
        <is>
          <t>מפיץ</t>
        </is>
      </c>
      <c r="D43" t="inlineStr">
        <is>
          <t>https://www.bioanalytics.co.il</t>
        </is>
      </c>
      <c r="E43" t="inlineStr">
        <is>
          <t>+972-72-242-9555</t>
        </is>
      </c>
      <c r="F43" t="inlineStr"/>
      <c r="G43" t="inlineStr">
        <is>
          <t>29 Omarim St. (listed as "29'th Omarim"), Omer 84965</t>
        </is>
      </c>
      <c r="H43" t="n">
        <v>1</v>
      </c>
      <c r="I43" t="inlineStr">
        <is>
          <t>Hanna Instruments</t>
        </is>
      </c>
    </row>
    <row r="44">
      <c r="A44" t="inlineStr">
        <is>
          <t>Cannadepot</t>
        </is>
      </c>
      <c r="B44" t="inlineStr"/>
      <c r="C44" t="inlineStr">
        <is>
          <t>מפיץ</t>
        </is>
      </c>
      <c r="D44" t="inlineStr">
        <is>
          <t>https://cannadepot.co.il</t>
        </is>
      </c>
      <c r="E44" t="inlineStr"/>
      <c r="F44" t="inlineStr"/>
      <c r="G44" t="inlineStr"/>
      <c r="H44" t="n">
        <v>1</v>
      </c>
      <c r="I44" t="inlineStr">
        <is>
          <t>Hanna Instruments</t>
        </is>
      </c>
    </row>
    <row r="45">
      <c r="A45" t="inlineStr">
        <is>
          <t>Master-Cold</t>
        </is>
      </c>
      <c r="B45" t="inlineStr"/>
      <c r="C45" t="inlineStr">
        <is>
          <t>מפיץ</t>
        </is>
      </c>
      <c r="D45" t="inlineStr">
        <is>
          <t>http://master-cold.co.il</t>
        </is>
      </c>
      <c r="E45" t="inlineStr"/>
      <c r="F45" t="inlineStr"/>
      <c r="G45" t="inlineStr"/>
      <c r="H45" t="n">
        <v>1</v>
      </c>
      <c r="I45" t="inlineStr">
        <is>
          <t>Huber USA</t>
        </is>
      </c>
    </row>
    <row r="46">
      <c r="A46" t="inlineStr">
        <is>
          <t>Citrine Solutions</t>
        </is>
      </c>
      <c r="B46" t="inlineStr">
        <is>
          <t>סיטרין</t>
        </is>
      </c>
      <c r="C46" t="inlineStr">
        <is>
          <t>מפיץ</t>
        </is>
      </c>
      <c r="D46" t="inlineStr">
        <is>
          <t>https://www.citrinesolutions.co.il</t>
        </is>
      </c>
      <c r="E46" t="inlineStr"/>
      <c r="F46" t="inlineStr"/>
      <c r="G46" t="inlineStr"/>
      <c r="H46" t="n">
        <v>1</v>
      </c>
      <c r="I46" t="inlineStr">
        <is>
          <t>Lauda</t>
        </is>
      </c>
    </row>
    <row r="47">
      <c r="A47" t="inlineStr">
        <is>
          <t>Avni &amp; Son</t>
        </is>
      </c>
      <c r="B47" t="inlineStr"/>
      <c r="C47" t="inlineStr">
        <is>
          <t>מפיץ</t>
        </is>
      </c>
      <c r="D47" t="inlineStr">
        <is>
          <t>https://avni-son.co.il</t>
        </is>
      </c>
      <c r="E47" t="inlineStr">
        <is>
          <t>+972-4-821-9989</t>
        </is>
      </c>
      <c r="F47" t="inlineStr">
        <is>
          <t>info@avni-son.co.il</t>
        </is>
      </c>
      <c r="G47" t="inlineStr">
        <is>
          <t>101 Bar Yehuda Rd. (דרך בר יהודה 101), Nesher</t>
        </is>
      </c>
      <c r="H47" t="n">
        <v>1</v>
      </c>
      <c r="I47" t="inlineStr">
        <is>
          <t>Lauda</t>
        </is>
      </c>
    </row>
    <row r="48">
      <c r="A48" t="inlineStr">
        <is>
          <t>Electrotherm Marketing 1978 Ltd.</t>
        </is>
      </c>
      <c r="B48" t="inlineStr">
        <is>
          <t>אלקטרוטרם</t>
        </is>
      </c>
      <c r="C48" t="inlineStr">
        <is>
          <t>מפיץ</t>
        </is>
      </c>
      <c r="D48" t="inlineStr">
        <is>
          <t>https://www.electrotherm.co.il</t>
        </is>
      </c>
      <c r="E48" t="inlineStr">
        <is>
          <t>+972-77-866-0600</t>
        </is>
      </c>
      <c r="F48" t="inlineStr">
        <is>
          <t>sales@electrotherm.co.il</t>
        </is>
      </c>
      <c r="G48" t="inlineStr">
        <is>
          <t>Migdal HaEmek</t>
        </is>
      </c>
      <c r="H48" t="n">
        <v>1</v>
      </c>
      <c r="I48" t="inlineStr">
        <is>
          <t>Nabertherm</t>
        </is>
      </c>
    </row>
    <row r="49">
      <c r="A49" t="inlineStr">
        <is>
          <t>Advanced Technological Solutions Ltd. (ATSL)</t>
        </is>
      </c>
      <c r="B49" t="inlineStr"/>
      <c r="C49" t="inlineStr">
        <is>
          <t>מפיץ</t>
        </is>
      </c>
      <c r="D49" t="inlineStr"/>
      <c r="E49" t="inlineStr"/>
      <c r="F49" t="inlineStr"/>
      <c r="G49" t="inlineStr"/>
      <c r="H49" t="n">
        <v>1</v>
      </c>
      <c r="I49" t="inlineStr">
        <is>
          <t>Oxford Instruments America</t>
        </is>
      </c>
    </row>
    <row r="50">
      <c r="A50" t="inlineStr">
        <is>
          <t>Quantum Design s.r.l. (Italy and Israel branch office, Rome) / Quantum Design Israel site</t>
        </is>
      </c>
      <c r="B50" t="inlineStr"/>
      <c r="C50" t="inlineStr">
        <is>
          <t>מפיץ</t>
        </is>
      </c>
      <c r="D50" t="inlineStr">
        <is>
          <t>https://qd-europe.com/il/en</t>
        </is>
      </c>
      <c r="E50" t="inlineStr"/>
      <c r="F50" t="inlineStr"/>
      <c r="G50" t="inlineStr"/>
      <c r="H50" t="n">
        <v>1</v>
      </c>
      <c r="I50" t="inlineStr">
        <is>
          <t>Oxford Instruments America</t>
        </is>
      </c>
    </row>
    <row r="51">
      <c r="A51" t="inlineStr">
        <is>
          <t>Tivan Biotech</t>
        </is>
      </c>
      <c r="B51" t="inlineStr">
        <is>
          <t>טיבן ביוטק</t>
        </is>
      </c>
      <c r="C51" t="inlineStr">
        <is>
          <t>מפיץ</t>
        </is>
      </c>
      <c r="D51" t="inlineStr">
        <is>
          <t>https://www.tivanbiotech.com</t>
        </is>
      </c>
      <c r="F51" t="inlineStr">
        <is>
          <t>customerservice@tivanbiotech.com</t>
        </is>
      </c>
      <c r="H51" t="n">
        <v>1</v>
      </c>
      <c r="I51" t="inlineStr">
        <is>
          <t>OZ Biosciences</t>
        </is>
      </c>
    </row>
    <row r="52">
      <c r="A52" t="inlineStr">
        <is>
          <t>IM Beit HaEmek (Beit HaEmek Industries)</t>
        </is>
      </c>
      <c r="B52" t="inlineStr">
        <is>
          <t>תעשיות בית העמק</t>
        </is>
      </c>
      <c r="C52" t="inlineStr">
        <is>
          <t>מפיץ</t>
        </is>
      </c>
      <c r="D52" t="inlineStr">
        <is>
          <t>https://www.bemek.co.il</t>
        </is>
      </c>
      <c r="E52" t="inlineStr">
        <is>
          <t>+972 4-868-9015</t>
        </is>
      </c>
      <c r="F52" t="inlineStr">
        <is>
          <t>info@bemek.co.il</t>
        </is>
      </c>
      <c r="G52" t="inlineStr">
        <is>
          <t>Kibbutz Beit HaEmek</t>
        </is>
      </c>
      <c r="H52" t="n">
        <v>1</v>
      </c>
      <c r="I52" t="inlineStr">
        <is>
          <t>Promega</t>
        </is>
      </c>
    </row>
    <row r="53">
      <c r="A53" t="inlineStr">
        <is>
          <t>Ilex Medical Ltd.</t>
        </is>
      </c>
      <c r="B53" t="inlineStr"/>
      <c r="C53" t="inlineStr">
        <is>
          <t>מפיץ</t>
        </is>
      </c>
      <c r="D53" t="inlineStr">
        <is>
          <t>https://www.ilexmedical.com</t>
        </is>
      </c>
      <c r="E53" t="inlineStr">
        <is>
          <t>+972-3-9385500</t>
        </is>
      </c>
      <c r="F53" t="inlineStr"/>
      <c r="G53" t="inlineStr">
        <is>
          <t>7 HaTnufa St., Petah Tikva</t>
        </is>
      </c>
      <c r="H53" t="n">
        <v>1</v>
      </c>
      <c r="I53" t="inlineStr">
        <is>
          <t>Qiagen</t>
        </is>
      </c>
    </row>
    <row r="54">
      <c r="A54" t="inlineStr">
        <is>
          <t>Lifegene Ltd.</t>
        </is>
      </c>
      <c r="B54" t="inlineStr">
        <is>
          <t>לייפג'ין</t>
        </is>
      </c>
      <c r="C54" t="inlineStr">
        <is>
          <t>מפיץ</t>
        </is>
      </c>
      <c r="D54" t="inlineStr">
        <is>
          <t>QIAGEN enzymes / OEM reagents sold through the Lifegene catalogue (not the QIAGEN instrument line)</t>
        </is>
      </c>
      <c r="E54" t="inlineStr">
        <is>
          <t>+972 8-644-4314</t>
        </is>
      </c>
      <c r="F54" t="inlineStr">
        <is>
          <t>info@lifegene.co.il</t>
        </is>
      </c>
      <c r="G54" t="inlineStr">
        <is>
          <t>4 Ha'maayan St., Modi'in 7171101 (directory lists Modi'in; other sources say Mevo Horon – verify)</t>
        </is>
      </c>
      <c r="H54" t="n">
        <v>1</v>
      </c>
      <c r="I54" t="inlineStr">
        <is>
          <t>Qiagen</t>
        </is>
      </c>
    </row>
    <row r="55">
      <c r="A55" t="inlineStr">
        <is>
          <t>MRC Laboratory Equipment &amp; Instruments</t>
        </is>
      </c>
      <c r="B55" t="inlineStr">
        <is>
          <t>MRC</t>
        </is>
      </c>
      <c r="C55" t="inlineStr">
        <is>
          <t>מפיץ</t>
        </is>
      </c>
      <c r="D55" t="inlineStr">
        <is>
          <t>https://www.mrclab.com</t>
        </is>
      </c>
      <c r="E55" t="inlineStr">
        <is>
          <t>+972 3-559-5252</t>
        </is>
      </c>
      <c r="F55" t="inlineStr"/>
      <c r="G55" t="inlineStr">
        <is>
          <t>3 Ha-Gavish St., Holon 5881702</t>
        </is>
      </c>
      <c r="H55" t="n">
        <v>1</v>
      </c>
      <c r="I55" t="inlineStr">
        <is>
          <t>Retsch</t>
        </is>
      </c>
    </row>
    <row r="56">
      <c r="A56" t="inlineStr">
        <is>
          <t>Sartorius Israel Ltd.</t>
        </is>
      </c>
      <c r="B56" t="inlineStr"/>
      <c r="C56" t="inlineStr">
        <is>
          <t>חברה-בת</t>
        </is>
      </c>
      <c r="D56" t="inlineStr">
        <is>
          <t>https://www.sartorius.com/en/contact-us/local-contact</t>
        </is>
      </c>
      <c r="E56" t="inlineStr">
        <is>
          <t>+972 4-996-0595</t>
        </is>
      </c>
      <c r="F56" t="inlineStr"/>
      <c r="G56" t="inlineStr">
        <is>
          <t>Kibbutz Beit Haemek 2511500</t>
        </is>
      </c>
      <c r="H56" t="n">
        <v>1</v>
      </c>
      <c r="I56" t="inlineStr">
        <is>
          <t>Sartorius</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9"/>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COUNTIF(Suppliers!AD2:AD1382,"חברה-בת בישראל")</f>
        <v/>
      </c>
    </row>
    <row r="8">
      <c r="A8" s="3" t="inlineStr">
        <is>
          <t>מפיץ/נציג בישראל</t>
        </is>
      </c>
      <c r="B8">
        <f>COUNTIF(Suppliers!AD2:AD1382,"מפיץ/נציג בישראל")</f>
        <v/>
      </c>
    </row>
    <row r="9">
      <c r="A9" s="3" t="inlineStr">
        <is>
          <t>דרך חברת-האם בישראל</t>
        </is>
      </c>
      <c r="B9">
        <f>COUNTIF(Suppliers!AD2:AD1382,"דרך חברת-האם בישראל")</f>
        <v/>
      </c>
    </row>
    <row r="10">
      <c r="A10" s="3" t="inlineStr">
        <is>
          <t>לא נמצא ערוץ ישראלי</t>
        </is>
      </c>
      <c r="B10">
        <f>COUNTIF(Suppliers!AD2:AD1382,"לא נמצא ערוץ ישראלי")</f>
        <v/>
      </c>
    </row>
    <row r="11">
      <c r="A11" s="3" t="inlineStr">
        <is>
          <t>לא ברור</t>
        </is>
      </c>
      <c r="B11">
        <f>COUNTIF(Suppliers!AD2:AD1382,"לא ברור")</f>
        <v/>
      </c>
    </row>
    <row r="12">
      <c r="A12" s="3" t="inlineStr">
        <is>
          <t>לא נמצא בסריקת המפיצים</t>
        </is>
      </c>
      <c r="B12">
        <f>COUNTIF(Suppliers!AD2:AD1382,"לא נמצא בסריקת המפיצים")</f>
        <v/>
      </c>
    </row>
    <row r="13">
      <c r="A13" s="3" t="inlineStr">
        <is>
          <t>טרם נבדק</t>
        </is>
      </c>
      <c r="B13">
        <f>COUNTIF(Suppliers!AD2:AD1382,"טרם נבדק")</f>
        <v/>
      </c>
    </row>
    <row r="14">
      <c r="A14" s="3" t="inlineStr">
        <is>
          <t>עם אתר מזוהה</t>
        </is>
      </c>
      <c r="B14">
        <f>COUNTIF(Suppliers!H2:H1382,"http*")</f>
        <v/>
      </c>
    </row>
    <row r="15">
      <c r="A15" s="3" t="inlineStr">
        <is>
          <t>עם נתון עובדים</t>
        </is>
      </c>
      <c r="B15">
        <f>COUNT(Suppliers!P2:P1382)</f>
        <v/>
      </c>
    </row>
    <row r="16">
      <c r="A16" s="3" t="inlineStr">
        <is>
          <t>עם נתון הכנסות</t>
        </is>
      </c>
      <c r="B16">
        <f>COUNT(Suppliers!T2:T1382)</f>
        <v/>
      </c>
    </row>
    <row r="17">
      <c r="A17" s="3" t="inlineStr">
        <is>
          <t>עם 3 מוצרים</t>
        </is>
      </c>
      <c r="B17">
        <f>COUNTIF(Suppliers!AB2:AB1382,"?*")</f>
        <v/>
      </c>
    </row>
    <row r="18">
      <c r="A18" s="3" t="inlineStr">
        <is>
          <t>עם טלפון</t>
        </is>
      </c>
      <c r="B18">
        <f>COUNTIF(Suppliers!AJ2:AJ1382,"?*")</f>
        <v/>
      </c>
    </row>
    <row r="19">
      <c r="A19" s="3" t="inlineStr">
        <is>
          <t>חציון עובדים</t>
        </is>
      </c>
      <c r="B19">
        <f>MEDIAN(Suppliers!P2:P1382)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2026-10-18T05:58:55Z</dcterms:created>
  <dcterms:modified xmlns:dcterms="http://purl.org/dc/terms/" xmlns:xsi="http://www.w3.org/2001/XMLSchema-instance" xsi:type="dcterms:W3CDTF">2026-10-18T05:58:56Z</dcterms:modified>
</cp:coreProperties>
</file>