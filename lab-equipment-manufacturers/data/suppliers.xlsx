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'Suppliers'!$A$1:$AP$1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P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50" customWidth="1" min="15" max="15"/>
    <col width="10" customWidth="1" min="16" max="16"/>
    <col width="8" customWidth="1" min="17" max="17"/>
    <col width="9" customWidth="1" min="18" max="18"/>
    <col width="9" customWidth="1" min="19" max="19"/>
    <col width="14" customWidth="1" min="20" max="20"/>
    <col width="7" customWidth="1" min="21" max="21"/>
    <col width="7" customWidth="1" min="22" max="22"/>
    <col width="9" customWidth="1" min="23" max="23"/>
    <col width="9" customWidth="1" min="24" max="24"/>
    <col width="10" customWidth="1" min="25" max="25"/>
    <col width="28" customWidth="1" min="26" max="26"/>
    <col width="28" customWidth="1" min="27" max="27"/>
    <col width="28" customWidth="1" min="28" max="28"/>
    <col width="10" customWidth="1" min="29" max="29"/>
    <col width="20" customWidth="1" min="30" max="30"/>
    <col width="14" customWidth="1" min="31" max="31"/>
    <col width="8" customWidth="1" min="32" max="32"/>
    <col width="40" customWidth="1" min="33" max="33"/>
    <col width="50" customWidth="1" min="34" max="34"/>
    <col width="40" customWidth="1" min="35" max="35"/>
    <col width="16" customWidth="1" min="36" max="36"/>
    <col width="24" customWidth="1" min="37" max="37"/>
    <col width="36" customWidth="1" min="38" max="38"/>
    <col width="30" customWidth="1" min="39" max="39"/>
    <col width="20" customWidth="1" min="40" max="40"/>
    <col width="10" customWidth="1" min="41" max="41"/>
    <col width="60" customWidth="1" min="42" max="42"/>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תיאור</t>
        </is>
      </c>
      <c r="P1" s="1" t="inlineStr">
        <is>
          <t>עובדים</t>
        </is>
      </c>
      <c r="Q1" s="1" t="inlineStr">
        <is>
          <t>שנת נתון</t>
        </is>
      </c>
      <c r="R1" s="1" t="inlineStr">
        <is>
          <t>היקף</t>
        </is>
      </c>
      <c r="S1" s="1" t="inlineStr">
        <is>
          <t>מקור</t>
        </is>
      </c>
      <c r="T1" s="1" t="inlineStr">
        <is>
          <t>הכנסות (מיליוני $)</t>
        </is>
      </c>
      <c r="U1" s="1" t="inlineStr">
        <is>
          <t>הכנסות (מקור)</t>
        </is>
      </c>
      <c r="V1" s="1" t="inlineStr">
        <is>
          <t>שנה</t>
        </is>
      </c>
      <c r="W1" s="1" t="inlineStr">
        <is>
          <t>היקף</t>
        </is>
      </c>
      <c r="X1" s="1" t="inlineStr">
        <is>
          <t>מקור</t>
        </is>
      </c>
      <c r="Y1" s="1" t="inlineStr">
        <is>
          <t>בסיס הגודל</t>
        </is>
      </c>
      <c r="Z1" s="1" t="inlineStr">
        <is>
          <t>מוצר 1</t>
        </is>
      </c>
      <c r="AA1" s="1" t="inlineStr">
        <is>
          <t>מוצר 2</t>
        </is>
      </c>
      <c r="AB1" s="1" t="inlineStr">
        <is>
          <t>מוצר 3</t>
        </is>
      </c>
      <c r="AC1" s="1" t="inlineStr">
        <is>
          <t>מקור המוצרים</t>
        </is>
      </c>
      <c r="AD1" s="1" t="inlineStr">
        <is>
          <t>ייצוג בישראל</t>
        </is>
      </c>
      <c r="AE1" s="1" t="inlineStr">
        <is>
          <t>סטטוס בדיקה</t>
        </is>
      </c>
      <c r="AF1" s="1" t="inlineStr">
        <is>
          <t>שנת ראיה</t>
        </is>
      </c>
      <c r="AG1" s="1" t="inlineStr">
        <is>
          <t>נציגים בישראל</t>
        </is>
      </c>
      <c r="AH1" s="1" t="inlineStr">
        <is>
          <t>אנשי קשר – נציגים</t>
        </is>
      </c>
      <c r="AI1" s="1" t="inlineStr">
        <is>
          <t>הערה (ישראל)</t>
        </is>
      </c>
      <c r="AJ1" s="1" t="inlineStr">
        <is>
          <t>טלפון</t>
        </is>
      </c>
      <c r="AK1" s="1" t="inlineStr">
        <is>
          <t>דוא"ל</t>
        </is>
      </c>
      <c r="AL1" s="1" t="inlineStr">
        <is>
          <t>כתובת</t>
        </is>
      </c>
      <c r="AM1" s="1" t="inlineStr">
        <is>
          <t>דף יצירת קשר</t>
        </is>
      </c>
      <c r="AN1" s="1" t="inlineStr">
        <is>
          <t>מקור אנשי קשר</t>
        </is>
      </c>
      <c r="AO1" s="1" t="inlineStr">
        <is>
          <t>Wikidata</t>
        </is>
      </c>
      <c r="AP1" s="1" t="inlineStr">
        <is>
          <t>מקורות</t>
        </is>
      </c>
    </row>
    <row r="2">
      <c r="A2" t="n">
        <v>1</v>
      </c>
      <c r="B2" t="inlineStr">
        <is>
          <t>1PlusChem</t>
        </is>
      </c>
      <c r="C2" t="inlineStr">
        <is>
          <t>Q</t>
        </is>
      </c>
      <c r="F2" t="inlineStr">
        <is>
          <t>yes</t>
        </is>
      </c>
      <c r="H2" t="inlineStr">
        <is>
          <t>https://pluschem.com</t>
        </is>
      </c>
      <c r="I2" t="inlineStr">
        <is>
          <t>clearbit</t>
        </is>
      </c>
      <c r="J2" t="inlineStr"/>
      <c r="Y2" t="inlineStr">
        <is>
          <t>unknown</t>
        </is>
      </c>
      <c r="Z2" t="inlineStr"/>
      <c r="AA2" t="inlineStr"/>
      <c r="AB2" t="inlineStr"/>
      <c r="AC2" t="inlineStr"/>
      <c r="AD2" t="inlineStr">
        <is>
          <t>לא נמצא בסריקת המפיצים</t>
        </is>
      </c>
      <c r="AE2" t="inlineStr">
        <is>
          <t>סריקת אתרי מפיצים</t>
        </is>
      </c>
      <c r="AG2" t="inlineStr"/>
      <c r="AH2" t="inlineStr"/>
      <c r="AJ2" t="inlineStr"/>
      <c r="AP2" t="inlineStr">
        <is>
          <t>https://www.quartzy.com/suppliers</t>
        </is>
      </c>
    </row>
    <row r="3">
      <c r="A3" t="n">
        <v>2</v>
      </c>
      <c r="B3" t="inlineStr">
        <is>
          <t>2 Mag</t>
        </is>
      </c>
      <c r="C3" t="inlineStr">
        <is>
          <t>D</t>
        </is>
      </c>
      <c r="D3" t="inlineStr">
        <is>
          <t>https://www.dutscher.com/search?initialFilters=brand:2+Mag</t>
        </is>
      </c>
      <c r="F3" t="inlineStr"/>
      <c r="J3" t="inlineStr"/>
      <c r="Y3" t="inlineStr">
        <is>
          <t>unknown</t>
        </is>
      </c>
      <c r="Z3" t="inlineStr"/>
      <c r="AA3" t="inlineStr"/>
      <c r="AB3" t="inlineStr"/>
      <c r="AC3" t="inlineStr"/>
      <c r="AD3" t="inlineStr">
        <is>
          <t>לא נמצא בסריקת המפיצים</t>
        </is>
      </c>
      <c r="AE3" t="inlineStr">
        <is>
          <t>סריקת אתרי מפיצים</t>
        </is>
      </c>
      <c r="AG3" t="inlineStr"/>
      <c r="AH3" t="inlineStr"/>
      <c r="AJ3" t="inlineStr"/>
      <c r="AP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occupational safety, consumer goods industry, mining industry</t>
        </is>
      </c>
      <c r="O4" t="inlineStr">
        <is>
          <t>American multinational corporation</t>
        </is>
      </c>
      <c r="P4" t="n">
        <v>94987</v>
      </c>
      <c r="Q4" t="inlineStr">
        <is>
          <t>2020</t>
        </is>
      </c>
      <c r="R4" t="inlineStr">
        <is>
          <t>company</t>
        </is>
      </c>
      <c r="S4" t="inlineStr">
        <is>
          <t>wikidata</t>
        </is>
      </c>
      <c r="T4" t="n">
        <v>34229</v>
      </c>
      <c r="U4" t="inlineStr">
        <is>
          <t>USD 34,229.0 m</t>
        </is>
      </c>
      <c r="V4" t="inlineStr">
        <is>
          <t>2022</t>
        </is>
      </c>
      <c r="W4" t="inlineStr">
        <is>
          <t>company</t>
        </is>
      </c>
      <c r="X4" t="inlineStr">
        <is>
          <t>wikidata</t>
        </is>
      </c>
      <c r="Y4" t="inlineStr">
        <is>
          <t>reported</t>
        </is>
      </c>
      <c r="Z4" t="inlineStr">
        <is>
          <t>3M HEAD HARNESS ASSEMBLY FOR 6000 SERIES</t>
        </is>
      </c>
      <c r="AA4" t="inlineStr">
        <is>
          <t>Comply™ Lead Free Steam Indicator Tape</t>
        </is>
      </c>
      <c r="AB4" t="inlineStr">
        <is>
          <t>3M™ SecureFit™, Protective Eyewear, SF201AF, Clear Lens</t>
        </is>
      </c>
      <c r="AC4" t="inlineStr">
        <is>
          <t>thomassci</t>
        </is>
      </c>
      <c r="AD4" t="inlineStr">
        <is>
          <t>חברה-בת בישראל</t>
        </is>
      </c>
      <c r="AE4" t="inlineStr">
        <is>
          <t>חיפוש חלקי</t>
        </is>
      </c>
      <c r="AF4" t="n">
        <v>2015</v>
      </c>
      <c r="AG4" t="inlineStr">
        <is>
          <t>3M Israel</t>
        </is>
      </c>
      <c r="AH4" t="inlineStr">
        <is>
          <t>3M Israel:</t>
        </is>
      </c>
      <c r="AI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J4" t="inlineStr"/>
      <c r="AL4" t="inlineStr">
        <is>
          <t>Maplewood</t>
        </is>
      </c>
      <c r="AO4" t="inlineStr">
        <is>
          <t>Q159433</t>
        </is>
      </c>
      <c r="AP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Y5" t="inlineStr">
        <is>
          <t>unknown</t>
        </is>
      </c>
      <c r="Z5" t="inlineStr"/>
      <c r="AA5" t="inlineStr"/>
      <c r="AB5" t="inlineStr"/>
      <c r="AC5" t="inlineStr"/>
      <c r="AD5" t="inlineStr">
        <is>
          <t>לא נמצא בסריקת המפיצים</t>
        </is>
      </c>
      <c r="AE5" t="inlineStr">
        <is>
          <t>סריקת אתרי מפיצים</t>
        </is>
      </c>
      <c r="AG5" t="inlineStr"/>
      <c r="AH5" t="inlineStr"/>
      <c r="AJ5" t="inlineStr"/>
      <c r="AP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Y6" t="inlineStr">
        <is>
          <t>unknown</t>
        </is>
      </c>
      <c r="Z6" t="inlineStr"/>
      <c r="AA6" t="inlineStr"/>
      <c r="AB6" t="inlineStr"/>
      <c r="AC6" t="inlineStr"/>
      <c r="AD6" t="inlineStr">
        <is>
          <t>לא נמצא בסריקת המפיצים</t>
        </is>
      </c>
      <c r="AE6" t="inlineStr">
        <is>
          <t>סריקת אתרי מפיצים</t>
        </is>
      </c>
      <c r="AG6" t="inlineStr"/>
      <c r="AH6" t="inlineStr"/>
      <c r="AJ6" t="inlineStr"/>
      <c r="AP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Y7" t="inlineStr">
        <is>
          <t>unknown</t>
        </is>
      </c>
      <c r="Z7" t="inlineStr"/>
      <c r="AA7" t="inlineStr"/>
      <c r="AB7" t="inlineStr"/>
      <c r="AC7" t="inlineStr"/>
      <c r="AD7" t="inlineStr">
        <is>
          <t>לא נמצא בחיפוש ראשוני</t>
        </is>
      </c>
      <c r="AE7" t="inlineStr">
        <is>
          <t>חיפוש חלקי</t>
        </is>
      </c>
      <c r="AG7" t="inlineStr"/>
      <c r="AH7" t="inlineStr"/>
      <c r="AI7" t="inlineStr">
        <is>
          <t>No result mentioned 4titude; only unrelated Israeli distributor pages (Corning optical, AVM, audio gear).</t>
        </is>
      </c>
      <c r="AJ7" t="inlineStr"/>
      <c r="AP7" t="inlineStr">
        <is>
          <t>https://www.dutscher.com/search?initialFilters=brand:4Titude | https://www.thomassci.com/browse-by/suppliers/4titude</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P8" t="n">
        <v>2438</v>
      </c>
      <c r="Q8" t="n">
        <v>2025</v>
      </c>
      <c r="R8" t="inlineStr">
        <is>
          <t>company</t>
        </is>
      </c>
      <c r="S8" t="inlineStr">
        <is>
          <t>prior</t>
        </is>
      </c>
      <c r="T8" t="n">
        <v>464.5</v>
      </c>
      <c r="U8" t="inlineStr">
        <is>
          <t>JPY 69,326 million</t>
        </is>
      </c>
      <c r="V8" t="inlineStr">
        <is>
          <t>FY ending Mar-2026</t>
        </is>
      </c>
      <c r="W8" t="inlineStr">
        <is>
          <t>company</t>
        </is>
      </c>
      <c r="X8" t="inlineStr">
        <is>
          <t>prior</t>
        </is>
      </c>
      <c r="Y8" t="inlineStr">
        <is>
          <t>reported</t>
        </is>
      </c>
      <c r="Z8" t="inlineStr">
        <is>
          <t>Apollo GX-A / GF-A series</t>
        </is>
      </c>
      <c r="AA8" t="inlineStr">
        <is>
          <t>HR-A / HR-AZ series</t>
        </is>
      </c>
      <c r="AB8" t="inlineStr">
        <is>
          <t>MX-50 / MS-70 moisture analyzers</t>
        </is>
      </c>
      <c r="AC8" t="inlineStr">
        <is>
          <t>prior</t>
        </is>
      </c>
      <c r="AD8" t="inlineStr">
        <is>
          <t>לא נמצא ערוץ ישראלי</t>
        </is>
      </c>
      <c r="AE8" t="inlineStr">
        <is>
          <t>חיפוש חלקי</t>
        </is>
      </c>
      <c r="AG8" t="inlineStr"/>
      <c r="AH8" t="inlineStr"/>
      <c r="AI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8" t="inlineStr">
        <is>
          <t>+81 3-5391-6132</t>
        </is>
      </c>
      <c r="AL8" t="inlineStr">
        <is>
          <t>3-23-14 Higashi-Ikebukuro, Toshima-ku, Tokyo 170-0013, Japan</t>
        </is>
      </c>
      <c r="AM8" t="inlineStr">
        <is>
          <t>https://aandd.jp/company/contact_us.html</t>
        </is>
      </c>
      <c r="AN8" t="inlineStr">
        <is>
          <t>https://aandd.jp/company/contact_us.html</t>
        </is>
      </c>
      <c r="AP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P9" t="n">
        <v>2438</v>
      </c>
      <c r="Q9" t="n">
        <v>2025</v>
      </c>
      <c r="R9" t="inlineStr">
        <is>
          <t>company</t>
        </is>
      </c>
      <c r="S9" t="inlineStr">
        <is>
          <t>prior</t>
        </is>
      </c>
      <c r="T9" t="n">
        <v>464.5</v>
      </c>
      <c r="U9" t="inlineStr">
        <is>
          <t>JPY 69,326 million</t>
        </is>
      </c>
      <c r="V9" t="inlineStr">
        <is>
          <t>FY ending Mar-2026</t>
        </is>
      </c>
      <c r="W9" t="inlineStr">
        <is>
          <t>company</t>
        </is>
      </c>
      <c r="X9" t="inlineStr">
        <is>
          <t>prior</t>
        </is>
      </c>
      <c r="Y9" t="inlineStr">
        <is>
          <t>reported</t>
        </is>
      </c>
      <c r="Z9" t="inlineStr">
        <is>
          <t>Apollo GX-A / GF-A series</t>
        </is>
      </c>
      <c r="AA9" t="inlineStr">
        <is>
          <t>HR-A / HR-AZ series</t>
        </is>
      </c>
      <c r="AB9" t="inlineStr">
        <is>
          <t>MX-50 / MS-70 moisture analyzers</t>
        </is>
      </c>
      <c r="AC9" t="inlineStr">
        <is>
          <t>prior</t>
        </is>
      </c>
      <c r="AD9" t="inlineStr">
        <is>
          <t>לא נמצא ערוץ ישראלי</t>
        </is>
      </c>
      <c r="AE9" t="inlineStr">
        <is>
          <t>חיפוש חלקי</t>
        </is>
      </c>
      <c r="AG9" t="inlineStr"/>
      <c r="AH9" t="inlineStr"/>
      <c r="AI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9" t="inlineStr">
        <is>
          <t>+81 3-5391-6132</t>
        </is>
      </c>
      <c r="AL9" t="inlineStr">
        <is>
          <t>3-23-14 Higashi-Ikebukuro, Toshima-ku, Tokyo 170-0013, Japan</t>
        </is>
      </c>
      <c r="AM9" t="inlineStr">
        <is>
          <t>https://aandd.jp/company/contact_us.html</t>
        </is>
      </c>
      <c r="AN9" t="inlineStr">
        <is>
          <t>https://aandd.jp/company/contact_us.html</t>
        </is>
      </c>
      <c r="AP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P10" t="n">
        <v>2438</v>
      </c>
      <c r="Q10" t="n">
        <v>2025</v>
      </c>
      <c r="R10" t="inlineStr">
        <is>
          <t>company</t>
        </is>
      </c>
      <c r="S10" t="inlineStr">
        <is>
          <t>prior</t>
        </is>
      </c>
      <c r="T10" t="n">
        <v>464.5</v>
      </c>
      <c r="U10" t="inlineStr">
        <is>
          <t>JPY 69,326 million</t>
        </is>
      </c>
      <c r="V10" t="inlineStr">
        <is>
          <t>FY ending Mar-2026</t>
        </is>
      </c>
      <c r="W10" t="inlineStr">
        <is>
          <t>company</t>
        </is>
      </c>
      <c r="X10" t="inlineStr">
        <is>
          <t>prior</t>
        </is>
      </c>
      <c r="Y10" t="inlineStr">
        <is>
          <t>reported</t>
        </is>
      </c>
      <c r="Z10" t="inlineStr">
        <is>
          <t>Apollo GX-A / GF-A series</t>
        </is>
      </c>
      <c r="AA10" t="inlineStr">
        <is>
          <t>HR-A / HR-AZ series</t>
        </is>
      </c>
      <c r="AB10" t="inlineStr">
        <is>
          <t>MX-50 / MS-70 moisture analyzers</t>
        </is>
      </c>
      <c r="AC10" t="inlineStr">
        <is>
          <t>prior</t>
        </is>
      </c>
      <c r="AD10" t="inlineStr">
        <is>
          <t>לא נמצא ערוץ ישראלי</t>
        </is>
      </c>
      <c r="AE10" t="inlineStr">
        <is>
          <t>חיפוש חלקי</t>
        </is>
      </c>
      <c r="AG10" t="inlineStr"/>
      <c r="AH10" t="inlineStr"/>
      <c r="AI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0" t="inlineStr">
        <is>
          <t>+81 3-5391-6132</t>
        </is>
      </c>
      <c r="AL10" t="inlineStr">
        <is>
          <t>3-23-14 Higashi-Ikebukuro, Toshima-ku, Tokyo 170-0013, Japan</t>
        </is>
      </c>
      <c r="AM10" t="inlineStr">
        <is>
          <t>https://aandd.jp/company/contact_us.html</t>
        </is>
      </c>
      <c r="AN10" t="inlineStr">
        <is>
          <t>https://aandd.jp/company/contact_us.html</t>
        </is>
      </c>
      <c r="AP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P11" t="n">
        <v>2438</v>
      </c>
      <c r="Q11" t="n">
        <v>2025</v>
      </c>
      <c r="R11" t="inlineStr">
        <is>
          <t>company</t>
        </is>
      </c>
      <c r="S11" t="inlineStr">
        <is>
          <t>prior</t>
        </is>
      </c>
      <c r="T11" t="n">
        <v>464.5</v>
      </c>
      <c r="U11" t="inlineStr">
        <is>
          <t>JPY 69,326 million</t>
        </is>
      </c>
      <c r="V11" t="inlineStr">
        <is>
          <t>FY ending Mar-2026</t>
        </is>
      </c>
      <c r="W11" t="inlineStr">
        <is>
          <t>company</t>
        </is>
      </c>
      <c r="X11" t="inlineStr">
        <is>
          <t>prior</t>
        </is>
      </c>
      <c r="Y11" t="inlineStr">
        <is>
          <t>reported</t>
        </is>
      </c>
      <c r="Z11" t="inlineStr">
        <is>
          <t>Apollo GX-A / GF-A series</t>
        </is>
      </c>
      <c r="AA11" t="inlineStr">
        <is>
          <t>HR-A / HR-AZ series</t>
        </is>
      </c>
      <c r="AB11" t="inlineStr">
        <is>
          <t>MX-50 / MS-70 moisture analyzers</t>
        </is>
      </c>
      <c r="AC11" t="inlineStr">
        <is>
          <t>prior</t>
        </is>
      </c>
      <c r="AD11" t="inlineStr">
        <is>
          <t>לא נמצא ערוץ ישראלי</t>
        </is>
      </c>
      <c r="AE11" t="inlineStr">
        <is>
          <t>חיפוש חלקי</t>
        </is>
      </c>
      <c r="AG11" t="inlineStr"/>
      <c r="AH11" t="inlineStr"/>
      <c r="AI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J11" t="inlineStr">
        <is>
          <t>+81 3-5391-6132</t>
        </is>
      </c>
      <c r="AL11" t="inlineStr">
        <is>
          <t>3-23-14 Higashi-Ikebukuro, Toshima-ku, Tokyo 170-0013, Japan</t>
        </is>
      </c>
      <c r="AM11" t="inlineStr">
        <is>
          <t>https://aandd.jp/company/contact_us.html</t>
        </is>
      </c>
      <c r="AN11" t="inlineStr">
        <is>
          <t>https://aandd.jp/company/contact_us.html</t>
        </is>
      </c>
      <c r="AP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Y12" t="inlineStr">
        <is>
          <t>unknown</t>
        </is>
      </c>
      <c r="Z12" t="inlineStr"/>
      <c r="AA12" t="inlineStr"/>
      <c r="AB12" t="inlineStr"/>
      <c r="AC12" t="inlineStr"/>
      <c r="AD12" t="inlineStr">
        <is>
          <t>לא נמצא בסריקת המפיצים</t>
        </is>
      </c>
      <c r="AE12" t="inlineStr">
        <is>
          <t>סריקת אתרי מפיצים</t>
        </is>
      </c>
      <c r="AG12" t="inlineStr"/>
      <c r="AH12" t="inlineStr"/>
      <c r="AJ12" t="inlineStr"/>
      <c r="AP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Y13" t="inlineStr">
        <is>
          <t>unknown</t>
        </is>
      </c>
      <c r="Z13" t="inlineStr"/>
      <c r="AA13" t="inlineStr"/>
      <c r="AB13" t="inlineStr"/>
      <c r="AC13" t="inlineStr"/>
      <c r="AD13" t="inlineStr">
        <is>
          <t>לא נמצא בסריקת המפיצים</t>
        </is>
      </c>
      <c r="AE13" t="inlineStr">
        <is>
          <t>סריקת אתרי מפיצים</t>
        </is>
      </c>
      <c r="AG13" t="inlineStr"/>
      <c r="AH13" t="inlineStr"/>
      <c r="AJ13" t="inlineStr"/>
      <c r="AP13" t="inlineStr">
        <is>
          <t>https://www.quartzy.com/suppliers</t>
        </is>
      </c>
    </row>
    <row r="14">
      <c r="A14" t="n">
        <v>13</v>
      </c>
      <c r="B14" t="inlineStr">
        <is>
          <t>Aaron Chemicals</t>
        </is>
      </c>
      <c r="C14" t="inlineStr">
        <is>
          <t>Q+Q+</t>
        </is>
      </c>
      <c r="F14" t="inlineStr">
        <is>
          <t>yes +new</t>
        </is>
      </c>
      <c r="J14" t="inlineStr"/>
      <c r="O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Y14" t="inlineStr">
        <is>
          <t>unknown</t>
        </is>
      </c>
      <c r="Z14" t="inlineStr"/>
      <c r="AA14" t="inlineStr"/>
      <c r="AB14" t="inlineStr"/>
      <c r="AC14" t="inlineStr"/>
      <c r="AD14" t="inlineStr">
        <is>
          <t>לא נמצא בחיפוש ראשוני</t>
        </is>
      </c>
      <c r="AE14" t="inlineStr">
        <is>
          <t>חיפוש חלקי</t>
        </is>
      </c>
      <c r="AG14" t="inlineStr"/>
      <c r="AH14" t="inlineStr"/>
      <c r="AI14" t="inlineStr">
        <is>
          <t>No result mentions Aaron Chemicals; results were Aaron Industries (India) and Israeli specialty-chemical distributors (Lidorr/Azelis, Orokia, Y.S. Ashkenazi/Brenntag, Depotchem) with no link to this supplier.</t>
        </is>
      </c>
      <c r="AJ14" t="inlineStr"/>
      <c r="AP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Y15" t="inlineStr">
        <is>
          <t>unknown</t>
        </is>
      </c>
      <c r="Z15" t="inlineStr"/>
      <c r="AA15" t="inlineStr"/>
      <c r="AB15" t="inlineStr"/>
      <c r="AC15" t="inlineStr"/>
      <c r="AD15" t="inlineStr">
        <is>
          <t>מפיץ/נציג בישראל</t>
        </is>
      </c>
      <c r="AE15" t="inlineStr">
        <is>
          <t>סריקת אתרי מפיצים</t>
        </is>
      </c>
      <c r="AF15" t="n">
        <v>2026</v>
      </c>
      <c r="AG15" t="inlineStr">
        <is>
          <t>distributor of Recombinant Proteins, Antibodies, Cell Line, ELISA Kit</t>
        </is>
      </c>
      <c r="AH15" t="inlineStr">
        <is>
          <t>distributor of Recombinant Proteins, Antibodies, Cell Line, ELISA Kit: 054-5544004 info@doronscientific.com</t>
        </is>
      </c>
      <c r="AJ15" t="inlineStr">
        <is>
          <t>408-733-1304</t>
        </is>
      </c>
      <c r="AM15" t="inlineStr">
        <is>
          <t>https://www.aatbio.com/careers.html</t>
        </is>
      </c>
      <c r="AN15" t="inlineStr">
        <is>
          <t>https://www.aatbio.com/careers.html</t>
        </is>
      </c>
      <c r="AP15" t="inlineStr">
        <is>
          <t>https://www.quartzy.com/suppliers | https://doronscientific.com/products/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O16" t="inlineStr">
        <is>
          <t>UK business</t>
        </is>
      </c>
      <c r="Y16" t="inlineStr">
        <is>
          <t>unknown</t>
        </is>
      </c>
      <c r="Z16" t="inlineStr"/>
      <c r="AA16" t="inlineStr"/>
      <c r="AB16" t="inlineStr"/>
      <c r="AC16" t="inlineStr"/>
      <c r="AD16" t="inlineStr">
        <is>
          <t>לא נמצא בסריקת המפיצים</t>
        </is>
      </c>
      <c r="AE16" t="inlineStr">
        <is>
          <t>סריקת אתרי מפיצים</t>
        </is>
      </c>
      <c r="AG16" t="inlineStr"/>
      <c r="AH16" t="inlineStr"/>
      <c r="AJ16" t="inlineStr"/>
      <c r="AL16" t="inlineStr">
        <is>
          <t>Cambridge</t>
        </is>
      </c>
      <c r="AO16" t="inlineStr">
        <is>
          <t>Q4664502</t>
        </is>
      </c>
      <c r="AP16" t="inlineStr">
        <is>
          <t>https://www.quartzy.com/suppliers | https://www.wikidata.org/wiki/Q4664502</t>
        </is>
      </c>
    </row>
    <row r="17">
      <c r="A17" t="n">
        <v>16</v>
      </c>
      <c r="B17" t="inlineStr">
        <is>
          <t>ABclonal</t>
        </is>
      </c>
      <c r="C17" t="inlineStr">
        <is>
          <t>Q</t>
        </is>
      </c>
      <c r="F17" t="inlineStr">
        <is>
          <t>yes</t>
        </is>
      </c>
      <c r="J17" t="inlineStr"/>
      <c r="Y17" t="inlineStr">
        <is>
          <t>unknown</t>
        </is>
      </c>
      <c r="Z17" t="inlineStr"/>
      <c r="AA17" t="inlineStr"/>
      <c r="AB17" t="inlineStr"/>
      <c r="AC17" t="inlineStr"/>
      <c r="AD17" t="inlineStr">
        <is>
          <t>מפיץ/נציג בישראל</t>
        </is>
      </c>
      <c r="AE17" t="inlineStr">
        <is>
          <t>סריקת אתרי מפיצים</t>
        </is>
      </c>
      <c r="AF17" t="n">
        <v>2026</v>
      </c>
      <c r="AG17" t="inlineStr">
        <is>
          <t>distributor of Recombinant Proteins, Antibodies, Cell Line, ELISA Kit</t>
        </is>
      </c>
      <c r="AH17" t="inlineStr">
        <is>
          <t>distributor of Recombinant Proteins, Antibodies, Cell Line, ELISA Kit: 054-5544004 info@doronscientific.com</t>
        </is>
      </c>
      <c r="AJ17" t="inlineStr"/>
      <c r="AP17" t="inlineStr">
        <is>
          <t>https://www.quartzy.com/suppliers | https://doronscientific.com/products/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Y18" t="inlineStr">
        <is>
          <t>unknown</t>
        </is>
      </c>
      <c r="Z18" t="inlineStr"/>
      <c r="AA18" t="inlineStr"/>
      <c r="AB18" t="inlineStr"/>
      <c r="AC18" t="inlineStr"/>
      <c r="AD18" t="inlineStr">
        <is>
          <t>לא נמצא בסריקת המפיצים</t>
        </is>
      </c>
      <c r="AE18" t="inlineStr">
        <is>
          <t>סריקת אתרי מפיצים</t>
        </is>
      </c>
      <c r="AG18" t="inlineStr"/>
      <c r="AH18" t="inlineStr"/>
      <c r="AJ18" t="inlineStr">
        <is>
          <t>+91-9437550560</t>
        </is>
      </c>
      <c r="AM18" t="inlineStr">
        <is>
          <t>https://abgenex.com/contact</t>
        </is>
      </c>
      <c r="AN18" t="inlineStr">
        <is>
          <t>https://abgenex.com/contact</t>
        </is>
      </c>
      <c r="AP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c r="Y19" t="inlineStr">
        <is>
          <t>unknown</t>
        </is>
      </c>
      <c r="Z19" t="inlineStr"/>
      <c r="AA19" t="inlineStr"/>
      <c r="AB19" t="inlineStr"/>
      <c r="AC19" t="inlineStr"/>
      <c r="AD19" t="inlineStr">
        <is>
          <t>לא נמצא בסריקת המפיצים</t>
        </is>
      </c>
      <c r="AE19" t="inlineStr">
        <is>
          <t>סריקת אתרי מפיצים</t>
        </is>
      </c>
      <c r="AG19" t="inlineStr"/>
      <c r="AH19" t="inlineStr"/>
      <c r="AJ19" t="inlineStr"/>
      <c r="AP19" t="inlineStr">
        <is>
          <t>https://www.thomassci.com/browse-by/suppliers/abraxis</t>
        </is>
      </c>
    </row>
    <row r="20">
      <c r="A20" t="n">
        <v>19</v>
      </c>
      <c r="B20" t="inlineStr">
        <is>
          <t>Accegen Biotechnology</t>
        </is>
      </c>
      <c r="C20" t="inlineStr">
        <is>
          <t>Q</t>
        </is>
      </c>
      <c r="F20" t="inlineStr">
        <is>
          <t>yes</t>
        </is>
      </c>
      <c r="J20" t="inlineStr"/>
      <c r="Y20" t="inlineStr">
        <is>
          <t>unknown</t>
        </is>
      </c>
      <c r="Z20" t="inlineStr"/>
      <c r="AA20" t="inlineStr"/>
      <c r="AB20" t="inlineStr"/>
      <c r="AC20" t="inlineStr"/>
      <c r="AD20" t="inlineStr">
        <is>
          <t>לא נמצא בסריקת המפיצים</t>
        </is>
      </c>
      <c r="AE20" t="inlineStr">
        <is>
          <t>סריקת אתרי מפיצים</t>
        </is>
      </c>
      <c r="AG20" t="inlineStr"/>
      <c r="AH20" t="inlineStr"/>
      <c r="AJ20" t="inlineStr"/>
      <c r="AP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Y21" t="inlineStr">
        <is>
          <t>unknown</t>
        </is>
      </c>
      <c r="Z21" t="inlineStr"/>
      <c r="AA21" t="inlineStr"/>
      <c r="AB21" t="inlineStr"/>
      <c r="AC21" t="inlineStr"/>
      <c r="AD21" t="inlineStr">
        <is>
          <t>לא נמצא בסריקת המפיצים</t>
        </is>
      </c>
      <c r="AE21" t="inlineStr">
        <is>
          <t>סריקת אתרי מפיצים</t>
        </is>
      </c>
      <c r="AG21" t="inlineStr"/>
      <c r="AH21" t="inlineStr"/>
      <c r="AJ21" t="inlineStr"/>
      <c r="AP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c r="Y22" t="inlineStr">
        <is>
          <t>unknown</t>
        </is>
      </c>
      <c r="Z22" t="inlineStr"/>
      <c r="AA22" t="inlineStr"/>
      <c r="AB22" t="inlineStr"/>
      <c r="AC22" t="inlineStr"/>
      <c r="AD22" t="inlineStr">
        <is>
          <t>לא נמצא בסריקת המפיצים</t>
        </is>
      </c>
      <c r="AE22" t="inlineStr">
        <is>
          <t>סריקת אתרי מפיצים</t>
        </is>
      </c>
      <c r="AG22" t="inlineStr"/>
      <c r="AH22" t="inlineStr"/>
      <c r="AJ22" t="inlineStr">
        <is>
          <t>1-800-222-6462</t>
        </is>
      </c>
      <c r="AM22" t="inlineStr">
        <is>
          <t>https://www.accobrands.com/contact-us/</t>
        </is>
      </c>
      <c r="AN22" t="inlineStr">
        <is>
          <t>https://www.accobrands.com/contact-us/</t>
        </is>
      </c>
      <c r="AP22" t="inlineStr">
        <is>
          <t>https://www.quartzy.com/suppliers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Y23" t="inlineStr">
        <is>
          <t>unknown</t>
        </is>
      </c>
      <c r="Z23" t="inlineStr"/>
      <c r="AA23" t="inlineStr"/>
      <c r="AB23" t="inlineStr"/>
      <c r="AC23" t="inlineStr"/>
      <c r="AD23" t="inlineStr">
        <is>
          <t>לא נמצא בסריקת המפיצים</t>
        </is>
      </c>
      <c r="AE23" t="inlineStr">
        <is>
          <t>סריקת אתרי מפיצים</t>
        </is>
      </c>
      <c r="AG23" t="inlineStr"/>
      <c r="AH23" t="inlineStr"/>
      <c r="AJ23" t="inlineStr">
        <is>
          <t>6616070250</t>
        </is>
      </c>
      <c r="AK23" t="inlineStr">
        <is>
          <t>sales@accuglassproducts.com</t>
        </is>
      </c>
      <c r="AM23" t="inlineStr">
        <is>
          <t>https://www.accuglassproducts.com/contact-us</t>
        </is>
      </c>
      <c r="AN23" t="inlineStr">
        <is>
          <t>https://www.accuglassproducts.com/contact-us</t>
        </is>
      </c>
      <c r="AP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Y24" t="inlineStr">
        <is>
          <t>unknown</t>
        </is>
      </c>
      <c r="Z24" t="inlineStr"/>
      <c r="AA24" t="inlineStr"/>
      <c r="AB24" t="inlineStr"/>
      <c r="AC24" t="inlineStr"/>
      <c r="AD24" t="inlineStr">
        <is>
          <t>לא נמצא בסריקת המפיצים</t>
        </is>
      </c>
      <c r="AE24" t="inlineStr">
        <is>
          <t>סריקת אתרי מפיצים</t>
        </is>
      </c>
      <c r="AG24" t="inlineStr"/>
      <c r="AH24" t="inlineStr"/>
      <c r="AJ24" t="inlineStr">
        <is>
          <t>8884633522</t>
        </is>
      </c>
      <c r="AK24" t="inlineStr">
        <is>
          <t>service@accucold.com</t>
        </is>
      </c>
      <c r="AM24" t="inlineStr">
        <is>
          <t>https://www.accucold.com/contact</t>
        </is>
      </c>
      <c r="AN24" t="inlineStr">
        <is>
          <t>https://www.accucold.com/contact</t>
        </is>
      </c>
      <c r="AP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Y25" t="inlineStr">
        <is>
          <t>unknown</t>
        </is>
      </c>
      <c r="Z25" t="inlineStr"/>
      <c r="AA25" t="inlineStr"/>
      <c r="AB25" t="inlineStr"/>
      <c r="AC25" t="inlineStr"/>
      <c r="AD25" t="inlineStr">
        <is>
          <t>לא נמצא בסריקת המפיצים</t>
        </is>
      </c>
      <c r="AE25" t="inlineStr">
        <is>
          <t>סריקת אתרי מפיצים</t>
        </is>
      </c>
      <c r="AG25" t="inlineStr"/>
      <c r="AH25" t="inlineStr"/>
      <c r="AJ25" t="inlineStr"/>
      <c r="AP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Y26" t="inlineStr">
        <is>
          <t>unknown</t>
        </is>
      </c>
      <c r="Z26" t="inlineStr"/>
      <c r="AA26" t="inlineStr"/>
      <c r="AB26" t="inlineStr"/>
      <c r="AC26" t="inlineStr"/>
      <c r="AD26" t="inlineStr">
        <is>
          <t>לא נמצא בסריקת המפיצים</t>
        </is>
      </c>
      <c r="AE26" t="inlineStr">
        <is>
          <t>סריקת אתרי מפיצים</t>
        </is>
      </c>
      <c r="AG26" t="inlineStr"/>
      <c r="AH26" t="inlineStr"/>
      <c r="AJ26" t="inlineStr"/>
      <c r="AP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Y27" t="inlineStr">
        <is>
          <t>unknown</t>
        </is>
      </c>
      <c r="Z27" t="inlineStr"/>
      <c r="AA27" t="inlineStr"/>
      <c r="AB27" t="inlineStr"/>
      <c r="AC27" t="inlineStr"/>
      <c r="AD27" t="inlineStr">
        <is>
          <t>לא נמצא בסריקת המפיצים</t>
        </is>
      </c>
      <c r="AE27" t="inlineStr">
        <is>
          <t>סריקת אתרי מפיצים</t>
        </is>
      </c>
      <c r="AG27" t="inlineStr"/>
      <c r="AH27" t="inlineStr"/>
      <c r="AJ27" t="inlineStr"/>
      <c r="AP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Y28" t="inlineStr">
        <is>
          <t>unknown</t>
        </is>
      </c>
      <c r="Z28" t="inlineStr"/>
      <c r="AA28" t="inlineStr"/>
      <c r="AB28" t="inlineStr"/>
      <c r="AC28" t="inlineStr"/>
      <c r="AD28" t="inlineStr">
        <is>
          <t>לא נמצא בסריקת המפיצים</t>
        </is>
      </c>
      <c r="AE28" t="inlineStr">
        <is>
          <t>סריקת אתרי מפיצים</t>
        </is>
      </c>
      <c r="AG28" t="inlineStr"/>
      <c r="AH28" t="inlineStr"/>
      <c r="AJ28" t="inlineStr"/>
      <c r="AP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Y29" t="inlineStr">
        <is>
          <t>unknown</t>
        </is>
      </c>
      <c r="Z29" t="inlineStr"/>
      <c r="AA29" t="inlineStr"/>
      <c r="AB29" t="inlineStr"/>
      <c r="AC29" t="inlineStr"/>
      <c r="AD29" t="inlineStr">
        <is>
          <t>לא נמצא בסריקת המפיצים</t>
        </is>
      </c>
      <c r="AE29" t="inlineStr">
        <is>
          <t>סריקת אתרי מפיצים</t>
        </is>
      </c>
      <c r="AG29" t="inlineStr"/>
      <c r="AH29" t="inlineStr"/>
      <c r="AJ29" t="inlineStr"/>
      <c r="AP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Y30" t="inlineStr">
        <is>
          <t>unknown</t>
        </is>
      </c>
      <c r="Z30" t="inlineStr">
        <is>
          <t>Adapter, Rotary Evaporator Vial Adapter</t>
        </is>
      </c>
      <c r="AA30" t="inlineStr">
        <is>
          <t>1mL Tissue Grinder, Dounce Type, Glass</t>
        </is>
      </c>
      <c r="AB30" t="inlineStr">
        <is>
          <t>Adapter, Gas Inlet</t>
        </is>
      </c>
      <c r="AC30" t="inlineStr">
        <is>
          <t>thomassci</t>
        </is>
      </c>
      <c r="AD30" t="inlineStr">
        <is>
          <t>לא נמצא בחיפוש ראשוני</t>
        </is>
      </c>
      <c r="AE30" t="inlineStr">
        <is>
          <t>חיפוש חלקי</t>
        </is>
      </c>
      <c r="AG30" t="inlineStr"/>
      <c r="AH30" t="inlineStr"/>
      <c r="AI30" t="inlineStr">
        <is>
          <t>Results only describe Ace Glass Inc. (Vineland, NJ) and its US role as a Corning/PYREX regional distributor and reseller of Lauda/IKA/KNF; no Israel mention at all.</t>
        </is>
      </c>
      <c r="AJ30" t="inlineStr">
        <is>
          <t>5013720595</t>
        </is>
      </c>
      <c r="AM30" t="inlineStr">
        <is>
          <t>https://www.aceglass.net/contact/</t>
        </is>
      </c>
      <c r="AN30" t="inlineStr">
        <is>
          <t>https://www.aceglass.net/contact/</t>
        </is>
      </c>
      <c r="AP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Y31" t="inlineStr">
        <is>
          <t>unknown</t>
        </is>
      </c>
      <c r="Z31" t="inlineStr"/>
      <c r="AA31" t="inlineStr"/>
      <c r="AB31" t="inlineStr"/>
      <c r="AC31" t="inlineStr"/>
      <c r="AD31" t="inlineStr">
        <is>
          <t>לא נמצא בסריקת המפיצים</t>
        </is>
      </c>
      <c r="AE31" t="inlineStr">
        <is>
          <t>סריקת אתרי מפיצים</t>
        </is>
      </c>
      <c r="AG31" t="inlineStr"/>
      <c r="AH31" t="inlineStr"/>
      <c r="AJ31" t="inlineStr">
        <is>
          <t>1-800-835-2263</t>
        </is>
      </c>
      <c r="AK31" t="inlineStr">
        <is>
          <t>customerservice@acmeunited.com</t>
        </is>
      </c>
      <c r="AM31" t="inlineStr">
        <is>
          <t>https://acmeunited.com/company/contact/</t>
        </is>
      </c>
      <c r="AN31" t="inlineStr">
        <is>
          <t>https://acmeunited.com/company/contact/</t>
        </is>
      </c>
      <c r="AP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Y32" t="inlineStr">
        <is>
          <t>unknown</t>
        </is>
      </c>
      <c r="Z32" t="inlineStr"/>
      <c r="AA32" t="inlineStr"/>
      <c r="AB32" t="inlineStr"/>
      <c r="AC32" t="inlineStr"/>
      <c r="AD32" t="inlineStr">
        <is>
          <t>מפיץ/נציג בישראל</t>
        </is>
      </c>
      <c r="AE32" t="inlineStr">
        <is>
          <t>סריקת אתרי מפיצים</t>
        </is>
      </c>
      <c r="AF32" t="n">
        <v>2026</v>
      </c>
      <c r="AG32" t="inlineStr">
        <is>
          <t>distributor of Recombinant Proteins, Antibodies, Cell Line, ELISA Kit</t>
        </is>
      </c>
      <c r="AH32" t="inlineStr">
        <is>
          <t>distributor of Recombinant Proteins, Antibodies, Cell Line, ELISA Kit: 054-5544004 info@doronscientific.com</t>
        </is>
      </c>
      <c r="AJ32" t="inlineStr"/>
      <c r="AN32" t="inlineStr">
        <is>
          <t>https://www.acrobiosystems.com/</t>
        </is>
      </c>
      <c r="AP32" t="inlineStr">
        <is>
          <t>https://www.quartzy.com/suppliers | https://doronscientific.com/products/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Y33" t="inlineStr">
        <is>
          <t>unknown</t>
        </is>
      </c>
      <c r="Z33" t="inlineStr"/>
      <c r="AA33" t="inlineStr"/>
      <c r="AB33" t="inlineStr"/>
      <c r="AC33" t="inlineStr"/>
      <c r="AD33" t="inlineStr">
        <is>
          <t>לא נמצא בחיפוש ראשוני</t>
        </is>
      </c>
      <c r="AE33" t="inlineStr">
        <is>
          <t>חיפוש חלקי</t>
        </is>
      </c>
      <c r="AG33" t="inlineStr"/>
      <c r="AH33" t="inlineStr"/>
      <c r="AI33" t="inlineStr">
        <is>
          <t>No result mentioned Across International; only generic Israeli distributor/trade-guide pages.</t>
        </is>
      </c>
      <c r="AJ33" t="inlineStr">
        <is>
          <t>8889880899</t>
        </is>
      </c>
      <c r="AN33" t="inlineStr">
        <is>
          <t>https://www.acrossinternational.com/</t>
        </is>
      </c>
      <c r="AP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Y34" t="inlineStr">
        <is>
          <t>unknown</t>
        </is>
      </c>
      <c r="Z34" t="inlineStr"/>
      <c r="AA34" t="inlineStr"/>
      <c r="AB34" t="inlineStr"/>
      <c r="AC34" t="inlineStr"/>
      <c r="AD34" t="inlineStr">
        <is>
          <t>לא נמצא בסריקת המפיצים</t>
        </is>
      </c>
      <c r="AE34" t="inlineStr">
        <is>
          <t>סריקת אתרי מפיצים</t>
        </is>
      </c>
      <c r="AG34" t="inlineStr"/>
      <c r="AH34" t="inlineStr"/>
      <c r="AJ34" t="inlineStr"/>
      <c r="AP34" t="inlineStr">
        <is>
          <t>https://www.quartzy.com/suppliers</t>
        </is>
      </c>
    </row>
    <row r="35">
      <c r="A35" t="n">
        <v>34</v>
      </c>
      <c r="B35" t="inlineStr">
        <is>
          <t>ACTGene, Inc.</t>
        </is>
      </c>
      <c r="C35" t="inlineStr">
        <is>
          <t>T</t>
        </is>
      </c>
      <c r="E35" t="inlineStr">
        <is>
          <t>https://www.thomassci.com/browse-by/suppliers/actgene</t>
        </is>
      </c>
      <c r="F35" t="inlineStr"/>
      <c r="J35" t="inlineStr"/>
      <c r="Y35" t="inlineStr">
        <is>
          <t>unknown</t>
        </is>
      </c>
      <c r="Z35" t="inlineStr"/>
      <c r="AA35" t="inlineStr"/>
      <c r="AB35" t="inlineStr"/>
      <c r="AC35" t="inlineStr"/>
      <c r="AD35" t="inlineStr">
        <is>
          <t>מפיץ/נציג בישראל</t>
        </is>
      </c>
      <c r="AE35" t="inlineStr">
        <is>
          <t>סריקת אתרי מפיצים</t>
        </is>
      </c>
      <c r="AF35" t="n">
        <v>2026</v>
      </c>
      <c r="AG35" t="inlineStr">
        <is>
          <t>Tivan Biotech</t>
        </is>
      </c>
      <c r="AH35" t="inlineStr">
        <is>
          <t>Tivan Biotech: 077-4701591 customerservice@tivanbiotech.com</t>
        </is>
      </c>
      <c r="AJ35" t="inlineStr"/>
      <c r="AP35" t="inlineStr">
        <is>
          <t>https://www.thomassci.com/browse-by/suppliers/actgene | https://tivanbiotech.com/manufacturers</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Y36" t="inlineStr">
        <is>
          <t>unknown</t>
        </is>
      </c>
      <c r="Z36" t="inlineStr"/>
      <c r="AA36" t="inlineStr"/>
      <c r="AB36" t="inlineStr"/>
      <c r="AC36" t="inlineStr"/>
      <c r="AD36" t="inlineStr">
        <is>
          <t>לא נמצא בחיפוש ראשוני</t>
        </is>
      </c>
      <c r="AE36" t="inlineStr">
        <is>
          <t>חיפוש חלקי</t>
        </is>
      </c>
      <c r="AG36" t="inlineStr"/>
      <c r="AH36" t="inlineStr"/>
      <c r="AI36" t="inlineStr">
        <is>
          <t>No result mentioned Action Health; only unrelated Israeli medical distributors (Medtechnica, Eldan, Promedico, Lapidot, Propharm).</t>
        </is>
      </c>
      <c r="AJ36" t="inlineStr">
        <is>
          <t>4032438114</t>
        </is>
      </c>
      <c r="AM36" t="inlineStr">
        <is>
          <t>https://www.actionhealth.ca/contact-us/</t>
        </is>
      </c>
      <c r="AN36" t="inlineStr">
        <is>
          <t>https://www.actionhealth.ca/contact-us/</t>
        </is>
      </c>
      <c r="AP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Y37" t="inlineStr">
        <is>
          <t>unknown</t>
        </is>
      </c>
      <c r="Z37" t="inlineStr"/>
      <c r="AA37" t="inlineStr"/>
      <c r="AB37" t="inlineStr"/>
      <c r="AC37" t="inlineStr"/>
      <c r="AD37" t="inlineStr">
        <is>
          <t>לא נמצא בסריקת המפיצים</t>
        </is>
      </c>
      <c r="AE37" t="inlineStr">
        <is>
          <t>סריקת אתרי מפיצים</t>
        </is>
      </c>
      <c r="AG37" t="inlineStr"/>
      <c r="AH37" t="inlineStr"/>
      <c r="AJ37" t="inlineStr"/>
      <c r="AP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Y38" t="inlineStr">
        <is>
          <t>unknown</t>
        </is>
      </c>
      <c r="Z38" t="inlineStr"/>
      <c r="AA38" t="inlineStr"/>
      <c r="AB38" t="inlineStr"/>
      <c r="AC38" t="inlineStr"/>
      <c r="AD38" t="inlineStr">
        <is>
          <t>לא נמצא בסריקת המפיצים</t>
        </is>
      </c>
      <c r="AE38" t="inlineStr">
        <is>
          <t>סריקת אתרי מפיצים</t>
        </is>
      </c>
      <c r="AG38" t="inlineStr"/>
      <c r="AH38" t="inlineStr"/>
      <c r="AJ38" t="inlineStr">
        <is>
          <t>877 222 9543</t>
        </is>
      </c>
      <c r="AM38" t="inlineStr">
        <is>
          <t>https://www.activemotif.com/contact-us</t>
        </is>
      </c>
      <c r="AN38" t="inlineStr">
        <is>
          <t>https://www.activemotif.com/contact-us</t>
        </is>
      </c>
      <c r="AP38" t="inlineStr">
        <is>
          <t>https://www.quartzy.com/suppliers | https://www.activemotif.com/contact-us</t>
        </is>
      </c>
    </row>
    <row r="39">
      <c r="A39" t="n">
        <v>38</v>
      </c>
      <c r="B39" t="inlineStr">
        <is>
          <t>Acute Care</t>
        </is>
      </c>
      <c r="C39" t="inlineStr">
        <is>
          <t>T</t>
        </is>
      </c>
      <c r="E39" t="inlineStr">
        <is>
          <t>https://www.thomassci.com/browse-by/suppliers/acute-care</t>
        </is>
      </c>
      <c r="F39" t="inlineStr"/>
      <c r="J39" t="inlineStr"/>
      <c r="Y39" t="inlineStr">
        <is>
          <t>unknown</t>
        </is>
      </c>
      <c r="Z39" t="inlineStr"/>
      <c r="AA39" t="inlineStr"/>
      <c r="AB39" t="inlineStr"/>
      <c r="AC39" t="inlineStr"/>
      <c r="AD39" t="inlineStr">
        <is>
          <t>לא נמצא בסריקת המפיצים</t>
        </is>
      </c>
      <c r="AE39" t="inlineStr">
        <is>
          <t>סריקת אתרי מפיצים</t>
        </is>
      </c>
      <c r="AG39" t="inlineStr"/>
      <c r="AH39" t="inlineStr"/>
      <c r="AJ39" t="inlineStr"/>
      <c r="AP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Y40" t="inlineStr">
        <is>
          <t>unknown</t>
        </is>
      </c>
      <c r="Z40" t="inlineStr"/>
      <c r="AA40" t="inlineStr"/>
      <c r="AB40" t="inlineStr"/>
      <c r="AC40" t="inlineStr"/>
      <c r="AD40" t="inlineStr">
        <is>
          <t>לא נמצא בסריקת המפיצים</t>
        </is>
      </c>
      <c r="AE40" t="inlineStr">
        <is>
          <t>סריקת אתרי מפיצים</t>
        </is>
      </c>
      <c r="AG40" t="inlineStr"/>
      <c r="AH40" t="inlineStr"/>
      <c r="AJ40" t="inlineStr"/>
      <c r="AP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clearbit_verified</t>
        </is>
      </c>
      <c r="J41" t="inlineStr"/>
      <c r="Y41" t="inlineStr">
        <is>
          <t>unknown</t>
        </is>
      </c>
      <c r="Z41" t="inlineStr"/>
      <c r="AA41" t="inlineStr"/>
      <c r="AB41" t="inlineStr"/>
      <c r="AC41" t="inlineStr"/>
      <c r="AD41" t="inlineStr">
        <is>
          <t>לא נמצא בחיפוש ראשוני</t>
        </is>
      </c>
      <c r="AE41" t="inlineStr">
        <is>
          <t>חיפוש חלקי</t>
        </is>
      </c>
      <c r="AG41" t="inlineStr"/>
      <c r="AH41" t="inlineStr"/>
      <c r="AI41" t="inlineStr">
        <is>
          <t>Results were only product listings (RS Online, Agar Scientific) and company background claiming a worldwide distributor network; no Israeli distributor named.</t>
        </is>
      </c>
      <c r="AJ41" t="inlineStr">
        <is>
          <t>+1 (203) 790-4774</t>
        </is>
      </c>
      <c r="AK41" t="inlineStr">
        <is>
          <t>sales@adamequipment.com</t>
        </is>
      </c>
      <c r="AM41" t="inlineStr">
        <is>
          <t>https://adamequipment.com/contact/</t>
        </is>
      </c>
      <c r="AN41" t="inlineStr">
        <is>
          <t>https://adamequipment.com/contact/</t>
        </is>
      </c>
      <c r="AP41" t="inlineStr">
        <is>
          <t>https://www.dutscher.com/search?initialFilters=brand:Adam+equipment | https://www.quartzy.com/suppliers | https://www.thomassci.com/browse-by/suppliers/adam-equipment | https://adamequipment.com/contact/</t>
        </is>
      </c>
    </row>
    <row r="42">
      <c r="A42" t="n">
        <v>41</v>
      </c>
      <c r="B42" t="inlineStr">
        <is>
          <t>Adipogen</t>
        </is>
      </c>
      <c r="C42" t="inlineStr">
        <is>
          <t>Q</t>
        </is>
      </c>
      <c r="F42" t="inlineStr">
        <is>
          <t>yes</t>
        </is>
      </c>
      <c r="J42" t="inlineStr"/>
      <c r="Y42" t="inlineStr">
        <is>
          <t>unknown</t>
        </is>
      </c>
      <c r="Z42" t="inlineStr"/>
      <c r="AA42" t="inlineStr"/>
      <c r="AB42" t="inlineStr"/>
      <c r="AC42" t="inlineStr"/>
      <c r="AD42" t="inlineStr">
        <is>
          <t>לא נמצא בסריקת המפיצים</t>
        </is>
      </c>
      <c r="AE42" t="inlineStr">
        <is>
          <t>סריקת אתרי מפיצים</t>
        </is>
      </c>
      <c r="AG42" t="inlineStr"/>
      <c r="AH42" t="inlineStr"/>
      <c r="AJ42" t="inlineStr"/>
      <c r="AP42" t="inlineStr">
        <is>
          <t>https://www.quartzy.com/suppliers</t>
        </is>
      </c>
    </row>
    <row r="43">
      <c r="A43" t="n">
        <v>42</v>
      </c>
      <c r="B43" t="inlineStr">
        <is>
          <t>Advanced ChemBlocks</t>
        </is>
      </c>
      <c r="C43" t="inlineStr">
        <is>
          <t>Q</t>
        </is>
      </c>
      <c r="F43" t="inlineStr">
        <is>
          <t>yes</t>
        </is>
      </c>
      <c r="J43" t="inlineStr"/>
      <c r="Y43" t="inlineStr">
        <is>
          <t>unknown</t>
        </is>
      </c>
      <c r="Z43" t="inlineStr"/>
      <c r="AA43" t="inlineStr"/>
      <c r="AB43" t="inlineStr"/>
      <c r="AC43" t="inlineStr"/>
      <c r="AD43" t="inlineStr">
        <is>
          <t>לא נמצא בסריקת המפיצים</t>
        </is>
      </c>
      <c r="AE43" t="inlineStr">
        <is>
          <t>סריקת אתרי מפיצים</t>
        </is>
      </c>
      <c r="AG43" t="inlineStr"/>
      <c r="AH43" t="inlineStr"/>
      <c r="AJ43" t="inlineStr"/>
      <c r="AP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Y44" t="inlineStr">
        <is>
          <t>unknown</t>
        </is>
      </c>
      <c r="Z44" t="inlineStr"/>
      <c r="AA44" t="inlineStr"/>
      <c r="AB44" t="inlineStr"/>
      <c r="AC44" t="inlineStr"/>
      <c r="AD44" t="inlineStr">
        <is>
          <t>לא נמצא בסריקת המפיצים</t>
        </is>
      </c>
      <c r="AE44" t="inlineStr">
        <is>
          <t>סריקת אתרי מפיצים</t>
        </is>
      </c>
      <c r="AG44" t="inlineStr"/>
      <c r="AH44" t="inlineStr"/>
      <c r="AJ44" t="inlineStr">
        <is>
          <t>18333175620</t>
        </is>
      </c>
      <c r="AM44" t="inlineStr">
        <is>
          <t>https://advancedchemtech.com/contact/</t>
        </is>
      </c>
      <c r="AN44" t="inlineStr">
        <is>
          <t>https://advancedchemtech.com/contact/</t>
        </is>
      </c>
      <c r="AP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Y45" t="inlineStr">
        <is>
          <t>unknown</t>
        </is>
      </c>
      <c r="Z45" t="inlineStr"/>
      <c r="AA45" t="inlineStr"/>
      <c r="AB45" t="inlineStr"/>
      <c r="AC45" t="inlineStr"/>
      <c r="AD45" t="inlineStr">
        <is>
          <t>לא נמצא בסריקת המפיצים</t>
        </is>
      </c>
      <c r="AE45" t="inlineStr">
        <is>
          <t>סריקת אתרי מפיצים</t>
        </is>
      </c>
      <c r="AG45" t="inlineStr"/>
      <c r="AH45" t="inlineStr"/>
      <c r="AJ45" t="inlineStr"/>
      <c r="AP45" t="inlineStr">
        <is>
          <t>https://www.quartzy.com/suppliers</t>
        </is>
      </c>
    </row>
    <row r="46">
      <c r="A46" t="n">
        <v>45</v>
      </c>
      <c r="B46" t="inlineStr">
        <is>
          <t>Advanced Tech Group</t>
        </is>
      </c>
      <c r="C46" t="inlineStr">
        <is>
          <t>Q</t>
        </is>
      </c>
      <c r="F46" t="inlineStr">
        <is>
          <t>yes</t>
        </is>
      </c>
      <c r="J46" t="inlineStr"/>
      <c r="Y46" t="inlineStr">
        <is>
          <t>unknown</t>
        </is>
      </c>
      <c r="Z46" t="inlineStr"/>
      <c r="AA46" t="inlineStr"/>
      <c r="AB46" t="inlineStr"/>
      <c r="AC46" t="inlineStr"/>
      <c r="AD46" t="inlineStr">
        <is>
          <t>לא נמצא בסריקת המפיצים</t>
        </is>
      </c>
      <c r="AE46" t="inlineStr">
        <is>
          <t>סריקת אתרי מפיצים</t>
        </is>
      </c>
      <c r="AG46" t="inlineStr"/>
      <c r="AH46" t="inlineStr"/>
      <c r="AJ46" t="inlineStr"/>
      <c r="AP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Y47" t="inlineStr">
        <is>
          <t>unknown</t>
        </is>
      </c>
      <c r="Z47" t="inlineStr"/>
      <c r="AA47" t="inlineStr"/>
      <c r="AB47" t="inlineStr"/>
      <c r="AC47" t="inlineStr"/>
      <c r="AD47" t="inlineStr">
        <is>
          <t>לא נמצא בחיפוש ראשוני</t>
        </is>
      </c>
      <c r="AE47" t="inlineStr">
        <is>
          <t>חיפוש חלקי</t>
        </is>
      </c>
      <c r="AG47" t="inlineStr"/>
      <c r="AH47" t="inlineStr"/>
      <c r="AI47" t="inlineStr">
        <is>
          <t>No result mentions Advansta; the only similar-name hit was ADVANSYS Technologies for Life (Israeli distributor of Genovis, 2010), an unrelated company.</t>
        </is>
      </c>
      <c r="AJ47" t="inlineStr">
        <is>
          <t>1-855-238-2678</t>
        </is>
      </c>
      <c r="AM47" t="inlineStr">
        <is>
          <t>https://advansta.com/contact-sales-support/</t>
        </is>
      </c>
      <c r="AN47" t="inlineStr">
        <is>
          <t>https://advansta.com/contact-sales-support/</t>
        </is>
      </c>
      <c r="AP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Y48" t="inlineStr">
        <is>
          <t>unknown</t>
        </is>
      </c>
      <c r="Z48" t="inlineStr"/>
      <c r="AA48" t="inlineStr"/>
      <c r="AB48" t="inlineStr"/>
      <c r="AC48" t="inlineStr"/>
      <c r="AD48" t="inlineStr">
        <is>
          <t>לא נמצא בסריקת המפיצים</t>
        </is>
      </c>
      <c r="AE48" t="inlineStr">
        <is>
          <t>סריקת אתרי מפיצים</t>
        </is>
      </c>
      <c r="AG48" t="inlineStr"/>
      <c r="AH48" t="inlineStr"/>
      <c r="AJ48" t="inlineStr">
        <is>
          <t>+3256531133</t>
        </is>
      </c>
      <c r="AK48" t="inlineStr">
        <is>
          <t>info@mls.be</t>
        </is>
      </c>
      <c r="AM48" t="inlineStr">
        <is>
          <t>https://www.mls.be/en/contact</t>
        </is>
      </c>
      <c r="AN48" t="inlineStr">
        <is>
          <t>https://www.mls.be/en/contact</t>
        </is>
      </c>
      <c r="AP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Y49" t="inlineStr">
        <is>
          <t>unknown</t>
        </is>
      </c>
      <c r="Z49" t="inlineStr"/>
      <c r="AA49" t="inlineStr"/>
      <c r="AB49" t="inlineStr"/>
      <c r="AC49" t="inlineStr"/>
      <c r="AD49" t="inlineStr">
        <is>
          <t>לא נמצא בסריקת המפיצים</t>
        </is>
      </c>
      <c r="AE49" t="inlineStr">
        <is>
          <t>סריקת אתרי מפיצים</t>
        </is>
      </c>
      <c r="AG49" t="inlineStr"/>
      <c r="AH49" t="inlineStr"/>
      <c r="AJ49" t="inlineStr">
        <is>
          <t>925-479-0625</t>
        </is>
      </c>
      <c r="AK49" t="inlineStr">
        <is>
          <t>customerservice@advantecmfs.com</t>
        </is>
      </c>
      <c r="AM49" t="inlineStr">
        <is>
          <t>https://www.advantecmfs.com/contact-us</t>
        </is>
      </c>
      <c r="AN49" t="inlineStr">
        <is>
          <t>https://www.advantecmfs.com/contact-us</t>
        </is>
      </c>
      <c r="AP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https://advantech.com</t>
        </is>
      </c>
      <c r="I50" t="inlineStr">
        <is>
          <t>clearbit_verified</t>
        </is>
      </c>
      <c r="J50" t="inlineStr"/>
      <c r="Y50" t="inlineStr">
        <is>
          <t>unknown</t>
        </is>
      </c>
      <c r="Z50" t="inlineStr"/>
      <c r="AA50" t="inlineStr"/>
      <c r="AB50" t="inlineStr"/>
      <c r="AC50" t="inlineStr"/>
      <c r="AD50" t="inlineStr">
        <is>
          <t>לא נמצא בסריקת המפיצים</t>
        </is>
      </c>
      <c r="AE50" t="inlineStr">
        <is>
          <t>סריקת אתרי מפיצים</t>
        </is>
      </c>
      <c r="AG50" t="inlineStr"/>
      <c r="AH50" t="inlineStr"/>
      <c r="AJ50" t="inlineStr">
        <is>
          <t>1-888-576-9668</t>
        </is>
      </c>
      <c r="AM50" t="inlineStr">
        <is>
          <t>https://www.advantech.com/en-us/contact/service-request-form</t>
        </is>
      </c>
      <c r="AN50" t="inlineStr">
        <is>
          <t>https://www.advantech.com/en-us/contact/service-request-form</t>
        </is>
      </c>
      <c r="AP50" t="inlineStr">
        <is>
          <t>https://www.thomassci.com/browse-by/suppliers/advantech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Y51" t="inlineStr">
        <is>
          <t>unknown</t>
        </is>
      </c>
      <c r="Z51" t="inlineStr"/>
      <c r="AA51" t="inlineStr"/>
      <c r="AB51" t="inlineStr"/>
      <c r="AC51" t="inlineStr"/>
      <c r="AD51" t="inlineStr">
        <is>
          <t>לא נמצא בסריקת המפיצים</t>
        </is>
      </c>
      <c r="AE51" t="inlineStr">
        <is>
          <t>סריקת אתרי מפיצים</t>
        </is>
      </c>
      <c r="AG51" t="inlineStr"/>
      <c r="AH51" t="inlineStr"/>
      <c r="AJ51" t="inlineStr">
        <is>
          <t>1-888-808-0309</t>
        </is>
      </c>
      <c r="AK51" t="inlineStr">
        <is>
          <t>contact@affinisep.com</t>
        </is>
      </c>
      <c r="AM51" t="inlineStr">
        <is>
          <t>https://www.affinisep.com/support-services/contact-us/</t>
        </is>
      </c>
      <c r="AN51" t="inlineStr">
        <is>
          <t>https://www.affinisep.com/support-services/contact-us/</t>
        </is>
      </c>
      <c r="AP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Y52" t="inlineStr">
        <is>
          <t>unknown</t>
        </is>
      </c>
      <c r="Z52" t="inlineStr"/>
      <c r="AA52" t="inlineStr"/>
      <c r="AB52" t="inlineStr"/>
      <c r="AC52" t="inlineStr"/>
      <c r="AD52" t="inlineStr">
        <is>
          <t>לא נמצא בסריקת המפיצים</t>
        </is>
      </c>
      <c r="AE52" t="inlineStr">
        <is>
          <t>סריקת אתרי מפיצים</t>
        </is>
      </c>
      <c r="AG52" t="inlineStr"/>
      <c r="AH52" t="inlineStr"/>
      <c r="AJ52" t="inlineStr"/>
      <c r="AP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Y53" t="inlineStr">
        <is>
          <t>unknown</t>
        </is>
      </c>
      <c r="Z53" t="inlineStr"/>
      <c r="AA53" t="inlineStr"/>
      <c r="AB53" t="inlineStr"/>
      <c r="AC53" t="inlineStr"/>
      <c r="AD53" t="inlineStr">
        <is>
          <t>לא נמצא בסריקת המפיצים</t>
        </is>
      </c>
      <c r="AE53" t="inlineStr">
        <is>
          <t>סריקת אתרי מפיצים</t>
        </is>
      </c>
      <c r="AG53" t="inlineStr"/>
      <c r="AH53" t="inlineStr"/>
      <c r="AJ53" t="inlineStr"/>
      <c r="AP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P54" t="n">
        <v>18100</v>
      </c>
      <c r="Q54" t="n">
        <v>2025</v>
      </c>
      <c r="R54" t="inlineStr">
        <is>
          <t>company</t>
        </is>
      </c>
      <c r="S54" t="inlineStr">
        <is>
          <t>prior</t>
        </is>
      </c>
      <c r="T54" t="n">
        <v>6950</v>
      </c>
      <c r="U54" t="inlineStr">
        <is>
          <t>USD 6.95 billion</t>
        </is>
      </c>
      <c r="V54" t="inlineStr">
        <is>
          <t>FY2025 (ended 31 Oct 2025)</t>
        </is>
      </c>
      <c r="W54" t="inlineStr">
        <is>
          <t>company</t>
        </is>
      </c>
      <c r="X54" t="inlineStr">
        <is>
          <t>prior</t>
        </is>
      </c>
      <c r="Y54" t="inlineStr">
        <is>
          <t>reported</t>
        </is>
      </c>
      <c r="Z54" t="inlineStr">
        <is>
          <t>Agilent 1290 Infinity III LC</t>
        </is>
      </c>
      <c r="AA54" t="inlineStr">
        <is>
          <t>Agilent 8890 GC / 7010 Triple Quad GC/MS</t>
        </is>
      </c>
      <c r="AB54" t="inlineStr">
        <is>
          <t>Agilent BioTek Cytation</t>
        </is>
      </c>
      <c r="AC54" t="inlineStr">
        <is>
          <t>prior</t>
        </is>
      </c>
      <c r="AD54" t="inlineStr">
        <is>
          <t>מפיץ/נציג בישראל</t>
        </is>
      </c>
      <c r="AE54" t="inlineStr">
        <is>
          <t>אומת</t>
        </is>
      </c>
      <c r="AF54" t="n">
        <v>2026</v>
      </c>
      <c r="AG54" t="inlineStr">
        <is>
          <t>Eldan Electronic Instruments Ltd. (Neopharm group)</t>
        </is>
      </c>
      <c r="AH54" t="inlineStr">
        <is>
          <t>Eldan Electronic Instruments Ltd. (Neopharm group): +972-3-937-1111 info@eldan.biz</t>
        </is>
      </c>
      <c r="AI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4" t="inlineStr">
        <is>
          <t>+1 408-345-8886 / +1 877-424-4536</t>
        </is>
      </c>
      <c r="AK54" t="inlineStr">
        <is>
          <t>contact_us@agilent.com</t>
        </is>
      </c>
      <c r="AL54" t="inlineStr">
        <is>
          <t>5301 Stevens Creek Blvd., Santa Clara, CA 95051, USA</t>
        </is>
      </c>
      <c r="AN54" t="inlineStr">
        <is>
          <t>https://reporting.chem.agilent.com/cdc/bottom_page.html</t>
        </is>
      </c>
      <c r="AP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5">
      <c r="A55" t="n">
        <v>54</v>
      </c>
      <c r="B55" t="inlineStr">
        <is>
          <t>Agilent Genomics</t>
        </is>
      </c>
      <c r="C55" t="inlineStr">
        <is>
          <t>T</t>
        </is>
      </c>
      <c r="E55" t="inlineStr">
        <is>
          <t>https://www.thomassci.com/browse-by/suppliers/agilent-genomics</t>
        </is>
      </c>
      <c r="F55" t="inlineStr"/>
      <c r="J55" t="inlineStr"/>
      <c r="Y55" t="inlineStr">
        <is>
          <t>unknown</t>
        </is>
      </c>
      <c r="Z55" t="inlineStr"/>
      <c r="AA55" t="inlineStr"/>
      <c r="AB55" t="inlineStr"/>
      <c r="AC55" t="inlineStr"/>
      <c r="AD55" t="inlineStr">
        <is>
          <t>לא נמצא בסריקת המפיצים</t>
        </is>
      </c>
      <c r="AE55" t="inlineStr">
        <is>
          <t>סריקת אתרי מפיצים</t>
        </is>
      </c>
      <c r="AG55" t="inlineStr"/>
      <c r="AH55" t="inlineStr"/>
      <c r="AJ55" t="inlineStr"/>
      <c r="AP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Y56" t="inlineStr">
        <is>
          <t>unknown</t>
        </is>
      </c>
      <c r="Z56" t="inlineStr"/>
      <c r="AA56" t="inlineStr"/>
      <c r="AB56" t="inlineStr"/>
      <c r="AC56" t="inlineStr"/>
      <c r="AD56" t="inlineStr">
        <is>
          <t>לא נמצא בסריקת המפיצים</t>
        </is>
      </c>
      <c r="AE56" t="inlineStr">
        <is>
          <t>סריקת אתרי מפיצים</t>
        </is>
      </c>
      <c r="AG56" t="inlineStr"/>
      <c r="AH56" t="inlineStr"/>
      <c r="AJ56" t="inlineStr"/>
      <c r="AP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P57" t="n">
        <v>18100</v>
      </c>
      <c r="Q57" t="n">
        <v>2025</v>
      </c>
      <c r="R57" t="inlineStr">
        <is>
          <t>company</t>
        </is>
      </c>
      <c r="S57" t="inlineStr">
        <is>
          <t>prior</t>
        </is>
      </c>
      <c r="T57" t="n">
        <v>6950</v>
      </c>
      <c r="U57" t="inlineStr">
        <is>
          <t>USD 6.95 billion</t>
        </is>
      </c>
      <c r="V57" t="inlineStr">
        <is>
          <t>FY2025 (ended 31 Oct 2025)</t>
        </is>
      </c>
      <c r="W57" t="inlineStr">
        <is>
          <t>company</t>
        </is>
      </c>
      <c r="X57" t="inlineStr">
        <is>
          <t>prior</t>
        </is>
      </c>
      <c r="Y57" t="inlineStr">
        <is>
          <t>reported</t>
        </is>
      </c>
      <c r="Z57" t="inlineStr">
        <is>
          <t>Agilent 1290 Infinity III LC</t>
        </is>
      </c>
      <c r="AA57" t="inlineStr">
        <is>
          <t>Agilent 8890 GC / 7010 Triple Quad GC/MS</t>
        </is>
      </c>
      <c r="AB57" t="inlineStr">
        <is>
          <t>Agilent BioTek Cytation</t>
        </is>
      </c>
      <c r="AC57" t="inlineStr">
        <is>
          <t>prior</t>
        </is>
      </c>
      <c r="AD57" t="inlineStr">
        <is>
          <t>מפיץ/נציג בישראל</t>
        </is>
      </c>
      <c r="AE57" t="inlineStr">
        <is>
          <t>אומת</t>
        </is>
      </c>
      <c r="AF57" t="n">
        <v>2026</v>
      </c>
      <c r="AG57" t="inlineStr">
        <is>
          <t>Eldan Electronic Instruments Ltd. (Neopharm group)</t>
        </is>
      </c>
      <c r="AH57" t="inlineStr">
        <is>
          <t>Eldan Electronic Instruments Ltd. (Neopharm group): +972-3-937-1111 info@eldan.biz</t>
        </is>
      </c>
      <c r="AI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J57" t="inlineStr">
        <is>
          <t>+1 408-345-8886 / +1 877-424-4536</t>
        </is>
      </c>
      <c r="AK57" t="inlineStr">
        <is>
          <t>contact_us@agilent.com</t>
        </is>
      </c>
      <c r="AL57" t="inlineStr">
        <is>
          <t>5301 Stevens Creek Blvd., Santa Clara, CA 95051, USA</t>
        </is>
      </c>
      <c r="AN57" t="inlineStr">
        <is>
          <t>https://reporting.chem.agilent.com/cdc/bottom_page.html</t>
        </is>
      </c>
      <c r="AP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Y58" t="inlineStr">
        <is>
          <t>unknown</t>
        </is>
      </c>
      <c r="Z58" t="inlineStr"/>
      <c r="AA58" t="inlineStr"/>
      <c r="AB58" t="inlineStr"/>
      <c r="AC58" t="inlineStr"/>
      <c r="AD58" t="inlineStr">
        <is>
          <t>לא נמצא בסריקת המפיצים</t>
        </is>
      </c>
      <c r="AE58" t="inlineStr">
        <is>
          <t>סריקת אתרי מפיצים</t>
        </is>
      </c>
      <c r="AG58" t="inlineStr"/>
      <c r="AH58" t="inlineStr"/>
      <c r="AJ58" t="inlineStr"/>
      <c r="AM58" t="inlineStr">
        <is>
          <t>https://www.ahlstrom.com/Media/Media-contacts/</t>
        </is>
      </c>
      <c r="AN58" t="inlineStr">
        <is>
          <t>https://www.ahlstrom.com/Media/Media-contacts/</t>
        </is>
      </c>
      <c r="AP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J59" t="inlineStr"/>
      <c r="Y59" t="inlineStr">
        <is>
          <t>unknown</t>
        </is>
      </c>
      <c r="Z59" t="inlineStr"/>
      <c r="AA59" t="inlineStr"/>
      <c r="AB59" t="inlineStr"/>
      <c r="AC59" t="inlineStr"/>
      <c r="AD59" t="inlineStr">
        <is>
          <t>לא נמצא בסריקת המפיצים</t>
        </is>
      </c>
      <c r="AE59" t="inlineStr">
        <is>
          <t>סריקת אתרי מפיצים</t>
        </is>
      </c>
      <c r="AG59" t="inlineStr"/>
      <c r="AH59" t="inlineStr"/>
      <c r="AJ59" t="inlineStr"/>
      <c r="AP59" t="inlineStr">
        <is>
          <t>https://www.thomassci.com/browse-by/suppliers/ahlstrom-munksjo</t>
        </is>
      </c>
    </row>
    <row r="60">
      <c r="A60" t="n">
        <v>59</v>
      </c>
      <c r="B60" t="inlineStr">
        <is>
          <t>AiFChem</t>
        </is>
      </c>
      <c r="C60" t="inlineStr">
        <is>
          <t>Q</t>
        </is>
      </c>
      <c r="F60" t="inlineStr">
        <is>
          <t>yes</t>
        </is>
      </c>
      <c r="J60" t="inlineStr"/>
      <c r="Y60" t="inlineStr">
        <is>
          <t>unknown</t>
        </is>
      </c>
      <c r="Z60" t="inlineStr"/>
      <c r="AA60" t="inlineStr"/>
      <c r="AB60" t="inlineStr"/>
      <c r="AC60" t="inlineStr"/>
      <c r="AD60" t="inlineStr">
        <is>
          <t>לא נמצא בסריקת המפיצים</t>
        </is>
      </c>
      <c r="AE60" t="inlineStr">
        <is>
          <t>סריקת אתרי מפיצים</t>
        </is>
      </c>
      <c r="AG60" t="inlineStr"/>
      <c r="AH60" t="inlineStr"/>
      <c r="AJ60" t="inlineStr"/>
      <c r="AP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Y61" t="inlineStr">
        <is>
          <t>unknown</t>
        </is>
      </c>
      <c r="Z61" t="inlineStr"/>
      <c r="AA61" t="inlineStr"/>
      <c r="AB61" t="inlineStr"/>
      <c r="AC61" t="inlineStr"/>
      <c r="AD61" t="inlineStr">
        <is>
          <t>לא נמצא בסריקת המפיצים</t>
        </is>
      </c>
      <c r="AE61" t="inlineStr">
        <is>
          <t>סריקת אתרי מפיצים</t>
        </is>
      </c>
      <c r="AG61" t="inlineStr"/>
      <c r="AH61" t="inlineStr"/>
      <c r="AJ61" t="inlineStr"/>
      <c r="AP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Y62" t="inlineStr">
        <is>
          <t>unknown</t>
        </is>
      </c>
      <c r="Z62" t="inlineStr"/>
      <c r="AA62" t="inlineStr"/>
      <c r="AB62" t="inlineStr"/>
      <c r="AC62" t="inlineStr"/>
      <c r="AD62" t="inlineStr">
        <is>
          <t>לא נמצא בחיפוש ראשוני</t>
        </is>
      </c>
      <c r="AE62" t="inlineStr">
        <is>
          <t>חיפוש חלקי</t>
        </is>
      </c>
      <c r="AG62" t="inlineStr"/>
      <c r="AH62" t="inlineStr"/>
      <c r="AI62" t="inlineStr">
        <is>
          <t>Results only describe Air-Tite Products (Virginia; exclusive North American distributor for Henke Sass Wolf, TSK, Poulten &amp; Graf) and US resellers (VWR, Thomas Scientific, Fisher); no Israel mention.</t>
        </is>
      </c>
      <c r="AJ62" t="inlineStr"/>
      <c r="AP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Y63" t="inlineStr">
        <is>
          <t>unknown</t>
        </is>
      </c>
      <c r="Z63" t="inlineStr"/>
      <c r="AA63" t="inlineStr"/>
      <c r="AB63" t="inlineStr"/>
      <c r="AC63" t="inlineStr"/>
      <c r="AD63" t="inlineStr">
        <is>
          <t>לא נמצא בסריקת המפיצים</t>
        </is>
      </c>
      <c r="AE63" t="inlineStr">
        <is>
          <t>סריקת אתרי מפיצים</t>
        </is>
      </c>
      <c r="AG63" t="inlineStr"/>
      <c r="AH63" t="inlineStr"/>
      <c r="AJ63" t="inlineStr">
        <is>
          <t>919-255-3220</t>
        </is>
      </c>
      <c r="AK63" t="inlineStr">
        <is>
          <t>sales@aircleansystems.com</t>
        </is>
      </c>
      <c r="AM63" t="inlineStr">
        <is>
          <t>https://aircleansystems.com/contact</t>
        </is>
      </c>
      <c r="AN63" t="inlineStr">
        <is>
          <t>https://aircleansystems.com/contact</t>
        </is>
      </c>
      <c r="AP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Y64" t="inlineStr">
        <is>
          <t>unknown</t>
        </is>
      </c>
      <c r="Z64" t="inlineStr"/>
      <c r="AA64" t="inlineStr"/>
      <c r="AB64" t="inlineStr"/>
      <c r="AC64" t="inlineStr"/>
      <c r="AD64" t="inlineStr">
        <is>
          <t>לא נמצא בסריקת המפיצים</t>
        </is>
      </c>
      <c r="AE64" t="inlineStr">
        <is>
          <t>סריקת אתרי מפיצים</t>
        </is>
      </c>
      <c r="AG64" t="inlineStr"/>
      <c r="AH64" t="inlineStr"/>
      <c r="AJ64" t="inlineStr"/>
      <c r="AP64" t="inlineStr">
        <is>
          <t>https://www.thomassci.com/browse-by/suppliers/airgas-safety</t>
        </is>
      </c>
    </row>
    <row r="65">
      <c r="A65" t="n">
        <v>64</v>
      </c>
      <c r="B65" t="inlineStr">
        <is>
          <t>AK Ltd</t>
        </is>
      </c>
      <c r="C65" t="inlineStr">
        <is>
          <t>T</t>
        </is>
      </c>
      <c r="E65" t="inlineStr">
        <is>
          <t>https://www.thomassci.com/browse-by/suppliers/ak-ltd</t>
        </is>
      </c>
      <c r="F65" t="inlineStr"/>
      <c r="J65" t="inlineStr"/>
      <c r="Y65" t="inlineStr">
        <is>
          <t>unknown</t>
        </is>
      </c>
      <c r="Z65" t="inlineStr"/>
      <c r="AA65" t="inlineStr"/>
      <c r="AB65" t="inlineStr"/>
      <c r="AC65" t="inlineStr"/>
      <c r="AD65" t="inlineStr">
        <is>
          <t>לא נמצא בסריקת המפיצים</t>
        </is>
      </c>
      <c r="AE65" t="inlineStr">
        <is>
          <t>סריקת אתרי מפיצים</t>
        </is>
      </c>
      <c r="AG65" t="inlineStr"/>
      <c r="AH65" t="inlineStr"/>
      <c r="AJ65" t="inlineStr"/>
      <c r="AP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O66" t="inlineStr">
        <is>
          <t>AK Scientific is a chemical manufacturer and supplier that provides researchers, biotechnology companies, and academic institutions with a wide range of fine chemicals, APIs (Active Pharmaceutical Ingredients), and advanced intermediates.</t>
        </is>
      </c>
      <c r="Y66" t="inlineStr">
        <is>
          <t>unknown</t>
        </is>
      </c>
      <c r="Z66" t="inlineStr"/>
      <c r="AA66" t="inlineStr"/>
      <c r="AB66" t="inlineStr"/>
      <c r="AC66" t="inlineStr"/>
      <c r="AD66" t="inlineStr">
        <is>
          <t>לא נמצא בחיפוש ראשוני</t>
        </is>
      </c>
      <c r="AE66" t="inlineStr">
        <is>
          <t>חיפוש חלקי</t>
        </is>
      </c>
      <c r="AG66" t="inlineStr"/>
      <c r="AH66" t="inlineStr"/>
      <c r="AI66" t="inlineStr">
        <is>
          <t>AK Scientific's own distributors page (aksci.com/distributors.php) lists networks in Asia, Europe, Oceania and South America; Israel is not listed. Agentek/Enco surfaced but without any AK Scientific link.</t>
        </is>
      </c>
      <c r="AJ66" t="inlineStr"/>
      <c r="AP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Y67" t="inlineStr">
        <is>
          <t>unknown</t>
        </is>
      </c>
      <c r="Z67" t="inlineStr"/>
      <c r="AA67" t="inlineStr"/>
      <c r="AB67" t="inlineStr"/>
      <c r="AC67" t="inlineStr"/>
      <c r="AD67" t="inlineStr">
        <is>
          <t>לא נמצא בסריקת המפיצים</t>
        </is>
      </c>
      <c r="AE67" t="inlineStr">
        <is>
          <t>סריקת אתרי מפיצים</t>
        </is>
      </c>
      <c r="AG67" t="inlineStr"/>
      <c r="AH67" t="inlineStr"/>
      <c r="AJ67" t="inlineStr">
        <is>
          <t>+18002532467</t>
        </is>
      </c>
      <c r="AK67" t="inlineStr">
        <is>
          <t>inquiry@akro-mils.com</t>
        </is>
      </c>
      <c r="AM67" t="inlineStr">
        <is>
          <t>https://akro-mils.com/contact/</t>
        </is>
      </c>
      <c r="AN67" t="inlineStr">
        <is>
          <t>https://akro-mils.com/contact/</t>
        </is>
      </c>
      <c r="AP67" t="inlineStr">
        <is>
          <t>https://www.thomassci.com/browse-by/suppliers/akro-mils | https://akro-mils.com/contact/</t>
        </is>
      </c>
    </row>
    <row r="68">
      <c r="A68" t="n">
        <v>67</v>
      </c>
      <c r="B68" t="inlineStr">
        <is>
          <t>Aladdin Scientific</t>
        </is>
      </c>
      <c r="C68" t="inlineStr">
        <is>
          <t>Q+Q+</t>
        </is>
      </c>
      <c r="F68" t="inlineStr">
        <is>
          <t>yes +new</t>
        </is>
      </c>
      <c r="J68" t="inlineStr"/>
      <c r="O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Y68" t="inlineStr">
        <is>
          <t>unknown</t>
        </is>
      </c>
      <c r="Z68" t="inlineStr"/>
      <c r="AA68" t="inlineStr"/>
      <c r="AB68" t="inlineStr"/>
      <c r="AC68" t="inlineStr"/>
      <c r="AD68" t="inlineStr">
        <is>
          <t>לא נמצא בחיפוש ראשוני</t>
        </is>
      </c>
      <c r="AE68" t="inlineStr">
        <is>
          <t>חיפוש חלקי</t>
        </is>
      </c>
      <c r="AG68" t="inlineStr"/>
      <c r="AH68" t="inlineStr"/>
      <c r="AI68" t="inlineStr">
        <is>
          <t>Aladdin's contact page names only US (Riverside CA) and German (Bueren) hubs and has a distributor-recruitment form; Israel not mentioned; Eldan/Agentek appeared with no link.</t>
        </is>
      </c>
      <c r="AJ68" t="inlineStr"/>
      <c r="AP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Y69" t="inlineStr">
        <is>
          <t>unknown</t>
        </is>
      </c>
      <c r="Z69" t="inlineStr"/>
      <c r="AA69" t="inlineStr"/>
      <c r="AB69" t="inlineStr"/>
      <c r="AC69" t="inlineStr"/>
      <c r="AD69" t="inlineStr">
        <is>
          <t>לא נמצא בחיפוש ראשוני</t>
        </is>
      </c>
      <c r="AE69" t="inlineStr">
        <is>
          <t>חיפוש חלקי</t>
        </is>
      </c>
      <c r="AG69" t="inlineStr"/>
      <c r="AH69" t="inlineStr"/>
      <c r="AI69" t="inlineStr">
        <is>
          <t>Alconox says its detergents are sold through distributors in 40-50+ countries (and it joined TCP Analytical in 2025), but no Israeli distributor is named in any result.</t>
        </is>
      </c>
      <c r="AJ69" t="inlineStr">
        <is>
          <t>9149484040</t>
        </is>
      </c>
      <c r="AM69" t="inlineStr">
        <is>
          <t>https://alconox.com/contact-us/</t>
        </is>
      </c>
      <c r="AN69" t="inlineStr">
        <is>
          <t>https://alconox.com/contact-us/</t>
        </is>
      </c>
      <c r="AP69" t="inlineStr">
        <is>
          <t>https://www.quartzy.com/suppliers | https://www.thomassci.com/browse-by/suppliers/alconox | https://alconox.com/contact-us/</t>
        </is>
      </c>
    </row>
    <row r="70">
      <c r="A70" t="n">
        <v>69</v>
      </c>
      <c r="B70" t="inlineStr">
        <is>
          <t>Aldon</t>
        </is>
      </c>
      <c r="C70" t="inlineStr">
        <is>
          <t>Q</t>
        </is>
      </c>
      <c r="F70" t="inlineStr">
        <is>
          <t>yes</t>
        </is>
      </c>
      <c r="J70" t="inlineStr"/>
      <c r="Y70" t="inlineStr">
        <is>
          <t>unknown</t>
        </is>
      </c>
      <c r="Z70" t="inlineStr"/>
      <c r="AA70" t="inlineStr"/>
      <c r="AB70" t="inlineStr"/>
      <c r="AC70" t="inlineStr"/>
      <c r="AD70" t="inlineStr">
        <is>
          <t>לא נמצא בסריקת המפיצים</t>
        </is>
      </c>
      <c r="AE70" t="inlineStr">
        <is>
          <t>סריקת אתרי מפיצים</t>
        </is>
      </c>
      <c r="AG70" t="inlineStr"/>
      <c r="AH70" t="inlineStr"/>
      <c r="AJ70" t="inlineStr"/>
      <c r="AP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c r="Y71" t="inlineStr">
        <is>
          <t>unknown</t>
        </is>
      </c>
      <c r="Z71" t="inlineStr"/>
      <c r="AA71" t="inlineStr"/>
      <c r="AB71" t="inlineStr"/>
      <c r="AC71" t="inlineStr"/>
      <c r="AD71" t="inlineStr">
        <is>
          <t>לא נמצא בסריקת המפיצים</t>
        </is>
      </c>
      <c r="AE71" t="inlineStr">
        <is>
          <t>סריקת אתרי מפיצים</t>
        </is>
      </c>
      <c r="AG71" t="inlineStr"/>
      <c r="AH71" t="inlineStr"/>
      <c r="AJ71" t="inlineStr"/>
      <c r="AM71" t="inlineStr">
        <is>
          <t>https://www.abbott.com/en-us/about-abbott/contact</t>
        </is>
      </c>
      <c r="AN71" t="inlineStr">
        <is>
          <t>https://www.abbott.com/en-us/about-abbott/contact</t>
        </is>
      </c>
      <c r="AP71" t="inlineStr">
        <is>
          <t>https://www.thomassci.com/browse-by/suppliers/alere | https://www.abbott.com/en-us/about-abbott/contact</t>
        </is>
      </c>
    </row>
    <row r="72">
      <c r="A72" t="n">
        <v>71</v>
      </c>
      <c r="B72" t="inlineStr">
        <is>
          <t>ALIT Lifetech Inc.</t>
        </is>
      </c>
      <c r="C72" t="inlineStr">
        <is>
          <t>T</t>
        </is>
      </c>
      <c r="E72" t="inlineStr">
        <is>
          <t>https://www.thomassci.com/browse-by/suppliers/alit-lifetech-inc-</t>
        </is>
      </c>
      <c r="F72" t="inlineStr"/>
      <c r="J72" t="inlineStr"/>
      <c r="Y72" t="inlineStr">
        <is>
          <t>unknown</t>
        </is>
      </c>
      <c r="Z72" t="inlineStr"/>
      <c r="AA72" t="inlineStr"/>
      <c r="AB72" t="inlineStr"/>
      <c r="AC72" t="inlineStr"/>
      <c r="AD72" t="inlineStr">
        <is>
          <t>לא נמצא בסריקת המפיצים</t>
        </is>
      </c>
      <c r="AE72" t="inlineStr">
        <is>
          <t>סריקת אתרי מפיצים</t>
        </is>
      </c>
      <c r="AG72" t="inlineStr"/>
      <c r="AH72" t="inlineStr"/>
      <c r="AJ72" t="inlineStr"/>
      <c r="AP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Y73" t="inlineStr">
        <is>
          <t>unknown</t>
        </is>
      </c>
      <c r="Z73" t="inlineStr"/>
      <c r="AA73" t="inlineStr"/>
      <c r="AB73" t="inlineStr"/>
      <c r="AC73" t="inlineStr"/>
      <c r="AD73" t="inlineStr">
        <is>
          <t>לא נמצא בסריקת המפיצים</t>
        </is>
      </c>
      <c r="AE73" t="inlineStr">
        <is>
          <t>סריקת אתרי מפיצים</t>
        </is>
      </c>
      <c r="AG73" t="inlineStr"/>
      <c r="AH73" t="inlineStr"/>
      <c r="AJ73" t="inlineStr"/>
      <c r="AP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clearbit_verified</t>
        </is>
      </c>
      <c r="J74" t="inlineStr"/>
      <c r="Y74" t="inlineStr">
        <is>
          <t>unknown</t>
        </is>
      </c>
      <c r="Z74" t="inlineStr"/>
      <c r="AA74" t="inlineStr"/>
      <c r="AB74" t="inlineStr"/>
      <c r="AC74" t="inlineStr"/>
      <c r="AD74" t="inlineStr">
        <is>
          <t>לא נמצא בסריקת המפיצים</t>
        </is>
      </c>
      <c r="AE74" t="inlineStr">
        <is>
          <t>סריקת אתרי מפיצים</t>
        </is>
      </c>
      <c r="AG74" t="inlineStr"/>
      <c r="AH74" t="inlineStr"/>
      <c r="AJ74" t="inlineStr">
        <is>
          <t>1-888-927-5629</t>
        </is>
      </c>
      <c r="AK74" t="inlineStr">
        <is>
          <t>sales@alkalisci.com</t>
        </is>
      </c>
      <c r="AM74" t="inlineStr">
        <is>
          <t>https://alkalisci.com/contact-us/</t>
        </is>
      </c>
      <c r="AN74" t="inlineStr">
        <is>
          <t>https://alkalisci.com/contact-us/</t>
        </is>
      </c>
      <c r="AP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Y75" t="inlineStr">
        <is>
          <t>unknown</t>
        </is>
      </c>
      <c r="Z75" t="inlineStr"/>
      <c r="AA75" t="inlineStr"/>
      <c r="AB75" t="inlineStr"/>
      <c r="AC75" t="inlineStr"/>
      <c r="AD75" t="inlineStr">
        <is>
          <t>לא נמצא בסריקת המפיצים</t>
        </is>
      </c>
      <c r="AE75" t="inlineStr">
        <is>
          <t>סריקת אתרי מפיצים</t>
        </is>
      </c>
      <c r="AG75" t="inlineStr"/>
      <c r="AH75" t="inlineStr"/>
      <c r="AJ75" t="inlineStr">
        <is>
          <t>4405723645</t>
        </is>
      </c>
      <c r="AK75" t="inlineStr">
        <is>
          <t>info@allfoils.com</t>
        </is>
      </c>
      <c r="AM75" t="inlineStr">
        <is>
          <t>https://allfoils.com/contact/</t>
        </is>
      </c>
      <c r="AN75" t="inlineStr">
        <is>
          <t>https://allfoils.com/contact/</t>
        </is>
      </c>
      <c r="AP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Y76" t="inlineStr">
        <is>
          <t>unknown</t>
        </is>
      </c>
      <c r="Z76" t="inlineStr"/>
      <c r="AA76" t="inlineStr"/>
      <c r="AB76" t="inlineStr"/>
      <c r="AC76" t="inlineStr"/>
      <c r="AD76" t="inlineStr">
        <is>
          <t>לא נמצא בסריקת המפיצים</t>
        </is>
      </c>
      <c r="AE76" t="inlineStr">
        <is>
          <t>סריקת אתרי מפיצים</t>
        </is>
      </c>
      <c r="AG76" t="inlineStr"/>
      <c r="AH76" t="inlineStr"/>
      <c r="AJ76" t="inlineStr"/>
      <c r="AN76" t="inlineStr">
        <is>
          <t>https://allafrance.com/</t>
        </is>
      </c>
      <c r="AP76" t="inlineStr">
        <is>
          <t>https://www.thomassci.com/browse-by/suppliers/alla-france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Y77" t="inlineStr">
        <is>
          <t>unknown</t>
        </is>
      </c>
      <c r="Z77" t="inlineStr"/>
      <c r="AA77" t="inlineStr"/>
      <c r="AB77" t="inlineStr"/>
      <c r="AC77" t="inlineStr"/>
      <c r="AD77" t="inlineStr">
        <is>
          <t>לא נמצא בסריקת המפיצים</t>
        </is>
      </c>
      <c r="AE77" t="inlineStr">
        <is>
          <t>סריקת אתרי מפיצים</t>
        </is>
      </c>
      <c r="AG77" t="inlineStr"/>
      <c r="AH77" t="inlineStr"/>
      <c r="AJ77" t="inlineStr">
        <is>
          <t>8006223530</t>
        </is>
      </c>
      <c r="AK77" t="inlineStr">
        <is>
          <t>contact@billitonglory.mn</t>
        </is>
      </c>
      <c r="AM77" t="inlineStr">
        <is>
          <t>https://www.allegrosafety.com/contact/</t>
        </is>
      </c>
      <c r="AN77" t="inlineStr">
        <is>
          <t>https://www.allegrosafety.com/contact/</t>
        </is>
      </c>
      <c r="AP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Y78" t="inlineStr">
        <is>
          <t>unknown</t>
        </is>
      </c>
      <c r="Z78" t="inlineStr"/>
      <c r="AA78" t="inlineStr"/>
      <c r="AB78" t="inlineStr"/>
      <c r="AC78" t="inlineStr"/>
      <c r="AD78" t="inlineStr">
        <is>
          <t>לא נמצא בסריקת המפיצים</t>
        </is>
      </c>
      <c r="AE78" t="inlineStr">
        <is>
          <t>סריקת אתרי מפיצים</t>
        </is>
      </c>
      <c r="AG78" t="inlineStr"/>
      <c r="AH78" t="inlineStr"/>
      <c r="AJ78" t="inlineStr"/>
      <c r="AP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Y79" t="inlineStr">
        <is>
          <t>unknown</t>
        </is>
      </c>
      <c r="Z79" t="inlineStr"/>
      <c r="AA79" t="inlineStr"/>
      <c r="AB79" t="inlineStr"/>
      <c r="AC79" t="inlineStr"/>
      <c r="AD79" t="inlineStr">
        <is>
          <t>לא נמצא בסריקת המפיצים</t>
        </is>
      </c>
      <c r="AE79" t="inlineStr">
        <is>
          <t>סריקת אתרי מפיצים</t>
        </is>
      </c>
      <c r="AG79" t="inlineStr"/>
      <c r="AH79" t="inlineStr"/>
      <c r="AJ79" t="inlineStr">
        <is>
          <t>(718) 625-6610</t>
        </is>
      </c>
      <c r="AK79" t="inlineStr">
        <is>
          <t>info@alliedkr.com</t>
        </is>
      </c>
      <c r="AM79" t="inlineStr">
        <is>
          <t>https://alliedkr.com/about/contact-us/</t>
        </is>
      </c>
      <c r="AN79" t="inlineStr">
        <is>
          <t>https://alliedkr.com/about/contact-us/</t>
        </is>
      </c>
      <c r="AP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Y80" t="inlineStr">
        <is>
          <t>unknown</t>
        </is>
      </c>
      <c r="Z80" t="inlineStr"/>
      <c r="AA80" t="inlineStr"/>
      <c r="AB80" t="inlineStr"/>
      <c r="AC80" t="inlineStr"/>
      <c r="AD80" t="inlineStr">
        <is>
          <t>לא נמצא בסריקת המפיצים</t>
        </is>
      </c>
      <c r="AE80" t="inlineStr">
        <is>
          <t>סריקת אתרי מפיצים</t>
        </is>
      </c>
      <c r="AG80" t="inlineStr"/>
      <c r="AH80" t="inlineStr"/>
      <c r="AJ80" t="inlineStr"/>
      <c r="AP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clearbit_verified</t>
        </is>
      </c>
      <c r="J81" t="inlineStr"/>
      <c r="Y81" t="inlineStr">
        <is>
          <t>unknown</t>
        </is>
      </c>
      <c r="Z81" t="inlineStr"/>
      <c r="AA81" t="inlineStr"/>
      <c r="AB81" t="inlineStr"/>
      <c r="AC81" t="inlineStr"/>
      <c r="AD81" t="inlineStr">
        <is>
          <t>לא נמצא בסריקת המפיצים</t>
        </is>
      </c>
      <c r="AE81" t="inlineStr">
        <is>
          <t>סריקת אתרי מפיצים</t>
        </is>
      </c>
      <c r="AG81" t="inlineStr"/>
      <c r="AH81" t="inlineStr"/>
      <c r="AJ81" t="inlineStr">
        <is>
          <t>1-800-791-3904</t>
        </is>
      </c>
      <c r="AK81" t="inlineStr">
        <is>
          <t>inquiries@alomone.com</t>
        </is>
      </c>
      <c r="AM81" t="inlineStr">
        <is>
          <t>https://www.alomone.com/contact-us</t>
        </is>
      </c>
      <c r="AN81" t="inlineStr">
        <is>
          <t>https://www.alomone.com/contact-us</t>
        </is>
      </c>
      <c r="AP81" t="inlineStr">
        <is>
          <t>https://www.quartzy.com/suppliers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Y82" t="inlineStr">
        <is>
          <t>unknown</t>
        </is>
      </c>
      <c r="Z82" t="inlineStr"/>
      <c r="AA82" t="inlineStr"/>
      <c r="AB82" t="inlineStr"/>
      <c r="AC82" t="inlineStr"/>
      <c r="AD82" t="inlineStr">
        <is>
          <t>לא נמצא בסריקת המפיצים</t>
        </is>
      </c>
      <c r="AE82" t="inlineStr">
        <is>
          <t>סריקת אתרי מפיצים</t>
        </is>
      </c>
      <c r="AG82" t="inlineStr"/>
      <c r="AH82" t="inlineStr"/>
      <c r="AJ82" t="inlineStr">
        <is>
          <t>+1 (978) 878-9489</t>
        </is>
      </c>
      <c r="AK82" t="inlineStr">
        <is>
          <t>info@alpaqua.com</t>
        </is>
      </c>
      <c r="AM82" t="inlineStr">
        <is>
          <t>https://www.alpaqua.com/contact/</t>
        </is>
      </c>
      <c r="AN82" t="inlineStr">
        <is>
          <t>https://www.alpaqua.com/contact/</t>
        </is>
      </c>
      <c r="AP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Y83" t="inlineStr">
        <is>
          <t>unknown</t>
        </is>
      </c>
      <c r="Z83" t="inlineStr"/>
      <c r="AA83" t="inlineStr"/>
      <c r="AB83" t="inlineStr"/>
      <c r="AC83" t="inlineStr"/>
      <c r="AD83" t="inlineStr">
        <is>
          <t>לא נמצא בסריקת המפיצים</t>
        </is>
      </c>
      <c r="AE83" t="inlineStr">
        <is>
          <t>סריקת אתרי מפיצים</t>
        </is>
      </c>
      <c r="AG83" t="inlineStr"/>
      <c r="AH83" t="inlineStr"/>
      <c r="AJ83" t="inlineStr">
        <is>
          <t>+44 2380 487209</t>
        </is>
      </c>
      <c r="AM83" t="inlineStr">
        <is>
          <t>https://www.alphalabs.co.uk/international-contact</t>
        </is>
      </c>
      <c r="AN83" t="inlineStr">
        <is>
          <t>https://www.alphalabs.co.uk/international-contact</t>
        </is>
      </c>
      <c r="AP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Y84" t="inlineStr">
        <is>
          <t>unknown</t>
        </is>
      </c>
      <c r="Z84" t="inlineStr"/>
      <c r="AA84" t="inlineStr"/>
      <c r="AB84" t="inlineStr"/>
      <c r="AC84" t="inlineStr"/>
      <c r="AD84" t="inlineStr">
        <is>
          <t>לא נמצא בסריקת המפיצים</t>
        </is>
      </c>
      <c r="AE84" t="inlineStr">
        <is>
          <t>סריקת אתרי מפיצים</t>
        </is>
      </c>
      <c r="AG84" t="inlineStr"/>
      <c r="AH84" t="inlineStr"/>
      <c r="AJ84" t="inlineStr"/>
      <c r="AP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Y85" t="inlineStr">
        <is>
          <t>unknown</t>
        </is>
      </c>
      <c r="Z85" t="inlineStr"/>
      <c r="AA85" t="inlineStr"/>
      <c r="AB85" t="inlineStr"/>
      <c r="AC85" t="inlineStr"/>
      <c r="AD85" t="inlineStr">
        <is>
          <t>לא נמצא בסריקת המפיצים</t>
        </is>
      </c>
      <c r="AE85" t="inlineStr">
        <is>
          <t>סריקת אתרי מפיצים</t>
        </is>
      </c>
      <c r="AG85" t="inlineStr"/>
      <c r="AH85" t="inlineStr"/>
      <c r="AJ85" t="inlineStr"/>
      <c r="AP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Y86" t="inlineStr">
        <is>
          <t>unknown</t>
        </is>
      </c>
      <c r="Z86" t="inlineStr"/>
      <c r="AA86" t="inlineStr"/>
      <c r="AB86" t="inlineStr"/>
      <c r="AC86" t="inlineStr"/>
      <c r="AD86" t="inlineStr">
        <is>
          <t>לא נמצא בסריקת המפיצים</t>
        </is>
      </c>
      <c r="AE86" t="inlineStr">
        <is>
          <t>סריקת אתרי מפיצים</t>
        </is>
      </c>
      <c r="AG86" t="inlineStr"/>
      <c r="AH86" t="inlineStr"/>
      <c r="AJ86" t="inlineStr"/>
      <c r="AP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Y87" t="inlineStr">
        <is>
          <t>unknown</t>
        </is>
      </c>
      <c r="Z87" t="inlineStr"/>
      <c r="AA87" t="inlineStr"/>
      <c r="AB87" t="inlineStr"/>
      <c r="AC87" t="inlineStr"/>
      <c r="AD87" t="inlineStr">
        <is>
          <t>לא נמצא בסריקת המפיצים</t>
        </is>
      </c>
      <c r="AE87" t="inlineStr">
        <is>
          <t>סריקת אתרי מפיצים</t>
        </is>
      </c>
      <c r="AG87" t="inlineStr"/>
      <c r="AH87" t="inlineStr"/>
      <c r="AJ87" t="inlineStr">
        <is>
          <t>+441223344900</t>
        </is>
      </c>
      <c r="AK87" t="inlineStr">
        <is>
          <t>info@altemislab.com</t>
        </is>
      </c>
      <c r="AM87" t="inlineStr">
        <is>
          <t>https://www.altemislab.com/contact-us/</t>
        </is>
      </c>
      <c r="AN87" t="inlineStr">
        <is>
          <t>https://www.altemislab.com/contact-us/</t>
        </is>
      </c>
      <c r="AP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Y88" t="inlineStr">
        <is>
          <t>unknown</t>
        </is>
      </c>
      <c r="Z88" t="inlineStr"/>
      <c r="AA88" t="inlineStr"/>
      <c r="AB88" t="inlineStr"/>
      <c r="AC88" t="inlineStr"/>
      <c r="AD88" t="inlineStr">
        <is>
          <t>לא נמצא בסריקת המפיצים</t>
        </is>
      </c>
      <c r="AE88" t="inlineStr">
        <is>
          <t>סריקת אתרי מפיצים</t>
        </is>
      </c>
      <c r="AG88" t="inlineStr"/>
      <c r="AH88" t="inlineStr"/>
      <c r="AJ88" t="inlineStr"/>
      <c r="AM88" t="inlineStr">
        <is>
          <t>https://alxtechnical.com/#contact</t>
        </is>
      </c>
      <c r="AN88" t="inlineStr">
        <is>
          <t>https://alxtechnical.com/#contact</t>
        </is>
      </c>
      <c r="AP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Y89" t="inlineStr">
        <is>
          <t>unknown</t>
        </is>
      </c>
      <c r="Z89" t="inlineStr"/>
      <c r="AA89" t="inlineStr"/>
      <c r="AB89" t="inlineStr"/>
      <c r="AC89" t="inlineStr"/>
      <c r="AD89" t="inlineStr">
        <is>
          <t>מפיץ/נציג בישראל</t>
        </is>
      </c>
      <c r="AE89" t="inlineStr">
        <is>
          <t>סריקת אתרי מפיצים</t>
        </is>
      </c>
      <c r="AF89" t="n">
        <v>2026</v>
      </c>
      <c r="AG89" t="inlineStr">
        <is>
          <t>distributor of Recombinant Proteins, Antibodies, Cell Line, ELISA Kit</t>
        </is>
      </c>
      <c r="AH89" t="inlineStr">
        <is>
          <t>distributor of Recombinant Proteins, Antibodies, Cell Line, ELISA Kit: 054-5544004 info@doronscientific.com</t>
        </is>
      </c>
      <c r="AJ89" t="inlineStr">
        <is>
          <t>630-580-1088</t>
        </is>
      </c>
      <c r="AK89" t="inlineStr">
        <is>
          <t>sales@ambeed.com</t>
        </is>
      </c>
      <c r="AM89" t="inlineStr">
        <is>
          <t>https://www.ambeed.com/contact-us.html</t>
        </is>
      </c>
      <c r="AN89" t="inlineStr">
        <is>
          <t>https://www.ambeed.com/contact-us.html</t>
        </is>
      </c>
      <c r="AP89" t="inlineStr">
        <is>
          <t>https://www.quartzy.com/suppliers | https://doronscientific.com/products/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Y90" t="inlineStr">
        <is>
          <t>unknown</t>
        </is>
      </c>
      <c r="Z90" t="inlineStr"/>
      <c r="AA90" t="inlineStr"/>
      <c r="AB90" t="inlineStr"/>
      <c r="AC90" t="inlineStr"/>
      <c r="AD90" t="inlineStr">
        <is>
          <t>לא נמצא בסריקת המפיצים</t>
        </is>
      </c>
      <c r="AE90" t="inlineStr">
        <is>
          <t>סריקת אתרי מפיצים</t>
        </is>
      </c>
      <c r="AG90" t="inlineStr"/>
      <c r="AH90" t="inlineStr"/>
      <c r="AJ90" t="inlineStr"/>
      <c r="AP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Y91" t="inlineStr">
        <is>
          <t>unknown</t>
        </is>
      </c>
      <c r="Z91" t="inlineStr"/>
      <c r="AA91" t="inlineStr"/>
      <c r="AB91" t="inlineStr"/>
      <c r="AC91" t="inlineStr"/>
      <c r="AD91" t="inlineStr">
        <is>
          <t>לא נמצא בסריקת המפיצים</t>
        </is>
      </c>
      <c r="AE91" t="inlineStr">
        <is>
          <t>סריקת אתרי מפיצים</t>
        </is>
      </c>
      <c r="AG91" t="inlineStr"/>
      <c r="AH91" t="inlineStr"/>
      <c r="AJ91" t="inlineStr"/>
      <c r="AP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Y92" t="inlineStr">
        <is>
          <t>unknown</t>
        </is>
      </c>
      <c r="Z92" t="inlineStr"/>
      <c r="AA92" t="inlineStr"/>
      <c r="AB92" t="inlineStr"/>
      <c r="AC92" t="inlineStr"/>
      <c r="AD92" t="inlineStr">
        <is>
          <t>לא נמצא בסריקת המפיצים</t>
        </is>
      </c>
      <c r="AE92" t="inlineStr">
        <is>
          <t>סריקת אתרי מפיצים</t>
        </is>
      </c>
      <c r="AG92" t="inlineStr"/>
      <c r="AH92" t="inlineStr"/>
      <c r="AJ92" t="inlineStr"/>
      <c r="AP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Y93" t="inlineStr">
        <is>
          <t>unknown</t>
        </is>
      </c>
      <c r="Z93" t="inlineStr"/>
      <c r="AA93" t="inlineStr"/>
      <c r="AB93" t="inlineStr"/>
      <c r="AC93" t="inlineStr"/>
      <c r="AD93" t="inlineStr">
        <is>
          <t>לא נמצא בסריקת המפיצים</t>
        </is>
      </c>
      <c r="AE93" t="inlineStr">
        <is>
          <t>סריקת אתרי מפיצים</t>
        </is>
      </c>
      <c r="AG93" t="inlineStr"/>
      <c r="AH93" t="inlineStr"/>
      <c r="AJ93" t="inlineStr"/>
      <c r="AP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Y94" t="inlineStr">
        <is>
          <t>unknown</t>
        </is>
      </c>
      <c r="Z94" t="inlineStr"/>
      <c r="AA94" t="inlineStr"/>
      <c r="AB94" t="inlineStr"/>
      <c r="AC94" t="inlineStr"/>
      <c r="AD94" t="inlineStr">
        <is>
          <t>לא נמצא בסריקת המפיצים</t>
        </is>
      </c>
      <c r="AE94" t="inlineStr">
        <is>
          <t>סריקת אתרי מפיצים</t>
        </is>
      </c>
      <c r="AG94" t="inlineStr"/>
      <c r="AH94" t="inlineStr"/>
      <c r="AJ94" t="inlineStr">
        <is>
          <t>734.884.4770</t>
        </is>
      </c>
      <c r="AM94" t="inlineStr">
        <is>
          <t>https://american-sp.com/contact-us/</t>
        </is>
      </c>
      <c r="AN94" t="inlineStr">
        <is>
          <t>https://american-sp.com/contact-us/</t>
        </is>
      </c>
      <c r="AP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Y95" t="inlineStr">
        <is>
          <t>unknown</t>
        </is>
      </c>
      <c r="Z95" t="inlineStr"/>
      <c r="AA95" t="inlineStr"/>
      <c r="AB95" t="inlineStr"/>
      <c r="AC95" t="inlineStr"/>
      <c r="AD95" t="inlineStr">
        <is>
          <t>לא נמצא בסריקת המפיצים</t>
        </is>
      </c>
      <c r="AE95" t="inlineStr">
        <is>
          <t>סריקת אתרי מפיצים</t>
        </is>
      </c>
      <c r="AG95" t="inlineStr"/>
      <c r="AH95" t="inlineStr"/>
      <c r="AJ95" t="inlineStr"/>
      <c r="AN95" t="inlineStr">
        <is>
          <t>https://www.ammex.com/</t>
        </is>
      </c>
      <c r="AP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Y96" t="inlineStr">
        <is>
          <t>unknown</t>
        </is>
      </c>
      <c r="Z96" t="inlineStr"/>
      <c r="AA96" t="inlineStr"/>
      <c r="AB96" t="inlineStr"/>
      <c r="AC96" t="inlineStr"/>
      <c r="AD96" t="inlineStr">
        <is>
          <t>לא נמצא בסריקת המפיצים</t>
        </is>
      </c>
      <c r="AE96" t="inlineStr">
        <is>
          <t>סריקת אתרי מפיצים</t>
        </is>
      </c>
      <c r="AG96" t="inlineStr"/>
      <c r="AH96" t="inlineStr"/>
      <c r="AJ96" t="inlineStr"/>
      <c r="AO96" t="inlineStr">
        <is>
          <t>Q134630671</t>
        </is>
      </c>
      <c r="AP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Y97" t="inlineStr">
        <is>
          <t>unknown</t>
        </is>
      </c>
      <c r="Z97" t="inlineStr"/>
      <c r="AA97" t="inlineStr"/>
      <c r="AB97" t="inlineStr"/>
      <c r="AC97" t="inlineStr"/>
      <c r="AD97" t="inlineStr">
        <is>
          <t>מפיץ/נציג בישראל</t>
        </is>
      </c>
      <c r="AE97" t="inlineStr">
        <is>
          <t>סריקת אתרי מפיצים</t>
        </is>
      </c>
      <c r="AF97" t="n">
        <v>2026</v>
      </c>
      <c r="AG97" t="inlineStr">
        <is>
          <t>Tivan Biotech</t>
        </is>
      </c>
      <c r="AH97" t="inlineStr">
        <is>
          <t>Tivan Biotech: 077-4701591 customerservice@tivanbiotech.com</t>
        </is>
      </c>
      <c r="AJ97" t="inlineStr">
        <is>
          <t>+4401235828200</t>
        </is>
      </c>
      <c r="AM97" t="inlineStr">
        <is>
          <t>https://www.amsbio.com/contact-us/</t>
        </is>
      </c>
      <c r="AN97" t="inlineStr">
        <is>
          <t>https://www.amsbio.com/contact-us/</t>
        </is>
      </c>
      <c r="AP97" t="inlineStr">
        <is>
          <t>https://www.quartzy.com/suppliers | https://tivanbiotech.com/manufacturers | https://www.amsbio.com/contact-us/</t>
        </is>
      </c>
    </row>
    <row r="98">
      <c r="A98" t="n">
        <v>97</v>
      </c>
      <c r="B98" t="inlineStr">
        <is>
          <t>Amsino International</t>
        </is>
      </c>
      <c r="C98" t="inlineStr">
        <is>
          <t>T</t>
        </is>
      </c>
      <c r="E98" t="inlineStr">
        <is>
          <t>https://www.thomassci.com/browse-by/suppliers/amsino-international</t>
        </is>
      </c>
      <c r="F98" t="inlineStr"/>
      <c r="J98" t="inlineStr"/>
      <c r="Y98" t="inlineStr">
        <is>
          <t>unknown</t>
        </is>
      </c>
      <c r="Z98" t="inlineStr"/>
      <c r="AA98" t="inlineStr"/>
      <c r="AB98" t="inlineStr"/>
      <c r="AC98" t="inlineStr"/>
      <c r="AD98" t="inlineStr">
        <is>
          <t>לא נמצא בסריקת המפיצים</t>
        </is>
      </c>
      <c r="AE98" t="inlineStr">
        <is>
          <t>סריקת אתרי מפיצים</t>
        </is>
      </c>
      <c r="AG98" t="inlineStr"/>
      <c r="AH98" t="inlineStr"/>
      <c r="AJ98" t="inlineStr"/>
      <c r="AP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is>
          <t>צרפת</t>
        </is>
      </c>
      <c r="K99" t="inlineStr">
        <is>
          <t>Villebon-sur-Yvette</t>
        </is>
      </c>
      <c r="M99" t="inlineStr">
        <is>
          <t>1991</t>
        </is>
      </c>
      <c r="Y99" t="inlineStr">
        <is>
          <t>unknown</t>
        </is>
      </c>
      <c r="Z99" t="inlineStr"/>
      <c r="AA99" t="inlineStr"/>
      <c r="AB99" t="inlineStr"/>
      <c r="AC99" t="inlineStr"/>
      <c r="AD99" t="inlineStr">
        <is>
          <t>לא נמצא בסריקת המפיצים</t>
        </is>
      </c>
      <c r="AE99" t="inlineStr">
        <is>
          <t>סריקת אתרי מפיצים</t>
        </is>
      </c>
      <c r="AG99" t="inlineStr"/>
      <c r="AH99" t="inlineStr"/>
      <c r="AJ99" t="inlineStr"/>
      <c r="AK99" t="inlineStr">
        <is>
          <t>info@analytichem.com</t>
        </is>
      </c>
      <c r="AL99" t="inlineStr">
        <is>
          <t>Villebon-sur-Yvette</t>
        </is>
      </c>
      <c r="AM99" t="inlineStr">
        <is>
          <t>https://www.analytichem.com/contact-us</t>
        </is>
      </c>
      <c r="AN99" t="inlineStr">
        <is>
          <t>https://www.analytichem.com/contact-us</t>
        </is>
      </c>
      <c r="AO99" t="inlineStr">
        <is>
          <t>Q134630749</t>
        </is>
      </c>
      <c r="AP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company</t>
        </is>
      </c>
      <c r="P100" t="n">
        <v>1000</v>
      </c>
      <c r="Q100" t="n">
        <v>2024</v>
      </c>
      <c r="R100" t="inlineStr">
        <is>
          <t>estimate</t>
        </is>
      </c>
      <c r="S100" t="inlineStr">
        <is>
          <t>prior</t>
        </is>
      </c>
      <c r="T100" t="n">
        <v>200</v>
      </c>
      <c r="U100" t="inlineStr">
        <is>
          <t>EUR ~180 million (trade estimate)</t>
        </is>
      </c>
      <c r="V100" t="inlineStr">
        <is>
          <t>2024 (estimate)</t>
        </is>
      </c>
      <c r="W100" t="inlineStr">
        <is>
          <t>estimate</t>
        </is>
      </c>
      <c r="X100" t="inlineStr">
        <is>
          <t>prior</t>
        </is>
      </c>
      <c r="Y100" t="inlineStr">
        <is>
          <t>estimate</t>
        </is>
      </c>
      <c r="Z100" t="inlineStr">
        <is>
          <t>PlasmaQuant 9100 / PlasmaQuant MS</t>
        </is>
      </c>
      <c r="AA100" t="inlineStr">
        <is>
          <t>contrAA 800</t>
        </is>
      </c>
      <c r="AB100" t="inlineStr">
        <is>
          <t>multi N/C series</t>
        </is>
      </c>
      <c r="AC100" t="inlineStr">
        <is>
          <t>prior</t>
        </is>
      </c>
      <c r="AD100" t="inlineStr">
        <is>
          <t>מפיץ/נציג בישראל</t>
        </is>
      </c>
      <c r="AE100" t="inlineStr">
        <is>
          <t>אומת</t>
        </is>
      </c>
      <c r="AF100" t="n">
        <v>2026</v>
      </c>
      <c r="AG100" t="inlineStr">
        <is>
          <t>Lifegene; Tamar Laboratory Supplies; Lumitron</t>
        </is>
      </c>
      <c r="AH100" t="inlineStr">
        <is>
          <t>Lifegene: +972 8-644-4314 info@lifegene.co.il; Tamar Laboratory Supplies: +972 2-533-6070 (also 02-579-9777); Lumitron: +972 52-525-6287</t>
        </is>
      </c>
      <c r="AI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J100" t="inlineStr">
        <is>
          <t>+49 3641 77-70</t>
        </is>
      </c>
      <c r="AK100" t="inlineStr">
        <is>
          <t>info@analytik-jena.com</t>
        </is>
      </c>
      <c r="AL100" t="inlineStr">
        <is>
          <t>Konrad-Zuse-Str. 1, 07745 Jena, Germany</t>
        </is>
      </c>
      <c r="AM100" t="inlineStr">
        <is>
          <t>https://analytik-jena.com/contact</t>
        </is>
      </c>
      <c r="AN100" t="inlineStr">
        <is>
          <t>https://www.analytik-jena.fr/en/print/company/career/contact.html</t>
        </is>
      </c>
      <c r="AO100" t="inlineStr">
        <is>
          <t>Q136196</t>
        </is>
      </c>
      <c r="AP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Y101" t="inlineStr">
        <is>
          <t>unknown</t>
        </is>
      </c>
      <c r="Z101" t="inlineStr"/>
      <c r="AA101" t="inlineStr"/>
      <c r="AB101" t="inlineStr"/>
      <c r="AC101" t="inlineStr"/>
      <c r="AD101" t="inlineStr">
        <is>
          <t>לא נמצא בסריקת המפיצים</t>
        </is>
      </c>
      <c r="AE101" t="inlineStr">
        <is>
          <t>סריקת אתרי מפיצים</t>
        </is>
      </c>
      <c r="AG101" t="inlineStr"/>
      <c r="AH101" t="inlineStr"/>
      <c r="AJ101" t="inlineStr">
        <is>
          <t>+18004525530</t>
        </is>
      </c>
      <c r="AK101" t="inlineStr">
        <is>
          <t>service@anaspec.com</t>
        </is>
      </c>
      <c r="AM101" t="inlineStr">
        <is>
          <t>https://www.anaspec.com/en/contact</t>
        </is>
      </c>
      <c r="AN101" t="inlineStr">
        <is>
          <t>https://www.anaspec.com/en/contact</t>
        </is>
      </c>
      <c r="AP101" t="inlineStr">
        <is>
          <t>https://www.quartzy.com/suppliers | https://www.anaspec.com/en/contact</t>
        </is>
      </c>
    </row>
    <row r="102">
      <c r="A102" t="n">
        <v>101</v>
      </c>
      <c r="B102" t="inlineStr">
        <is>
          <t>Anatrace</t>
        </is>
      </c>
      <c r="C102" t="inlineStr">
        <is>
          <t>Q</t>
        </is>
      </c>
      <c r="F102" t="inlineStr">
        <is>
          <t>yes</t>
        </is>
      </c>
      <c r="H102" t="inlineStr">
        <is>
          <t>https://www.anatrace.com</t>
        </is>
      </c>
      <c r="I102" t="inlineStr">
        <is>
          <t>manual</t>
        </is>
      </c>
      <c r="J102" t="inlineStr"/>
      <c r="Y102" t="inlineStr">
        <is>
          <t>unknown</t>
        </is>
      </c>
      <c r="Z102" t="inlineStr"/>
      <c r="AA102" t="inlineStr"/>
      <c r="AB102" t="inlineStr"/>
      <c r="AC102" t="inlineStr"/>
      <c r="AD102" t="inlineStr">
        <is>
          <t>לא נמצא בסריקת המפיצים</t>
        </is>
      </c>
      <c r="AE102" t="inlineStr">
        <is>
          <t>סריקת אתרי מפיצים</t>
        </is>
      </c>
      <c r="AG102" t="inlineStr"/>
      <c r="AH102" t="inlineStr"/>
      <c r="AJ102" t="inlineStr"/>
      <c r="AK102" t="inlineStr">
        <is>
          <t>customerservice@anatrace.com</t>
        </is>
      </c>
      <c r="AN102" t="inlineStr">
        <is>
          <t>https://anatrace.com/en</t>
        </is>
      </c>
      <c r="AP102" t="inlineStr">
        <is>
          <t>https://www.quartzy.com/suppliers | https://anatrace.com/en</t>
        </is>
      </c>
    </row>
    <row r="103">
      <c r="A103" t="n">
        <v>102</v>
      </c>
      <c r="B103" t="inlineStr">
        <is>
          <t>Andrews Glass Co.</t>
        </is>
      </c>
      <c r="C103" t="inlineStr">
        <is>
          <t>T</t>
        </is>
      </c>
      <c r="E103" t="inlineStr">
        <is>
          <t>https://www.thomassci.com/browse-by/suppliers/andrews-glass-co-</t>
        </is>
      </c>
      <c r="F103" t="inlineStr"/>
      <c r="J103" t="inlineStr"/>
      <c r="Y103" t="inlineStr">
        <is>
          <t>unknown</t>
        </is>
      </c>
      <c r="Z103" t="inlineStr"/>
      <c r="AA103" t="inlineStr"/>
      <c r="AB103" t="inlineStr"/>
      <c r="AC103" t="inlineStr"/>
      <c r="AD103" t="inlineStr">
        <is>
          <t>לא נמצא בסריקת המפיצים</t>
        </is>
      </c>
      <c r="AE103" t="inlineStr">
        <is>
          <t>סריקת אתרי מפיצים</t>
        </is>
      </c>
      <c r="AG103" t="inlineStr"/>
      <c r="AH103" t="inlineStr"/>
      <c r="AJ103" t="inlineStr"/>
      <c r="AP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Y104" t="inlineStr">
        <is>
          <t>unknown</t>
        </is>
      </c>
      <c r="Z104" t="inlineStr"/>
      <c r="AA104" t="inlineStr"/>
      <c r="AB104" t="inlineStr"/>
      <c r="AC104" t="inlineStr"/>
      <c r="AD104" t="inlineStr">
        <is>
          <t>לא נמצא בסריקת המפיצים</t>
        </is>
      </c>
      <c r="AE104" t="inlineStr">
        <is>
          <t>סריקת אתרי מפיצים</t>
        </is>
      </c>
      <c r="AG104" t="inlineStr"/>
      <c r="AH104" t="inlineStr"/>
      <c r="AJ104" t="inlineStr"/>
      <c r="AP104" t="inlineStr">
        <is>
          <t>https://www.quartzy.com/suppliers</t>
        </is>
      </c>
    </row>
    <row r="105">
      <c r="A105" t="n">
        <v>104</v>
      </c>
      <c r="B105" t="inlineStr">
        <is>
          <t>Anios</t>
        </is>
      </c>
      <c r="C105" t="inlineStr">
        <is>
          <t>D</t>
        </is>
      </c>
      <c r="D105" t="inlineStr">
        <is>
          <t>https://www.dutscher.com/search?initialFilters=brand:Anios</t>
        </is>
      </c>
      <c r="F105" t="inlineStr"/>
      <c r="J105" t="inlineStr"/>
      <c r="Y105" t="inlineStr">
        <is>
          <t>unknown</t>
        </is>
      </c>
      <c r="Z105" t="inlineStr"/>
      <c r="AA105" t="inlineStr"/>
      <c r="AB105" t="inlineStr"/>
      <c r="AC105" t="inlineStr"/>
      <c r="AD105" t="inlineStr">
        <is>
          <t>לא נמצא בסריקת המפיצים</t>
        </is>
      </c>
      <c r="AE105" t="inlineStr">
        <is>
          <t>סריקת אתרי מפיצים</t>
        </is>
      </c>
      <c r="AG105" t="inlineStr"/>
      <c r="AH105" t="inlineStr"/>
      <c r="AJ105" t="inlineStr"/>
      <c r="AP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clearbit_verified</t>
        </is>
      </c>
      <c r="J106" t="inlineStr"/>
      <c r="Y106" t="inlineStr">
        <is>
          <t>unknown</t>
        </is>
      </c>
      <c r="Z106" t="inlineStr"/>
      <c r="AA106" t="inlineStr"/>
      <c r="AB106" t="inlineStr"/>
      <c r="AC106" t="inlineStr"/>
      <c r="AD106" t="inlineStr">
        <is>
          <t>לא נמצא בחיפוש ראשוני</t>
        </is>
      </c>
      <c r="AE106" t="inlineStr">
        <is>
          <t>חיפוש חלקי</t>
        </is>
      </c>
      <c r="AG106" t="inlineStr"/>
      <c r="AH106" t="inlineStr"/>
      <c r="AI106" t="inlineStr">
        <is>
          <t>Ansell cites 100+ countries and an authorized-distributor network; only a UK distributor appeared; no Israel mention.</t>
        </is>
      </c>
      <c r="AJ106" t="inlineStr">
        <is>
          <t>800-800-0444</t>
        </is>
      </c>
      <c r="AM106" t="inlineStr">
        <is>
          <t>https://www.ansell.com/us/en/contact-us</t>
        </is>
      </c>
      <c r="AN106" t="inlineStr">
        <is>
          <t>https://www.ansell.com/us/en/contact-us</t>
        </is>
      </c>
      <c r="AP106" t="inlineStr">
        <is>
          <t>https://www.dutscher.com/search?initialFilters=brand:Ansell | https://www.thomassci.com/browse-by/suppliers/ansell | https://www.ansell.com/us/en/contact-us</t>
        </is>
      </c>
    </row>
    <row r="107">
      <c r="A107" t="n">
        <v>106</v>
      </c>
      <c r="B107" t="inlineStr">
        <is>
          <t>Antibodies, Inc</t>
        </is>
      </c>
      <c r="C107" t="inlineStr">
        <is>
          <t>Q+Q+</t>
        </is>
      </c>
      <c r="F107" t="inlineStr">
        <is>
          <t>yes +new</t>
        </is>
      </c>
      <c r="J107" t="inlineStr"/>
      <c r="O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Y107" t="inlineStr">
        <is>
          <t>unknown</t>
        </is>
      </c>
      <c r="Z107" t="inlineStr"/>
      <c r="AA107" t="inlineStr"/>
      <c r="AB107" t="inlineStr"/>
      <c r="AC107" t="inlineStr"/>
      <c r="AD107" t="inlineStr">
        <is>
          <t>לא נמצא בחיפוש ראשוני</t>
        </is>
      </c>
      <c r="AE107" t="inlineStr">
        <is>
          <t>חיפוש חלקי</t>
        </is>
      </c>
      <c r="AG107" t="inlineStr"/>
      <c r="AH107" t="inlineStr"/>
      <c r="AI107" t="inlineStr">
        <is>
          <t>antibodiesinc.com has a 'Global Distribution Partners' page but the snippet showed no Israel entry. A 'Zotal (Tel Aviv)' Israel listing surfaced, but it is on antibodies.com (a different UK company), so it is not attributable to Antibodies Inc.</t>
        </is>
      </c>
      <c r="AJ107" t="inlineStr"/>
      <c r="AP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Y108" t="inlineStr">
        <is>
          <t>unknown</t>
        </is>
      </c>
      <c r="Z108" t="inlineStr"/>
      <c r="AA108" t="inlineStr"/>
      <c r="AB108" t="inlineStr"/>
      <c r="AC108" t="inlineStr"/>
      <c r="AD108" t="inlineStr">
        <is>
          <t>לא נמצא בסריקת המפיצים</t>
        </is>
      </c>
      <c r="AE108" t="inlineStr">
        <is>
          <t>סריקת אתרי מפיצים</t>
        </is>
      </c>
      <c r="AG108" t="inlineStr"/>
      <c r="AH108" t="inlineStr"/>
      <c r="AJ108" t="inlineStr">
        <is>
          <t>92-0384576</t>
        </is>
      </c>
      <c r="AK108" t="inlineStr">
        <is>
          <t>info@antibodies.com</t>
        </is>
      </c>
      <c r="AM108" t="inlineStr">
        <is>
          <t>https://www.antibodies.com/support/contact-us</t>
        </is>
      </c>
      <c r="AN108" t="inlineStr">
        <is>
          <t>https://www.antibodies.com/support/contact-us</t>
        </is>
      </c>
      <c r="AP108" t="inlineStr">
        <is>
          <t>https://www.quartzy.com/suppliers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P109" t="n">
        <v>4500</v>
      </c>
      <c r="Q109" t="n">
        <v>2025</v>
      </c>
      <c r="R109" t="inlineStr">
        <is>
          <t>company</t>
        </is>
      </c>
      <c r="S109" t="inlineStr">
        <is>
          <t>prior</t>
        </is>
      </c>
      <c r="T109" t="n">
        <v>692</v>
      </c>
      <c r="U109" t="inlineStr">
        <is>
          <t>EUR 629 million</t>
        </is>
      </c>
      <c r="V109" t="inlineStr">
        <is>
          <t>FY2025</t>
        </is>
      </c>
      <c r="W109" t="inlineStr">
        <is>
          <t>company</t>
        </is>
      </c>
      <c r="X109" t="inlineStr">
        <is>
          <t>prior</t>
        </is>
      </c>
      <c r="Y109" t="inlineStr">
        <is>
          <t>reported</t>
        </is>
      </c>
      <c r="Z109" t="inlineStr">
        <is>
          <t>DMA density meters (e.g. DMA 5000 M)</t>
        </is>
      </c>
      <c r="AA109" t="inlineStr">
        <is>
          <t>MCR rheometer series (e.g. MCR 702e)</t>
        </is>
      </c>
      <c r="AB109" t="inlineStr">
        <is>
          <t>Multiwave 5000 / 7000</t>
        </is>
      </c>
      <c r="AC109" t="inlineStr">
        <is>
          <t>prior</t>
        </is>
      </c>
      <c r="AD109" t="inlineStr">
        <is>
          <t>מפיץ/נציג בישראל</t>
        </is>
      </c>
      <c r="AE109" t="inlineStr">
        <is>
          <t>אומת</t>
        </is>
      </c>
      <c r="AF109" t="n">
        <v>2026</v>
      </c>
      <c r="AG109" t="inlineStr">
        <is>
          <t>Prime Lab Scientific Instruments Ltd.</t>
        </is>
      </c>
      <c r="AH109" t="inlineStr">
        <is>
          <t>Prime Lab Scientific Instruments Ltd.:</t>
        </is>
      </c>
      <c r="AI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J109" t="inlineStr">
        <is>
          <t>+43 316 257-0</t>
        </is>
      </c>
      <c r="AL109" t="inlineStr">
        <is>
          <t>Anton-Paar-Straße 20, 8054 Graz, Austria</t>
        </is>
      </c>
      <c r="AN109" t="inlineStr">
        <is>
          <t>https://fluidhandlingpro.com/manufacturers/anton-paar-gmbh/</t>
        </is>
      </c>
      <c r="AP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O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Y110" t="inlineStr">
        <is>
          <t>unknown</t>
        </is>
      </c>
      <c r="Z110" t="inlineStr"/>
      <c r="AA110" t="inlineStr"/>
      <c r="AB110" t="inlineStr"/>
      <c r="AC110" t="inlineStr"/>
      <c r="AD110" t="inlineStr">
        <is>
          <t>לא נמצא בחיפוש ראשוני</t>
        </is>
      </c>
      <c r="AE110" t="inlineStr">
        <is>
          <t>חיפוש חלקי</t>
        </is>
      </c>
      <c r="AG110" t="inlineStr"/>
      <c r="AH110" t="inlineStr"/>
      <c r="AI110" t="inlineStr">
        <is>
          <t>Only AOBChem USA company profiles (Knowde, scientist.com); Israeli chemical distributors Orokia and BSC Distributors appeared with no link to AOBChem.</t>
        </is>
      </c>
      <c r="AJ110" t="inlineStr"/>
      <c r="AP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Y111" t="inlineStr">
        <is>
          <t>unknown</t>
        </is>
      </c>
      <c r="Z111" t="inlineStr"/>
      <c r="AA111" t="inlineStr"/>
      <c r="AB111" t="inlineStr"/>
      <c r="AC111" t="inlineStr"/>
      <c r="AD111" t="inlineStr">
        <is>
          <t>לא נמצא בסריקת המפיצים</t>
        </is>
      </c>
      <c r="AE111" t="inlineStr">
        <is>
          <t>סריקת אתרי מפיצים</t>
        </is>
      </c>
      <c r="AG111" t="inlineStr"/>
      <c r="AH111" t="inlineStr"/>
      <c r="AJ111" t="inlineStr"/>
      <c r="AP111" t="inlineStr">
        <is>
          <t>https://www.dutscher.com/search?initialFilters=brand:Apelex</t>
        </is>
      </c>
    </row>
    <row r="112">
      <c r="A112" t="n">
        <v>111</v>
      </c>
      <c r="B112" t="inlineStr">
        <is>
          <t>ApexBio</t>
        </is>
      </c>
      <c r="C112" t="inlineStr">
        <is>
          <t>Q</t>
        </is>
      </c>
      <c r="F112" t="inlineStr">
        <is>
          <t>yes</t>
        </is>
      </c>
      <c r="J112" t="inlineStr"/>
      <c r="Y112" t="inlineStr">
        <is>
          <t>unknown</t>
        </is>
      </c>
      <c r="Z112" t="inlineStr"/>
      <c r="AA112" t="inlineStr"/>
      <c r="AB112" t="inlineStr"/>
      <c r="AC112" t="inlineStr"/>
      <c r="AD112" t="inlineStr">
        <is>
          <t>לא נמצא בסריקת המפיצים</t>
        </is>
      </c>
      <c r="AE112" t="inlineStr">
        <is>
          <t>סריקת אתרי מפיצים</t>
        </is>
      </c>
      <c r="AG112" t="inlineStr"/>
      <c r="AH112" t="inlineStr"/>
      <c r="AJ112" t="inlineStr"/>
      <c r="AP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Y113" t="inlineStr">
        <is>
          <t>unknown</t>
        </is>
      </c>
      <c r="Z113" t="inlineStr"/>
      <c r="AA113" t="inlineStr"/>
      <c r="AB113" t="inlineStr"/>
      <c r="AC113" t="inlineStr"/>
      <c r="AD113" t="inlineStr">
        <is>
          <t>לא נמצא בסריקת המפיצים</t>
        </is>
      </c>
      <c r="AE113" t="inlineStr">
        <is>
          <t>סריקת אתרי מפיצים</t>
        </is>
      </c>
      <c r="AG113" t="inlineStr"/>
      <c r="AH113" t="inlineStr"/>
      <c r="AJ113" t="inlineStr">
        <is>
          <t>161 864 5419</t>
        </is>
      </c>
      <c r="AM113" t="inlineStr">
        <is>
          <t>https://apiezon.com/contact-us/</t>
        </is>
      </c>
      <c r="AN113" t="inlineStr">
        <is>
          <t>https://apiezon.com/contact-us/</t>
        </is>
      </c>
      <c r="AP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Y114" t="inlineStr">
        <is>
          <t>unknown</t>
        </is>
      </c>
      <c r="Z114" t="inlineStr"/>
      <c r="AA114" t="inlineStr"/>
      <c r="AB114" t="inlineStr"/>
      <c r="AC114" t="inlineStr"/>
      <c r="AD114" t="inlineStr">
        <is>
          <t>לא נמצא בסריקת המפיצים</t>
        </is>
      </c>
      <c r="AE114" t="inlineStr">
        <is>
          <t>סריקת אתרי מפיצים</t>
        </is>
      </c>
      <c r="AG114" t="inlineStr"/>
      <c r="AH114" t="inlineStr"/>
      <c r="AJ114" t="inlineStr">
        <is>
          <t>161 938 8179</t>
        </is>
      </c>
      <c r="AK114" t="inlineStr">
        <is>
          <t>info@apisassay.com</t>
        </is>
      </c>
      <c r="AM114" t="inlineStr">
        <is>
          <t>https://www.apisassay.com/contact</t>
        </is>
      </c>
      <c r="AN114" t="inlineStr">
        <is>
          <t>https://www.apisassay.com/contact</t>
        </is>
      </c>
      <c r="AP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Y115" t="inlineStr">
        <is>
          <t>unknown</t>
        </is>
      </c>
      <c r="Z115" t="inlineStr"/>
      <c r="AA115" t="inlineStr"/>
      <c r="AB115" t="inlineStr"/>
      <c r="AC115" t="inlineStr"/>
      <c r="AD115" t="inlineStr">
        <is>
          <t>לא נמצא בסריקת המפיצים</t>
        </is>
      </c>
      <c r="AE115" t="inlineStr">
        <is>
          <t>סריקת אתרי מפיצים</t>
        </is>
      </c>
      <c r="AG115" t="inlineStr"/>
      <c r="AH115" t="inlineStr"/>
      <c r="AJ115" t="inlineStr"/>
      <c r="AP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Y116" t="inlineStr">
        <is>
          <t>unknown</t>
        </is>
      </c>
      <c r="Z116" t="inlineStr"/>
      <c r="AA116" t="inlineStr"/>
      <c r="AB116" t="inlineStr"/>
      <c r="AC116" t="inlineStr"/>
      <c r="AD116" t="inlineStr">
        <is>
          <t>לא נמצא בסריקת המפיצים</t>
        </is>
      </c>
      <c r="AE116" t="inlineStr">
        <is>
          <t>סריקת אתרי מפיצים</t>
        </is>
      </c>
      <c r="AG116" t="inlineStr"/>
      <c r="AH116" t="inlineStr"/>
      <c r="AJ116" t="inlineStr">
        <is>
          <t>610-770-0900</t>
        </is>
      </c>
      <c r="AM116" t="inlineStr">
        <is>
          <t>https://appliedseparations.com/contact/</t>
        </is>
      </c>
      <c r="AN116" t="inlineStr">
        <is>
          <t>https://appliedseparations.com/contact/</t>
        </is>
      </c>
      <c r="AP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Y117" t="inlineStr">
        <is>
          <t>unknown</t>
        </is>
      </c>
      <c r="Z117" t="inlineStr"/>
      <c r="AA117" t="inlineStr"/>
      <c r="AB117" t="inlineStr"/>
      <c r="AC117" t="inlineStr"/>
      <c r="AD117" t="inlineStr">
        <is>
          <t>לא נמצא בסריקת המפיצים</t>
        </is>
      </c>
      <c r="AE117" t="inlineStr">
        <is>
          <t>סריקת אתרי מפיצים</t>
        </is>
      </c>
      <c r="AG117" t="inlineStr"/>
      <c r="AH117" t="inlineStr"/>
      <c r="AJ117" t="inlineStr"/>
      <c r="AP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Y118" t="inlineStr">
        <is>
          <t>unknown</t>
        </is>
      </c>
      <c r="Z118" t="inlineStr"/>
      <c r="AA118" t="inlineStr"/>
      <c r="AB118" t="inlineStr"/>
      <c r="AC118" t="inlineStr"/>
      <c r="AD118" t="inlineStr">
        <is>
          <t>לא נמצא בסריקת המפיצים</t>
        </is>
      </c>
      <c r="AE118" t="inlineStr">
        <is>
          <t>סריקת אתרי מפיצים</t>
        </is>
      </c>
      <c r="AG118" t="inlineStr"/>
      <c r="AH118" t="inlineStr"/>
      <c r="AJ118" t="inlineStr">
        <is>
          <t>717-632-1291</t>
        </is>
      </c>
      <c r="AK118" t="inlineStr">
        <is>
          <t>info@aquaphoenixsci.com</t>
        </is>
      </c>
      <c r="AM118" t="inlineStr">
        <is>
          <t>https://www.aquaphoenixsci.com/contact-us/</t>
        </is>
      </c>
      <c r="AN118" t="inlineStr">
        <is>
          <t>https://www.aquaphoenixsci.com/contact-us/</t>
        </is>
      </c>
      <c r="AP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Y119" t="inlineStr">
        <is>
          <t>unknown</t>
        </is>
      </c>
      <c r="Z119" t="inlineStr"/>
      <c r="AA119" t="inlineStr"/>
      <c r="AB119" t="inlineStr"/>
      <c r="AC119" t="inlineStr"/>
      <c r="AD119" t="inlineStr">
        <is>
          <t>לא נמצא בסריקת המפיצים</t>
        </is>
      </c>
      <c r="AE119" t="inlineStr">
        <is>
          <t>סריקת אתרי מפיצים</t>
        </is>
      </c>
      <c r="AG119" t="inlineStr"/>
      <c r="AH119" t="inlineStr"/>
      <c r="AJ119" t="inlineStr"/>
      <c r="AP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Y120" t="inlineStr">
        <is>
          <t>unknown</t>
        </is>
      </c>
      <c r="Z120" t="inlineStr"/>
      <c r="AA120" t="inlineStr"/>
      <c r="AB120" t="inlineStr"/>
      <c r="AC120" t="inlineStr"/>
      <c r="AD120" t="inlineStr">
        <is>
          <t>לא נמצא בסריקת המפיצים</t>
        </is>
      </c>
      <c r="AE120" t="inlineStr">
        <is>
          <t>סריקת אתרי מפיצים</t>
        </is>
      </c>
      <c r="AG120" t="inlineStr"/>
      <c r="AH120" t="inlineStr"/>
      <c r="AJ120" t="inlineStr">
        <is>
          <t>+1 (734) 677-1774</t>
        </is>
      </c>
      <c r="AK120" t="inlineStr">
        <is>
          <t>info@arborassays.com</t>
        </is>
      </c>
      <c r="AM120" t="inlineStr">
        <is>
          <t>https://www.arborassays.com/contact-us/</t>
        </is>
      </c>
      <c r="AN120" t="inlineStr">
        <is>
          <t>https://www.arborassays.com/contact-us/</t>
        </is>
      </c>
      <c r="AP120" t="inlineStr">
        <is>
          <t>https://www.quartzy.com/suppliers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Y121" t="inlineStr">
        <is>
          <t>unknown</t>
        </is>
      </c>
      <c r="Z121" t="inlineStr"/>
      <c r="AA121" t="inlineStr"/>
      <c r="AB121" t="inlineStr"/>
      <c r="AC121" t="inlineStr"/>
      <c r="AD121" t="inlineStr">
        <is>
          <t>לא נמצא בסריקת המפיצים</t>
        </is>
      </c>
      <c r="AE121" t="inlineStr">
        <is>
          <t>סריקת אתרי מפיצים</t>
        </is>
      </c>
      <c r="AG121" t="inlineStr"/>
      <c r="AH121" t="inlineStr"/>
      <c r="AJ121" t="inlineStr">
        <is>
          <t>+4352613976</t>
        </is>
      </c>
      <c r="AK121" t="inlineStr">
        <is>
          <t>info@arcuspure.com</t>
        </is>
      </c>
      <c r="AM121" t="inlineStr">
        <is>
          <t>https://arcuspure.com/contact-us/</t>
        </is>
      </c>
      <c r="AN121" t="inlineStr">
        <is>
          <t>https://arcuspure.com/contact-us/</t>
        </is>
      </c>
      <c r="AP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Y122" t="inlineStr">
        <is>
          <t>unknown</t>
        </is>
      </c>
      <c r="Z122" t="inlineStr"/>
      <c r="AA122" t="inlineStr"/>
      <c r="AB122" t="inlineStr"/>
      <c r="AC122" t="inlineStr"/>
      <c r="AD122" t="inlineStr">
        <is>
          <t>לא נמצא בסריקת המפיצים</t>
        </is>
      </c>
      <c r="AE122" t="inlineStr">
        <is>
          <t>סריקת אתרי מפיצים</t>
        </is>
      </c>
      <c r="AG122" t="inlineStr"/>
      <c r="AH122" t="inlineStr"/>
      <c r="AJ122" t="inlineStr"/>
      <c r="AP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Y123" t="inlineStr">
        <is>
          <t>unknown</t>
        </is>
      </c>
      <c r="Z123" t="inlineStr"/>
      <c r="AA123" t="inlineStr"/>
      <c r="AB123" t="inlineStr"/>
      <c r="AC123" t="inlineStr"/>
      <c r="AD123" t="inlineStr">
        <is>
          <t>לא נמצא בסריקת המפיצים</t>
        </is>
      </c>
      <c r="AE123" t="inlineStr">
        <is>
          <t>סריקת אתרי מפיצים</t>
        </is>
      </c>
      <c r="AG123" t="inlineStr"/>
      <c r="AH123" t="inlineStr"/>
      <c r="AJ123" t="inlineStr"/>
      <c r="AP123" t="inlineStr">
        <is>
          <t>https://www.thomassci.com/browse-by/suppliers/aries-a-resintech-brand</t>
        </is>
      </c>
    </row>
    <row r="124">
      <c r="A124" t="n">
        <v>123</v>
      </c>
      <c r="B124" t="inlineStr">
        <is>
          <t>Arista Biologicals Inc</t>
        </is>
      </c>
      <c r="C124" t="inlineStr">
        <is>
          <t>Q</t>
        </is>
      </c>
      <c r="F124" t="inlineStr">
        <is>
          <t>yes</t>
        </is>
      </c>
      <c r="J124" t="inlineStr"/>
      <c r="Y124" t="inlineStr">
        <is>
          <t>unknown</t>
        </is>
      </c>
      <c r="Z124" t="inlineStr"/>
      <c r="AA124" t="inlineStr"/>
      <c r="AB124" t="inlineStr"/>
      <c r="AC124" t="inlineStr"/>
      <c r="AD124" t="inlineStr">
        <is>
          <t>לא נמצא בסריקת המפיצים</t>
        </is>
      </c>
      <c r="AE124" t="inlineStr">
        <is>
          <t>סריקת אתרי מפיצים</t>
        </is>
      </c>
      <c r="AG124" t="inlineStr"/>
      <c r="AH124" t="inlineStr"/>
      <c r="AJ124" t="inlineStr"/>
      <c r="AP124" t="inlineStr">
        <is>
          <t>https://www.quartzy.com/suppliers</t>
        </is>
      </c>
    </row>
    <row r="125">
      <c r="A125" t="n">
        <v>124</v>
      </c>
      <c r="B125" t="inlineStr">
        <is>
          <t>Ark Pharm</t>
        </is>
      </c>
      <c r="C125" t="inlineStr">
        <is>
          <t>Q</t>
        </is>
      </c>
      <c r="F125" t="inlineStr">
        <is>
          <t>yes</t>
        </is>
      </c>
      <c r="J125" t="inlineStr"/>
      <c r="Y125" t="inlineStr">
        <is>
          <t>unknown</t>
        </is>
      </c>
      <c r="Z125" t="inlineStr"/>
      <c r="AA125" t="inlineStr"/>
      <c r="AB125" t="inlineStr"/>
      <c r="AC125" t="inlineStr"/>
      <c r="AD125" t="inlineStr">
        <is>
          <t>לא נמצא בסריקת המפיצים</t>
        </is>
      </c>
      <c r="AE125" t="inlineStr">
        <is>
          <t>סריקת אתרי מפיצים</t>
        </is>
      </c>
      <c r="AG125" t="inlineStr"/>
      <c r="AH125" t="inlineStr"/>
      <c r="AJ125" t="inlineStr"/>
      <c r="AP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Y126" t="inlineStr">
        <is>
          <t>unknown</t>
        </is>
      </c>
      <c r="Z126" t="inlineStr"/>
      <c r="AA126" t="inlineStr"/>
      <c r="AB126" t="inlineStr"/>
      <c r="AC126" t="inlineStr"/>
      <c r="AD126" t="inlineStr">
        <is>
          <t>לא נמצא בסריקת המפיצים</t>
        </is>
      </c>
      <c r="AE126" t="inlineStr">
        <is>
          <t>סריקת אתרי מפיצים</t>
        </is>
      </c>
      <c r="AG126" t="inlineStr"/>
      <c r="AH126" t="inlineStr"/>
      <c r="AJ126" t="inlineStr"/>
      <c r="AP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Y127" t="inlineStr">
        <is>
          <t>unknown</t>
        </is>
      </c>
      <c r="Z127" t="inlineStr"/>
      <c r="AA127" t="inlineStr"/>
      <c r="AB127" t="inlineStr"/>
      <c r="AC127" t="inlineStr"/>
      <c r="AD127" t="inlineStr">
        <is>
          <t>לא נמצא בסריקת המפיצים</t>
        </is>
      </c>
      <c r="AE127" t="inlineStr">
        <is>
          <t>סריקת אתרי מפיצים</t>
        </is>
      </c>
      <c r="AG127" t="inlineStr"/>
      <c r="AH127" t="inlineStr"/>
      <c r="AJ127" t="inlineStr">
        <is>
          <t>(866) 649-6505</t>
        </is>
      </c>
      <c r="AM127" t="inlineStr">
        <is>
          <t>https://www.arrowmixingproducts.com/contact-us/</t>
        </is>
      </c>
      <c r="AN127" t="inlineStr">
        <is>
          <t>https://www.arrowmixingproducts.com/contact-us/</t>
        </is>
      </c>
      <c r="AP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Y128" t="inlineStr">
        <is>
          <t>unknown</t>
        </is>
      </c>
      <c r="Z128" t="inlineStr"/>
      <c r="AA128" t="inlineStr"/>
      <c r="AB128" t="inlineStr"/>
      <c r="AC128" t="inlineStr"/>
      <c r="AD128" t="inlineStr">
        <is>
          <t>לא נמצא בסריקת המפיצים</t>
        </is>
      </c>
      <c r="AE128" t="inlineStr">
        <is>
          <t>סריקת אתרי מפיצים</t>
        </is>
      </c>
      <c r="AG128" t="inlineStr"/>
      <c r="AH128" t="inlineStr"/>
      <c r="AJ128" t="inlineStr">
        <is>
          <t>9138948388</t>
        </is>
      </c>
      <c r="AK128" t="inlineStr">
        <is>
          <t>sales@arrowheadforensics.com</t>
        </is>
      </c>
      <c r="AM128" t="inlineStr">
        <is>
          <t>https://arrowheadforensics.com/contact-us/</t>
        </is>
      </c>
      <c r="AN128" t="inlineStr">
        <is>
          <t>https://arrowheadforensics.com/contact-us/</t>
        </is>
      </c>
      <c r="AP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Y129" t="inlineStr">
        <is>
          <t>unknown</t>
        </is>
      </c>
      <c r="Z129" t="inlineStr"/>
      <c r="AA129" t="inlineStr"/>
      <c r="AB129" t="inlineStr"/>
      <c r="AC129" t="inlineStr"/>
      <c r="AD129" t="inlineStr">
        <is>
          <t>לא נמצא בחיפוש ראשוני</t>
        </is>
      </c>
      <c r="AE129" t="inlineStr">
        <is>
          <t>חיפוש חלקי</t>
        </is>
      </c>
      <c r="AG129" t="inlineStr"/>
      <c r="AH129" t="inlineStr"/>
      <c r="AI129" t="inlineStr">
        <is>
          <t>No result mentions Arvensis at all; hits are generic Israeli distributor pages (Rhenium, Enco, Agentek, Ornat/LI-COR, S.L. Moran) unrelated to Arvensis.</t>
        </is>
      </c>
      <c r="AJ129" t="inlineStr"/>
      <c r="AP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Y130" t="inlineStr">
        <is>
          <t>unknown</t>
        </is>
      </c>
      <c r="Z130" t="inlineStr"/>
      <c r="AA130" t="inlineStr"/>
      <c r="AB130" t="inlineStr"/>
      <c r="AC130" t="inlineStr"/>
      <c r="AD130" t="inlineStr">
        <is>
          <t>לא נמצא בסריקת המפיצים</t>
        </is>
      </c>
      <c r="AE130" t="inlineStr">
        <is>
          <t>סריקת אתרי מפיצים</t>
        </is>
      </c>
      <c r="AG130" t="inlineStr"/>
      <c r="AH130" t="inlineStr"/>
      <c r="AJ130" t="inlineStr">
        <is>
          <t>+41 61 560 87 00</t>
        </is>
      </c>
      <c r="AM130" t="inlineStr">
        <is>
          <t>https://www.ascensia.com/contact-us/</t>
        </is>
      </c>
      <c r="AN130" t="inlineStr">
        <is>
          <t>https://www.ascensia.com/contact-us/</t>
        </is>
      </c>
      <c r="AP130" t="inlineStr">
        <is>
          <t>https://www.thomassci.com/browse-by/suppliers/ascensia-diabetes-care | https://www.ascensia.com/contact-us/</t>
        </is>
      </c>
    </row>
    <row r="131">
      <c r="A131" t="n">
        <v>130</v>
      </c>
      <c r="B131" t="inlineStr">
        <is>
          <t>Asco</t>
        </is>
      </c>
      <c r="C131" t="inlineStr">
        <is>
          <t>T</t>
        </is>
      </c>
      <c r="E131" t="inlineStr">
        <is>
          <t>https://www.thomassci.com/browse-by/suppliers/asco</t>
        </is>
      </c>
      <c r="F131" t="inlineStr"/>
      <c r="J131" t="inlineStr"/>
      <c r="Y131" t="inlineStr">
        <is>
          <t>unknown</t>
        </is>
      </c>
      <c r="Z131" t="inlineStr"/>
      <c r="AA131" t="inlineStr"/>
      <c r="AB131" t="inlineStr"/>
      <c r="AC131" t="inlineStr"/>
      <c r="AD131" t="inlineStr">
        <is>
          <t>לא נמצא בסריקת המפיצים</t>
        </is>
      </c>
      <c r="AE131" t="inlineStr">
        <is>
          <t>סריקת אתרי מפיצים</t>
        </is>
      </c>
      <c r="AG131" t="inlineStr"/>
      <c r="AH131" t="inlineStr"/>
      <c r="AJ131" t="inlineStr"/>
      <c r="AP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clearbit_verified</t>
        </is>
      </c>
      <c r="J132" t="inlineStr"/>
      <c r="Y132" t="inlineStr">
        <is>
          <t>unknown</t>
        </is>
      </c>
      <c r="Z132" t="inlineStr"/>
      <c r="AA132" t="inlineStr"/>
      <c r="AB132" t="inlineStr"/>
      <c r="AC132" t="inlineStr"/>
      <c r="AD132" t="inlineStr">
        <is>
          <t>לא נמצא בסריקת המפיצים</t>
        </is>
      </c>
      <c r="AE132" t="inlineStr">
        <is>
          <t>סריקת אתרי מפיצים</t>
        </is>
      </c>
      <c r="AG132" t="inlineStr"/>
      <c r="AH132" t="inlineStr"/>
      <c r="AJ132" t="inlineStr">
        <is>
          <t>+49605192200</t>
        </is>
      </c>
      <c r="AK132" t="inlineStr">
        <is>
          <t>info@asecos.com</t>
        </is>
      </c>
      <c r="AM132" t="inlineStr">
        <is>
          <t>https://www.asecos.com/Kontakt/DE_index_1460.html</t>
        </is>
      </c>
      <c r="AN132" t="inlineStr">
        <is>
          <t>https://www.asecos.com/Kontakt/DE_index_1460.html</t>
        </is>
      </c>
      <c r="AP132" t="inlineStr">
        <is>
          <t>https://www.dutscher.com/search?initialFilters=brand:Asecos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Y133" t="inlineStr">
        <is>
          <t>unknown</t>
        </is>
      </c>
      <c r="Z133" t="inlineStr"/>
      <c r="AA133" t="inlineStr"/>
      <c r="AB133" t="inlineStr"/>
      <c r="AC133" t="inlineStr"/>
      <c r="AD133" t="inlineStr">
        <is>
          <t>לא נמצא בסריקת המפיצים</t>
        </is>
      </c>
      <c r="AE133" t="inlineStr">
        <is>
          <t>סריקת אתרי מפיצים</t>
        </is>
      </c>
      <c r="AG133" t="inlineStr"/>
      <c r="AH133" t="inlineStr"/>
      <c r="AJ133" t="inlineStr"/>
      <c r="AP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O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Y134" t="inlineStr">
        <is>
          <t>unknown</t>
        </is>
      </c>
      <c r="Z134" t="inlineStr"/>
      <c r="AA134" t="inlineStr"/>
      <c r="AB134" t="inlineStr"/>
      <c r="AC134" t="inlineStr"/>
      <c r="AD134" t="inlineStr">
        <is>
          <t>לא ברור</t>
        </is>
      </c>
      <c r="AE134" t="inlineStr">
        <is>
          <t>חיפוש חלקי</t>
        </is>
      </c>
      <c r="AG134" t="inlineStr"/>
      <c r="AH134" t="inlineStr"/>
      <c r="AI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J134" t="inlineStr"/>
      <c r="AP134" t="inlineStr">
        <is>
          <t>https://www.quartzy.com/suppliers | https://info.quartzy.com/new-suppliers | https://www.thomassci.com/browse-by/suppliers/assay-genie</t>
        </is>
      </c>
    </row>
    <row r="135">
      <c r="A135" t="n">
        <v>134</v>
      </c>
      <c r="B135" t="inlineStr">
        <is>
          <t>Assaypro</t>
        </is>
      </c>
      <c r="C135" t="inlineStr">
        <is>
          <t>Q</t>
        </is>
      </c>
      <c r="F135" t="inlineStr">
        <is>
          <t>yes</t>
        </is>
      </c>
      <c r="H135" t="inlineStr">
        <is>
          <t>https://assaypro.com</t>
        </is>
      </c>
      <c r="I135" t="inlineStr">
        <is>
          <t>clearbit_verified</t>
        </is>
      </c>
      <c r="J135" t="inlineStr"/>
      <c r="Y135" t="inlineStr">
        <is>
          <t>unknown</t>
        </is>
      </c>
      <c r="Z135" t="inlineStr"/>
      <c r="AA135" t="inlineStr"/>
      <c r="AB135" t="inlineStr"/>
      <c r="AC135" t="inlineStr"/>
      <c r="AD135" t="inlineStr">
        <is>
          <t>לא נמצא בסריקת המפיצים</t>
        </is>
      </c>
      <c r="AE135" t="inlineStr">
        <is>
          <t>סריקת אתרי מפיצים</t>
        </is>
      </c>
      <c r="AG135" t="inlineStr"/>
      <c r="AH135" t="inlineStr"/>
      <c r="AJ135" t="inlineStr">
        <is>
          <t>(636) 447-9175</t>
        </is>
      </c>
      <c r="AK135" t="inlineStr">
        <is>
          <t>support@assaypro.com</t>
        </is>
      </c>
      <c r="AM135" t="inlineStr">
        <is>
          <t>https://assaypro.com/contact/</t>
        </is>
      </c>
      <c r="AN135" t="inlineStr">
        <is>
          <t>https://assaypro.com/contact/</t>
        </is>
      </c>
      <c r="AP135" t="inlineStr">
        <is>
          <t>https://www.quartzy.com/suppliers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Y136" t="inlineStr">
        <is>
          <t>unknown</t>
        </is>
      </c>
      <c r="Z136" t="inlineStr"/>
      <c r="AA136" t="inlineStr"/>
      <c r="AB136" t="inlineStr"/>
      <c r="AC136" t="inlineStr"/>
      <c r="AD136" t="inlineStr">
        <is>
          <t>לא נמצא בסריקת המפיצים</t>
        </is>
      </c>
      <c r="AE136" t="inlineStr">
        <is>
          <t>סריקת אתרי מפיצים</t>
        </is>
      </c>
      <c r="AG136" t="inlineStr"/>
      <c r="AH136" t="inlineStr"/>
      <c r="AJ136" t="inlineStr">
        <is>
          <t>18009266100</t>
        </is>
      </c>
      <c r="AM136" t="inlineStr">
        <is>
          <t>https://associatedbag.com/contact-us/</t>
        </is>
      </c>
      <c r="AN136" t="inlineStr">
        <is>
          <t>https://associatedbag.com/contact-us/</t>
        </is>
      </c>
      <c r="AP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Y137" t="inlineStr">
        <is>
          <t>unknown</t>
        </is>
      </c>
      <c r="Z137" t="inlineStr"/>
      <c r="AA137" t="inlineStr"/>
      <c r="AB137" t="inlineStr"/>
      <c r="AC137" t="inlineStr"/>
      <c r="AD137" t="inlineStr">
        <is>
          <t>לא נמצא בסריקת המפיצים</t>
        </is>
      </c>
      <c r="AE137" t="inlineStr">
        <is>
          <t>סריקת אתרי מפיצים</t>
        </is>
      </c>
      <c r="AG137" t="inlineStr"/>
      <c r="AH137" t="inlineStr"/>
      <c r="AJ137" t="inlineStr"/>
      <c r="AP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Y138" t="inlineStr">
        <is>
          <t>unknown</t>
        </is>
      </c>
      <c r="Z138" t="inlineStr"/>
      <c r="AA138" t="inlineStr"/>
      <c r="AB138" t="inlineStr"/>
      <c r="AC138" t="inlineStr"/>
      <c r="AD138" t="inlineStr">
        <is>
          <t>לא נמצא בסריקת המפיצים</t>
        </is>
      </c>
      <c r="AE138" t="inlineStr">
        <is>
          <t>סריקת אתרי מפיצים</t>
        </is>
      </c>
      <c r="AG138" t="inlineStr"/>
      <c r="AH138" t="inlineStr"/>
      <c r="AJ138" t="inlineStr"/>
      <c r="AP138" t="inlineStr">
        <is>
          <t>https://www.quartzy.com/suppliers</t>
        </is>
      </c>
    </row>
    <row r="139">
      <c r="A139" t="n">
        <v>138</v>
      </c>
      <c r="B139" t="inlineStr">
        <is>
          <t>AstraGlass</t>
        </is>
      </c>
      <c r="C139" t="inlineStr">
        <is>
          <t>Q</t>
        </is>
      </c>
      <c r="F139" t="inlineStr">
        <is>
          <t>yes</t>
        </is>
      </c>
      <c r="J139" t="inlineStr"/>
      <c r="Y139" t="inlineStr">
        <is>
          <t>unknown</t>
        </is>
      </c>
      <c r="Z139" t="inlineStr"/>
      <c r="AA139" t="inlineStr"/>
      <c r="AB139" t="inlineStr"/>
      <c r="AC139" t="inlineStr"/>
      <c r="AD139" t="inlineStr">
        <is>
          <t>לא נמצא בסריקת המפיצים</t>
        </is>
      </c>
      <c r="AE139" t="inlineStr">
        <is>
          <t>סריקת אתרי מפיצים</t>
        </is>
      </c>
      <c r="AG139" t="inlineStr"/>
      <c r="AH139" t="inlineStr"/>
      <c r="AJ139" t="inlineStr"/>
      <c r="AP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c r="Y140" t="inlineStr">
        <is>
          <t>unknown</t>
        </is>
      </c>
      <c r="Z140" t="inlineStr"/>
      <c r="AA140" t="inlineStr"/>
      <c r="AB140" t="inlineStr"/>
      <c r="AC140" t="inlineStr"/>
      <c r="AD140" t="inlineStr">
        <is>
          <t>לא נמצא בחיפוש ראשוני</t>
        </is>
      </c>
      <c r="AE140" t="inlineStr">
        <is>
          <t>חיפוש חלקי</t>
        </is>
      </c>
      <c r="AG140" t="inlineStr"/>
      <c r="AH140" t="inlineStr"/>
      <c r="AI140" t="inlineStr">
        <is>
          <t>No Israeli distributor in results; only ATAGO U.S.A. (subsidiary, Bellevue WA), Avantor/VWR listings and Indian resellers.</t>
        </is>
      </c>
      <c r="AJ140" t="inlineStr"/>
      <c r="AN140" t="inlineStr">
        <is>
          <t>https://atago.net/</t>
        </is>
      </c>
      <c r="AP140" t="inlineStr">
        <is>
          <t>https://www.dutscher.com/search?initialFilters=brand:Atago | https://www.thomassci.com/browse-by/suppliers/atago | https://atago.net/</t>
        </is>
      </c>
    </row>
    <row r="141">
      <c r="A141" t="n">
        <v>140</v>
      </c>
      <c r="B141" t="inlineStr">
        <is>
          <t>ATG® by PIP Global Safety</t>
        </is>
      </c>
      <c r="C141" t="inlineStr">
        <is>
          <t>T</t>
        </is>
      </c>
      <c r="E141" t="inlineStr">
        <is>
          <t>https://www.thomassci.com/browse-by/suppliers/atg-by-pip-global-safety</t>
        </is>
      </c>
      <c r="F141" t="inlineStr"/>
      <c r="J141" t="inlineStr"/>
      <c r="Y141" t="inlineStr">
        <is>
          <t>unknown</t>
        </is>
      </c>
      <c r="Z141" t="inlineStr"/>
      <c r="AA141" t="inlineStr"/>
      <c r="AB141" t="inlineStr"/>
      <c r="AC141" t="inlineStr"/>
      <c r="AD141" t="inlineStr">
        <is>
          <t>לא נמצא בסריקת המפיצים</t>
        </is>
      </c>
      <c r="AE141" t="inlineStr">
        <is>
          <t>סריקת אתרי מפיצים</t>
        </is>
      </c>
      <c r="AG141" t="inlineStr"/>
      <c r="AH141" t="inlineStr"/>
      <c r="AJ141" t="inlineStr"/>
      <c r="AP141" t="inlineStr">
        <is>
          <t>https://www.thomassci.com/browse-by/suppliers/atg-by-pip-global-safety</t>
        </is>
      </c>
    </row>
    <row r="142">
      <c r="A142" t="n">
        <v>141</v>
      </c>
      <c r="B142" t="inlineStr">
        <is>
          <t>Atlanta Biologicals</t>
        </is>
      </c>
      <c r="C142" t="inlineStr">
        <is>
          <t>Q</t>
        </is>
      </c>
      <c r="F142" t="inlineStr">
        <is>
          <t>yes</t>
        </is>
      </c>
      <c r="J142" t="inlineStr"/>
      <c r="Y142" t="inlineStr">
        <is>
          <t>unknown</t>
        </is>
      </c>
      <c r="Z142" t="inlineStr"/>
      <c r="AA142" t="inlineStr"/>
      <c r="AB142" t="inlineStr"/>
      <c r="AC142" t="inlineStr"/>
      <c r="AD142" t="inlineStr">
        <is>
          <t>לא נמצא בסריקת המפיצים</t>
        </is>
      </c>
      <c r="AE142" t="inlineStr">
        <is>
          <t>סריקת אתרי מפיצים</t>
        </is>
      </c>
      <c r="AG142" t="inlineStr"/>
      <c r="AH142" t="inlineStr"/>
      <c r="AJ142" t="inlineStr"/>
      <c r="AP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clearbit_verified</t>
        </is>
      </c>
      <c r="J143" t="inlineStr"/>
      <c r="O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Y143" t="inlineStr">
        <is>
          <t>unknown</t>
        </is>
      </c>
      <c r="Z143" t="inlineStr"/>
      <c r="AA143" t="inlineStr"/>
      <c r="AB143" t="inlineStr"/>
      <c r="AC143" t="inlineStr"/>
      <c r="AD143" t="inlineStr">
        <is>
          <t>מפיץ/נציג בישראל</t>
        </is>
      </c>
      <c r="AE143" t="inlineStr">
        <is>
          <t>סריקת אתרי מפיצים</t>
        </is>
      </c>
      <c r="AF143" t="n">
        <v>2026</v>
      </c>
      <c r="AG143" t="inlineStr">
        <is>
          <t>Yair Technologies</t>
        </is>
      </c>
      <c r="AH143" t="inlineStr">
        <is>
          <t>Yair Technologies: +97288544856 contact@yairtech.co.il</t>
        </is>
      </c>
      <c r="AI143" t="inlineStr">
        <is>
          <t>No Israeli distributor named; a GlobalData company profile says Atlas markets its products in Israel (among other countries) but no channel is identified. Only older context: 2008 Sigma-Aldrich ex-Europe distribution deal; Bio-Connect for Benelux.</t>
        </is>
      </c>
      <c r="AJ143" t="inlineStr">
        <is>
          <t>6000 0000 0004</t>
        </is>
      </c>
      <c r="AK143" t="inlineStr">
        <is>
          <t>support@atlasantibodies.com</t>
        </is>
      </c>
      <c r="AM143" t="inlineStr">
        <is>
          <t>https://www.atlasantibodies.com/company/contact-us/</t>
        </is>
      </c>
      <c r="AN143" t="inlineStr">
        <is>
          <t>https://www.atlasantibodies.com/company/contact-us/</t>
        </is>
      </c>
      <c r="AP143" t="inlineStr">
        <is>
          <t>https://www.quartzy.com/suppliers | https://info.quartzy.com/new-suppliers | https://www.thomassci.com/browse-by/suppliers/atlas-antibodies | https://www.yairtech.co.il/partners/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Y144" t="inlineStr">
        <is>
          <t>unknown</t>
        </is>
      </c>
      <c r="Z144" t="inlineStr"/>
      <c r="AA144" t="inlineStr"/>
      <c r="AB144" t="inlineStr"/>
      <c r="AC144" t="inlineStr"/>
      <c r="AD144" t="inlineStr">
        <is>
          <t>לא נמצא בסריקת המפיצים</t>
        </is>
      </c>
      <c r="AE144" t="inlineStr">
        <is>
          <t>סריקת אתרי מפיצים</t>
        </is>
      </c>
      <c r="AG144" t="inlineStr"/>
      <c r="AH144" t="inlineStr"/>
      <c r="AJ144" t="inlineStr"/>
      <c r="AP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Y145" t="inlineStr">
        <is>
          <t>unknown</t>
        </is>
      </c>
      <c r="Z145" t="inlineStr"/>
      <c r="AA145" t="inlineStr"/>
      <c r="AB145" t="inlineStr"/>
      <c r="AC145" t="inlineStr"/>
      <c r="AD145" t="inlineStr">
        <is>
          <t>לא נמצא בסריקת המפיצים</t>
        </is>
      </c>
      <c r="AE145" t="inlineStr">
        <is>
          <t>סריקת אתרי מפיצים</t>
        </is>
      </c>
      <c r="AG145" t="inlineStr"/>
      <c r="AH145" t="inlineStr"/>
      <c r="AJ145" t="inlineStr">
        <is>
          <t>+1 205 663 2494</t>
        </is>
      </c>
      <c r="AM145" t="inlineStr">
        <is>
          <t>https://www.avantiresearch.com/en-gb/contact-us</t>
        </is>
      </c>
      <c r="AN145" t="inlineStr">
        <is>
          <t>https://www.avantiresearch.com/en-gb/contact-us</t>
        </is>
      </c>
      <c r="AP145" t="inlineStr">
        <is>
          <t>https://www.quartzy.com/suppliers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P146" t="n">
        <v>13500</v>
      </c>
      <c r="Q146" t="n">
        <v>2025</v>
      </c>
      <c r="R146" t="inlineStr">
        <is>
          <t>company</t>
        </is>
      </c>
      <c r="S146" t="inlineStr">
        <is>
          <t>prior</t>
        </is>
      </c>
      <c r="T146" t="n">
        <v>6552</v>
      </c>
      <c r="U146" t="inlineStr">
        <is>
          <t>USD 6.55 billion</t>
        </is>
      </c>
      <c r="V146" t="inlineStr">
        <is>
          <t>FY2025</t>
        </is>
      </c>
      <c r="W146" t="inlineStr">
        <is>
          <t>company</t>
        </is>
      </c>
      <c r="X146" t="inlineStr">
        <is>
          <t>prior</t>
        </is>
      </c>
      <c r="Y146" t="inlineStr">
        <is>
          <t>reported</t>
        </is>
      </c>
      <c r="Z146" t="inlineStr">
        <is>
          <t>VWR-brand consumables and lab supplies</t>
        </is>
      </c>
      <c r="AA146" t="inlineStr">
        <is>
          <t>J.T.Baker chemicals</t>
        </is>
      </c>
      <c r="AB146" t="inlineStr">
        <is>
          <t>NuSil silicones</t>
        </is>
      </c>
      <c r="AC146" t="inlineStr">
        <is>
          <t>prior</t>
        </is>
      </c>
      <c r="AD146" t="inlineStr">
        <is>
          <t>לא נמצא ערוץ ישראלי</t>
        </is>
      </c>
      <c r="AE146" t="inlineStr">
        <is>
          <t>חיפוש חלקי</t>
        </is>
      </c>
      <c r="AG146" t="inlineStr"/>
      <c r="AH146" t="inlineStr"/>
      <c r="AI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6" t="inlineStr">
        <is>
          <t>+1 610 386 1700</t>
        </is>
      </c>
      <c r="AL146" t="inlineStr">
        <is>
          <t>One Radnor Corporate Center, Building One, Suite 200, 100 Matsonford Road, Radnor, PA 19087, USA</t>
        </is>
      </c>
      <c r="AM146" t="inlineStr">
        <is>
          <t>https://corporate.avantorsciences.com/us/en/contact</t>
        </is>
      </c>
      <c r="AN146" t="inlineStr">
        <is>
          <t>https://corporate.avantorsciences.com/us/en/contact</t>
        </is>
      </c>
      <c r="AP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P147" t="n">
        <v>13500</v>
      </c>
      <c r="Q147" t="n">
        <v>2025</v>
      </c>
      <c r="R147" t="inlineStr">
        <is>
          <t>company</t>
        </is>
      </c>
      <c r="S147" t="inlineStr">
        <is>
          <t>prior</t>
        </is>
      </c>
      <c r="T147" t="n">
        <v>6552</v>
      </c>
      <c r="U147" t="inlineStr">
        <is>
          <t>USD 6.55 billion</t>
        </is>
      </c>
      <c r="V147" t="inlineStr">
        <is>
          <t>FY2025</t>
        </is>
      </c>
      <c r="W147" t="inlineStr">
        <is>
          <t>company</t>
        </is>
      </c>
      <c r="X147" t="inlineStr">
        <is>
          <t>prior</t>
        </is>
      </c>
      <c r="Y147" t="inlineStr">
        <is>
          <t>reported</t>
        </is>
      </c>
      <c r="Z147" t="inlineStr">
        <is>
          <t>VWR-brand consumables and lab supplies</t>
        </is>
      </c>
      <c r="AA147" t="inlineStr">
        <is>
          <t>J.T.Baker chemicals</t>
        </is>
      </c>
      <c r="AB147" t="inlineStr">
        <is>
          <t>NuSil silicones</t>
        </is>
      </c>
      <c r="AC147" t="inlineStr">
        <is>
          <t>prior</t>
        </is>
      </c>
      <c r="AD147" t="inlineStr">
        <is>
          <t>לא נמצא ערוץ ישראלי</t>
        </is>
      </c>
      <c r="AE147" t="inlineStr">
        <is>
          <t>חיפוש חלקי</t>
        </is>
      </c>
      <c r="AG147" t="inlineStr"/>
      <c r="AH147" t="inlineStr"/>
      <c r="AI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J147" t="inlineStr">
        <is>
          <t>+1 610 386 1700</t>
        </is>
      </c>
      <c r="AL147" t="inlineStr">
        <is>
          <t>One Radnor Corporate Center, Building One, Suite 200, 100 Matsonford Road, Radnor, PA 19087, USA</t>
        </is>
      </c>
      <c r="AM147" t="inlineStr">
        <is>
          <t>https://corporate.avantorsciences.com/us/en/contact</t>
        </is>
      </c>
      <c r="AN147" t="inlineStr">
        <is>
          <t>https://corporate.avantorsciences.com/us/en/contact</t>
        </is>
      </c>
      <c r="AP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Y148" t="inlineStr">
        <is>
          <t>unknown</t>
        </is>
      </c>
      <c r="Z148" t="inlineStr"/>
      <c r="AA148" t="inlineStr"/>
      <c r="AB148" t="inlineStr"/>
      <c r="AC148" t="inlineStr"/>
      <c r="AD148" t="inlineStr">
        <is>
          <t>לא נמצא בחיפוש ראשוני</t>
        </is>
      </c>
      <c r="AE148" t="inlineStr">
        <is>
          <t>חיפוש חלקי</t>
        </is>
      </c>
      <c r="AG148" t="inlineStr"/>
      <c r="AH148" t="inlineStr"/>
      <c r="AI148" t="inlineStr">
        <is>
          <t>Only company profiles (UK/US sites, acquired by ATS 2023); no Israel mention.</t>
        </is>
      </c>
      <c r="AJ148" t="inlineStr">
        <is>
          <t>(800) 558-5913</t>
        </is>
      </c>
      <c r="AM148" t="inlineStr">
        <is>
          <t>https://www.avidityscience.com/contact-avidity-science-us</t>
        </is>
      </c>
      <c r="AN148" t="inlineStr">
        <is>
          <t>https://www.avidityscience.com/contact-avidity-science-us</t>
        </is>
      </c>
      <c r="AP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Y149" t="inlineStr">
        <is>
          <t>unknown</t>
        </is>
      </c>
      <c r="Z149" t="inlineStr"/>
      <c r="AA149" t="inlineStr"/>
      <c r="AB149" t="inlineStr"/>
      <c r="AC149" t="inlineStr"/>
      <c r="AD149" t="inlineStr">
        <is>
          <t>לא נמצא בסריקת המפיצים</t>
        </is>
      </c>
      <c r="AE149" t="inlineStr">
        <is>
          <t>סריקת אתרי מפיצים</t>
        </is>
      </c>
      <c r="AG149" t="inlineStr"/>
      <c r="AH149" t="inlineStr"/>
      <c r="AJ149" t="inlineStr">
        <is>
          <t>858-552-6979</t>
        </is>
      </c>
      <c r="AK149" t="inlineStr">
        <is>
          <t>info@avivasysbio.com</t>
        </is>
      </c>
      <c r="AM149" t="inlineStr">
        <is>
          <t>https://www.avivasysbio.com/contact</t>
        </is>
      </c>
      <c r="AN149" t="inlineStr">
        <is>
          <t>https://www.avivasysbio.com/contact</t>
        </is>
      </c>
      <c r="AP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P150" t="n">
        <v>2700</v>
      </c>
      <c r="Q150" t="n">
        <v>2025</v>
      </c>
      <c r="R150" t="inlineStr">
        <is>
          <t>estimate</t>
        </is>
      </c>
      <c r="S150" t="inlineStr">
        <is>
          <t>prior</t>
        </is>
      </c>
      <c r="T150" t="n">
        <v>594</v>
      </c>
      <c r="U150" t="inlineStr">
        <is>
          <t>USD 594 million</t>
        </is>
      </c>
      <c r="V150" t="inlineStr">
        <is>
          <t>FY2025 (ended 30-Sep-2025)</t>
        </is>
      </c>
      <c r="W150" t="inlineStr">
        <is>
          <t>company</t>
        </is>
      </c>
      <c r="X150" t="inlineStr">
        <is>
          <t>prior</t>
        </is>
      </c>
      <c r="Y150" t="inlineStr">
        <is>
          <t>mixed</t>
        </is>
      </c>
      <c r="Z150" t="inlineStr">
        <is>
          <t>BioStore III Cryo</t>
        </is>
      </c>
      <c r="AA150" t="inlineStr">
        <is>
          <t>FluidX / Ziath tubes and readers</t>
        </is>
      </c>
      <c r="AB150" t="inlineStr">
        <is>
          <t>GENEWIZ services</t>
        </is>
      </c>
      <c r="AC150" t="inlineStr">
        <is>
          <t>prior</t>
        </is>
      </c>
      <c r="AD150" t="inlineStr">
        <is>
          <t>מפיץ/נציג בישראל</t>
        </is>
      </c>
      <c r="AE150" t="inlineStr">
        <is>
          <t>אומת</t>
        </is>
      </c>
      <c r="AF150" t="n">
        <v>2026</v>
      </c>
      <c r="AG150" t="inlineStr">
        <is>
          <t>HyLabs (Hy Laboratories Ltd.); Tamar Laboratory Supplies Ltd.</t>
        </is>
      </c>
      <c r="AH150" t="inlineStr">
        <is>
          <t>HyLabs (Hy Laboratories Ltd.): +972-8-936-6475; Tamar Laboratory Supplies Ltd.: +972 2-533-6070 (also 02-579-9777)</t>
        </is>
      </c>
      <c r="AI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0" t="inlineStr">
        <is>
          <t>+1 888-229-3682</t>
        </is>
      </c>
      <c r="AL150" t="inlineStr">
        <is>
          <t>200 Summit Drive, Burlington, MA 01803, USA</t>
        </is>
      </c>
      <c r="AN150" t="inlineStr">
        <is>
          <t>https://www.azenta.com/global-locations</t>
        </is>
      </c>
      <c r="AP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P151" t="n">
        <v>2700</v>
      </c>
      <c r="Q151" t="n">
        <v>2025</v>
      </c>
      <c r="R151" t="inlineStr">
        <is>
          <t>estimate</t>
        </is>
      </c>
      <c r="S151" t="inlineStr">
        <is>
          <t>prior</t>
        </is>
      </c>
      <c r="T151" t="n">
        <v>594</v>
      </c>
      <c r="U151" t="inlineStr">
        <is>
          <t>USD 594 million</t>
        </is>
      </c>
      <c r="V151" t="inlineStr">
        <is>
          <t>FY2025 (ended 30-Sep-2025)</t>
        </is>
      </c>
      <c r="W151" t="inlineStr">
        <is>
          <t>company</t>
        </is>
      </c>
      <c r="X151" t="inlineStr">
        <is>
          <t>prior</t>
        </is>
      </c>
      <c r="Y151" t="inlineStr">
        <is>
          <t>mixed</t>
        </is>
      </c>
      <c r="Z151" t="inlineStr">
        <is>
          <t>BioStore III Cryo</t>
        </is>
      </c>
      <c r="AA151" t="inlineStr">
        <is>
          <t>FluidX / Ziath tubes and readers</t>
        </is>
      </c>
      <c r="AB151" t="inlineStr">
        <is>
          <t>GENEWIZ services</t>
        </is>
      </c>
      <c r="AC151" t="inlineStr">
        <is>
          <t>prior</t>
        </is>
      </c>
      <c r="AD151" t="inlineStr">
        <is>
          <t>מפיץ/נציג בישראל</t>
        </is>
      </c>
      <c r="AE151" t="inlineStr">
        <is>
          <t>אומת</t>
        </is>
      </c>
      <c r="AF151" t="n">
        <v>2026</v>
      </c>
      <c r="AG151" t="inlineStr">
        <is>
          <t>HyLabs (Hy Laboratories Ltd.); Tamar Laboratory Supplies Ltd.</t>
        </is>
      </c>
      <c r="AH151" t="inlineStr">
        <is>
          <t>HyLabs (Hy Laboratories Ltd.): +972-8-936-6475; Tamar Laboratory Supplies Ltd.: +972 2-533-6070 (also 02-579-9777)</t>
        </is>
      </c>
      <c r="AI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J151" t="inlineStr">
        <is>
          <t>+1 888-229-3682</t>
        </is>
      </c>
      <c r="AL151" t="inlineStr">
        <is>
          <t>200 Summit Drive, Burlington, MA 01803, USA</t>
        </is>
      </c>
      <c r="AN151" t="inlineStr">
        <is>
          <t>https://www.azenta.com/global-locations</t>
        </is>
      </c>
      <c r="AP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Y152" t="inlineStr">
        <is>
          <t>unknown</t>
        </is>
      </c>
      <c r="Z152" t="inlineStr"/>
      <c r="AA152" t="inlineStr"/>
      <c r="AB152" t="inlineStr"/>
      <c r="AC152" t="inlineStr"/>
      <c r="AD152" t="inlineStr">
        <is>
          <t>לא נמצא בסריקת המפיצים</t>
        </is>
      </c>
      <c r="AE152" t="inlineStr">
        <is>
          <t>סריקת אתרי מפיצים</t>
        </is>
      </c>
      <c r="AG152" t="inlineStr"/>
      <c r="AH152" t="inlineStr"/>
      <c r="AJ152" t="inlineStr"/>
      <c r="AP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Y153" t="inlineStr">
        <is>
          <t>unknown</t>
        </is>
      </c>
      <c r="Z153" t="inlineStr"/>
      <c r="AA153" t="inlineStr"/>
      <c r="AB153" t="inlineStr"/>
      <c r="AC153" t="inlineStr"/>
      <c r="AD153" t="inlineStr">
        <is>
          <t>לא נמצא בסריקת המפיצים</t>
        </is>
      </c>
      <c r="AE153" t="inlineStr">
        <is>
          <t>סריקת אתרי מפיצים</t>
        </is>
      </c>
      <c r="AG153" t="inlineStr"/>
      <c r="AH153" t="inlineStr"/>
      <c r="AJ153" t="inlineStr"/>
      <c r="AP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Y154" t="inlineStr">
        <is>
          <t>unknown</t>
        </is>
      </c>
      <c r="Z154" t="inlineStr"/>
      <c r="AA154" t="inlineStr"/>
      <c r="AB154" t="inlineStr"/>
      <c r="AC154" t="inlineStr"/>
      <c r="AD154" t="inlineStr">
        <is>
          <t>מפיץ/נציג בישראל</t>
        </is>
      </c>
      <c r="AE154" t="inlineStr">
        <is>
          <t>סריקת אתרי מפיצים</t>
        </is>
      </c>
      <c r="AF154" t="n">
        <v>2026</v>
      </c>
      <c r="AG154" t="inlineStr">
        <is>
          <t>Yair Technologies</t>
        </is>
      </c>
      <c r="AH154" t="inlineStr">
        <is>
          <t>Yair Technologies: +97288544856 contact@yairtech.co.il</t>
        </is>
      </c>
      <c r="AI154" t="inlineStr">
        <is>
          <t>No result mentions Azura Genomics; hits concern other genomics vendors' Israeli distributors (Eisenberg Bros for Fluidigm, Eldan for Vizgen/Medicinal Genomics, Syntezza for IDT/BGI).</t>
        </is>
      </c>
      <c r="AJ154" t="inlineStr">
        <is>
          <t>888-333-3895</t>
        </is>
      </c>
      <c r="AK154" t="inlineStr">
        <is>
          <t>info@azuragenomics.com</t>
        </is>
      </c>
      <c r="AM154" t="inlineStr">
        <is>
          <t>https://azuragenomics.com/pages/contact</t>
        </is>
      </c>
      <c r="AN154" t="inlineStr">
        <is>
          <t>https://azuragenomics.com/pages/contact</t>
        </is>
      </c>
      <c r="AP154" t="inlineStr">
        <is>
          <t>https://www.quartzy.com/suppliers | https://www.thomassci.com/browse-by/suppliers/azura-genomics | https://www.yairtech.co.il/partners/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Y155" t="inlineStr">
        <is>
          <t>unknown</t>
        </is>
      </c>
      <c r="Z155" t="inlineStr"/>
      <c r="AA155" t="inlineStr"/>
      <c r="AB155" t="inlineStr"/>
      <c r="AC155" t="inlineStr"/>
      <c r="AD155" t="inlineStr">
        <is>
          <t>לא נמצא בסריקת המפיצים</t>
        </is>
      </c>
      <c r="AE155" t="inlineStr">
        <is>
          <t>סריקת אתרי מפיצים</t>
        </is>
      </c>
      <c r="AG155" t="inlineStr"/>
      <c r="AH155" t="inlineStr"/>
      <c r="AJ155" t="inlineStr">
        <is>
          <t>+ (925) 307-7127</t>
        </is>
      </c>
      <c r="AK155" t="inlineStr">
        <is>
          <t>info@azurebiosystems.com</t>
        </is>
      </c>
      <c r="AM155" t="inlineStr">
        <is>
          <t>https://azurebiosystems.com/about/contact-us/</t>
        </is>
      </c>
      <c r="AN155" t="inlineStr">
        <is>
          <t>https://azurebiosystems.com/about/contact-us/</t>
        </is>
      </c>
      <c r="AP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Y156" t="inlineStr">
        <is>
          <t>unknown</t>
        </is>
      </c>
      <c r="Z156" t="inlineStr"/>
      <c r="AA156" t="inlineStr"/>
      <c r="AB156" t="inlineStr"/>
      <c r="AC156" t="inlineStr"/>
      <c r="AD156" t="inlineStr">
        <is>
          <t>לא נמצא בסריקת המפיצים</t>
        </is>
      </c>
      <c r="AE156" t="inlineStr">
        <is>
          <t>סריקת אתרי מפיצים</t>
        </is>
      </c>
      <c r="AG156" t="inlineStr"/>
      <c r="AH156" t="inlineStr"/>
      <c r="AJ156" t="inlineStr">
        <is>
          <t>+49763561210</t>
        </is>
      </c>
      <c r="AK156" t="inlineStr">
        <is>
          <t>info@buerkle.de</t>
        </is>
      </c>
      <c r="AM156" t="inlineStr">
        <is>
          <t>https://www.buerkle.de/de/kontakt</t>
        </is>
      </c>
      <c r="AN156" t="inlineStr">
        <is>
          <t>https://www.buerkle.de/de/kontakt</t>
        </is>
      </c>
      <c r="AP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Y157" t="inlineStr">
        <is>
          <t>unknown</t>
        </is>
      </c>
      <c r="Z157" t="inlineStr"/>
      <c r="AA157" t="inlineStr"/>
      <c r="AB157" t="inlineStr"/>
      <c r="AC157" t="inlineStr"/>
      <c r="AD157" t="inlineStr">
        <is>
          <t>לא נמצא בסריקת המפיצים</t>
        </is>
      </c>
      <c r="AE157" t="inlineStr">
        <is>
          <t>סריקת אתרי מפיצים</t>
        </is>
      </c>
      <c r="AG157" t="inlineStr"/>
      <c r="AH157" t="inlineStr"/>
      <c r="AJ157" t="inlineStr"/>
      <c r="AP157" t="inlineStr">
        <is>
          <t>https://www.thomassci.com/browse-by/suppliers/bacharach</t>
        </is>
      </c>
    </row>
    <row r="158">
      <c r="A158" t="n">
        <v>157</v>
      </c>
      <c r="B158" t="inlineStr">
        <is>
          <t>Bachem</t>
        </is>
      </c>
      <c r="C158" t="inlineStr">
        <is>
          <t>Q</t>
        </is>
      </c>
      <c r="F158" t="inlineStr">
        <is>
          <t>yes</t>
        </is>
      </c>
      <c r="H158" t="inlineStr">
        <is>
          <t>https://bachem.com</t>
        </is>
      </c>
      <c r="I158" t="inlineStr">
        <is>
          <t>clearbit_verified</t>
        </is>
      </c>
      <c r="J158" t="inlineStr"/>
      <c r="Y158" t="inlineStr">
        <is>
          <t>unknown</t>
        </is>
      </c>
      <c r="Z158" t="inlineStr"/>
      <c r="AA158" t="inlineStr"/>
      <c r="AB158" t="inlineStr"/>
      <c r="AC158" t="inlineStr"/>
      <c r="AD158" t="inlineStr">
        <is>
          <t>לא נמצא בסריקת המפיצים</t>
        </is>
      </c>
      <c r="AE158" t="inlineStr">
        <is>
          <t>סריקת אתרי מפיצים</t>
        </is>
      </c>
      <c r="AG158" t="inlineStr"/>
      <c r="AH158" t="inlineStr"/>
      <c r="AJ158" t="inlineStr">
        <is>
          <t>+41 58 595 2021</t>
        </is>
      </c>
      <c r="AM158" t="inlineStr">
        <is>
          <t>https://www.bachem.com/contact/</t>
        </is>
      </c>
      <c r="AN158" t="inlineStr">
        <is>
          <t>https://www.bachem.com/contact/</t>
        </is>
      </c>
      <c r="AP158" t="inlineStr">
        <is>
          <t>https://www.quartzy.com/suppliers | https://www.bachem.com/contact/</t>
        </is>
      </c>
    </row>
    <row r="159">
      <c r="A159" t="n">
        <v>158</v>
      </c>
      <c r="B159" t="inlineStr">
        <is>
          <t>BACtrack</t>
        </is>
      </c>
      <c r="C159" t="inlineStr">
        <is>
          <t>T</t>
        </is>
      </c>
      <c r="E159" t="inlineStr">
        <is>
          <t>https://www.thomassci.com/browse-by/suppliers/bactrack</t>
        </is>
      </c>
      <c r="F159" t="inlineStr"/>
      <c r="H159" t="inlineStr">
        <is>
          <t>https://bactrack.com</t>
        </is>
      </c>
      <c r="I159" t="inlineStr">
        <is>
          <t>clearbit_verified</t>
        </is>
      </c>
      <c r="J159" t="inlineStr"/>
      <c r="Y159" t="inlineStr">
        <is>
          <t>unknown</t>
        </is>
      </c>
      <c r="Z159" t="inlineStr"/>
      <c r="AA159" t="inlineStr"/>
      <c r="AB159" t="inlineStr"/>
      <c r="AC159" t="inlineStr"/>
      <c r="AD159" t="inlineStr">
        <is>
          <t>לא נמצא בסריקת המפיצים</t>
        </is>
      </c>
      <c r="AE159" t="inlineStr">
        <is>
          <t>סריקת אתרי מפיצים</t>
        </is>
      </c>
      <c r="AG159" t="inlineStr"/>
      <c r="AH159" t="inlineStr"/>
      <c r="AJ159" t="inlineStr">
        <is>
          <t>18773346876</t>
        </is>
      </c>
      <c r="AK159" t="inlineStr">
        <is>
          <t>info@bactrack.com</t>
        </is>
      </c>
      <c r="AM159" t="inlineStr">
        <is>
          <t>https://www.bactrack.com/pages/contact-us</t>
        </is>
      </c>
      <c r="AN159" t="inlineStr">
        <is>
          <t>https://www.bactrack.com/pages/contact-us</t>
        </is>
      </c>
      <c r="AP159" t="inlineStr">
        <is>
          <t>https://www.thomassci.com/browse-by/suppliers/bactrack | https://www.bactrack.com/pages/contact-us</t>
        </is>
      </c>
    </row>
    <row r="160">
      <c r="A160" t="n">
        <v>159</v>
      </c>
      <c r="B160" t="inlineStr">
        <is>
          <t>Bal Supply</t>
        </is>
      </c>
      <c r="C160" t="inlineStr">
        <is>
          <t>T+Q</t>
        </is>
      </c>
      <c r="E160" t="inlineStr">
        <is>
          <t>https://www.thomassci.com/browse-by/suppliers/bal-supply</t>
        </is>
      </c>
      <c r="F160" t="inlineStr">
        <is>
          <t>yes</t>
        </is>
      </c>
      <c r="J160" t="inlineStr"/>
      <c r="Y160" t="inlineStr">
        <is>
          <t>unknown</t>
        </is>
      </c>
      <c r="Z160" t="inlineStr"/>
      <c r="AA160" t="inlineStr"/>
      <c r="AB160" t="inlineStr"/>
      <c r="AC160" t="inlineStr"/>
      <c r="AD160" t="inlineStr">
        <is>
          <t>לא נמצא בחיפוש ראשוני</t>
        </is>
      </c>
      <c r="AE160" t="inlineStr">
        <is>
          <t>חיפוש חלקי</t>
        </is>
      </c>
      <c r="AG160" t="inlineStr"/>
      <c r="AH160" t="inlineStr"/>
      <c r="AI160" t="inlineStr">
        <is>
          <t>No result mentions Bal Supply at all; hits are generic Israeli distributor listings (Rhenium, Tamar Laboratory Supplies, Agentek, Enco, Ornat, Lumitron).</t>
        </is>
      </c>
      <c r="AJ160" t="inlineStr"/>
      <c r="AP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Y161" t="inlineStr">
        <is>
          <t>unknown</t>
        </is>
      </c>
      <c r="Z161" t="inlineStr"/>
      <c r="AA161" t="inlineStr"/>
      <c r="AB161" t="inlineStr"/>
      <c r="AC161" t="inlineStr"/>
      <c r="AD161" t="inlineStr">
        <is>
          <t>לא נמצא בסריקת המפיצים</t>
        </is>
      </c>
      <c r="AE161" t="inlineStr">
        <is>
          <t>סריקת אתרי מפיצים</t>
        </is>
      </c>
      <c r="AG161" t="inlineStr"/>
      <c r="AH161" t="inlineStr"/>
      <c r="AJ161" t="inlineStr"/>
      <c r="AP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Y162" t="inlineStr">
        <is>
          <t>unknown</t>
        </is>
      </c>
      <c r="Z162" t="inlineStr"/>
      <c r="AA162" t="inlineStr"/>
      <c r="AB162" t="inlineStr"/>
      <c r="AC162" t="inlineStr"/>
      <c r="AD162" t="inlineStr">
        <is>
          <t>לא נמצא בסריקת המפיצים</t>
        </is>
      </c>
      <c r="AE162" t="inlineStr">
        <is>
          <t>סריקת אתרי מפיצים</t>
        </is>
      </c>
      <c r="AG162" t="inlineStr"/>
      <c r="AH162" t="inlineStr"/>
      <c r="AJ162" t="inlineStr">
        <is>
          <t>1-800-677-8278</t>
        </is>
      </c>
      <c r="AM162" t="inlineStr">
        <is>
          <t>https://www.batteriesplus.com/contact-us</t>
        </is>
      </c>
      <c r="AN162" t="inlineStr">
        <is>
          <t>https://www.batteriesplus.com/contact-us</t>
        </is>
      </c>
      <c r="AP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c r="Y163" t="inlineStr">
        <is>
          <t>unknown</t>
        </is>
      </c>
      <c r="Z163" t="inlineStr"/>
      <c r="AA163" t="inlineStr"/>
      <c r="AB163" t="inlineStr"/>
      <c r="AC163" t="inlineStr"/>
      <c r="AD163" t="inlineStr">
        <is>
          <t>לא נמצא בסריקת המפיצים</t>
        </is>
      </c>
      <c r="AE163" t="inlineStr">
        <is>
          <t>סריקת אתרי מפיצים</t>
        </is>
      </c>
      <c r="AG163" t="inlineStr"/>
      <c r="AH163" t="inlineStr"/>
      <c r="AJ163" t="inlineStr">
        <is>
          <t>1-800-553-5340</t>
        </is>
      </c>
      <c r="AM163" t="inlineStr">
        <is>
          <t>https://www.bausch.com/about-bausch-lomb/contact-us/</t>
        </is>
      </c>
      <c r="AN163" t="inlineStr">
        <is>
          <t>https://www.bausch.com/about-bausch-lomb/contact-us/</t>
        </is>
      </c>
      <c r="AP163" t="inlineStr">
        <is>
          <t>https://www.thomassci.com/browse-by/suppliers/bausch-and-lomb | https://www.bausch.com/about-bausch-lomb/contact-us/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Y164" t="inlineStr">
        <is>
          <t>unknown</t>
        </is>
      </c>
      <c r="Z164" t="inlineStr"/>
      <c r="AA164" t="inlineStr"/>
      <c r="AB164" t="inlineStr"/>
      <c r="AC164" t="inlineStr"/>
      <c r="AD164" t="inlineStr">
        <is>
          <t>לא נמצא בסריקת המפיצים</t>
        </is>
      </c>
      <c r="AE164" t="inlineStr">
        <is>
          <t>סריקת אתרי מפיצים</t>
        </is>
      </c>
      <c r="AG164" t="inlineStr"/>
      <c r="AH164" t="inlineStr"/>
      <c r="AJ164" t="inlineStr">
        <is>
          <t>+44 114 225 9000</t>
        </is>
      </c>
      <c r="AM164" t="inlineStr">
        <is>
          <t>https://www.bbraun.co.uk/en/about-us/contact.html</t>
        </is>
      </c>
      <c r="AN164" t="inlineStr">
        <is>
          <t>https://www.bbraun.co.uk/en/about-us/contact.html</t>
        </is>
      </c>
      <c r="AP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Y165" t="inlineStr">
        <is>
          <t>unknown</t>
        </is>
      </c>
      <c r="Z165" t="inlineStr"/>
      <c r="AA165" t="inlineStr"/>
      <c r="AB165" t="inlineStr"/>
      <c r="AC165" t="inlineStr"/>
      <c r="AD165" t="inlineStr">
        <is>
          <t>לא נמצא בסריקת המפיצים</t>
        </is>
      </c>
      <c r="AE165" t="inlineStr">
        <is>
          <t>סריקת אתרי מפיצים</t>
        </is>
      </c>
      <c r="AG165" t="inlineStr"/>
      <c r="AH165" t="inlineStr"/>
      <c r="AJ165" t="inlineStr"/>
      <c r="AP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P166" t="n">
        <v>8000</v>
      </c>
      <c r="Q166" t="n">
        <v>2025</v>
      </c>
      <c r="R166" t="inlineStr">
        <is>
          <t>estimate</t>
        </is>
      </c>
      <c r="S166" t="inlineStr">
        <is>
          <t>prior</t>
        </is>
      </c>
      <c r="T166" t="n">
        <v>3400</v>
      </c>
      <c r="U166" t="inlineStr">
        <is>
          <t>USD 3.4 billion</t>
        </is>
      </c>
      <c r="V166" t="inlineStr">
        <is>
          <t>CY2025E (basis used in the Jul-2025 deal announcement)</t>
        </is>
      </c>
      <c r="W166" t="inlineStr">
        <is>
          <t>segment</t>
        </is>
      </c>
      <c r="X166" t="inlineStr">
        <is>
          <t>prior</t>
        </is>
      </c>
      <c r="Y166" t="inlineStr">
        <is>
          <t>reported</t>
        </is>
      </c>
      <c r="Z166" t="inlineStr">
        <is>
          <t>BD FACSDiscover S8</t>
        </is>
      </c>
      <c r="AA166" t="inlineStr">
        <is>
          <t>BD FACSymphony A5 SE / A1</t>
        </is>
      </c>
      <c r="AB166" t="inlineStr">
        <is>
          <t>BD BACTEC FX, BD MAX, BD Phoenix</t>
        </is>
      </c>
      <c r="AC166" t="inlineStr">
        <is>
          <t>prior</t>
        </is>
      </c>
      <c r="AD166" t="inlineStr">
        <is>
          <t>חברה-בת בישראל</t>
        </is>
      </c>
      <c r="AE166" t="inlineStr">
        <is>
          <t>אומת</t>
        </is>
      </c>
      <c r="AF166" t="n">
        <v>2026</v>
      </c>
      <c r="AG166" t="inlineStr">
        <is>
          <t>Augusta Life Sciences Israel Ltd. (Waters subsidiary, ex-BD Biosciences &amp; Diagnostic Solutions); BD Israel (Becton Dickinson); Lapidot Group (Lapidot Medical)</t>
        </is>
      </c>
      <c r="AH166" t="inlineStr">
        <is>
          <t>Augusta Life Sciences Israel Ltd. (Waters subsidiary, ex-BD Biosciences &amp; Diagnostic Solutions):; BD Israel (Becton Dickinson):; Lapidot Group (Lapidot Medical): +972-4-6309630 / +972-74-7797836 customerservice@lapidot.com</t>
        </is>
      </c>
      <c r="AI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J166" t="inlineStr"/>
      <c r="AK166" t="inlineStr">
        <is>
          <t>BDBIsrael@bd.com</t>
        </is>
      </c>
      <c r="AL166" t="inlineStr">
        <is>
          <t>Harduf HaNehalim St. 2, Caesarea, Israel</t>
        </is>
      </c>
      <c r="AN166" t="inlineStr">
        <is>
          <t>https://pharmchoices.com/list-of-medical-device-companies-in-israel-2/2/</t>
        </is>
      </c>
      <c r="AP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Y167" t="inlineStr">
        <is>
          <t>unknown</t>
        </is>
      </c>
      <c r="Z167" t="inlineStr"/>
      <c r="AA167" t="inlineStr"/>
      <c r="AB167" t="inlineStr"/>
      <c r="AC167" t="inlineStr"/>
      <c r="AD167" t="inlineStr">
        <is>
          <t>לא נמצא בסריקת המפיצים</t>
        </is>
      </c>
      <c r="AE167" t="inlineStr">
        <is>
          <t>סריקת אתרי מפיצים</t>
        </is>
      </c>
      <c r="AG167" t="inlineStr"/>
      <c r="AH167" t="inlineStr"/>
      <c r="AJ167" t="inlineStr"/>
      <c r="AP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Y168" t="inlineStr">
        <is>
          <t>unknown</t>
        </is>
      </c>
      <c r="Z168" t="inlineStr"/>
      <c r="AA168" t="inlineStr"/>
      <c r="AB168" t="inlineStr"/>
      <c r="AC168" t="inlineStr"/>
      <c r="AD168" t="inlineStr">
        <is>
          <t>לא נמצא בסריקת המפיצים</t>
        </is>
      </c>
      <c r="AE168" t="inlineStr">
        <is>
          <t>סריקת אתרי מפיצים</t>
        </is>
      </c>
      <c r="AG168" t="inlineStr"/>
      <c r="AH168" t="inlineStr"/>
      <c r="AJ168" t="inlineStr"/>
      <c r="AP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P169" t="n">
        <v>12000</v>
      </c>
      <c r="Q169" t="n">
        <v>2025</v>
      </c>
      <c r="R169" t="inlineStr">
        <is>
          <t>estimate</t>
        </is>
      </c>
      <c r="S169" t="inlineStr">
        <is>
          <t>prior</t>
        </is>
      </c>
      <c r="T169" t="n">
        <v>9900</v>
      </c>
      <c r="U169" t="inlineStr">
        <is>
          <t>USD ~9.9 billion (Danaher Diagnostics segment, FY2025)</t>
        </is>
      </c>
      <c r="V169" t="inlineStr">
        <is>
          <t>FY2025</t>
        </is>
      </c>
      <c r="W169" t="inlineStr">
        <is>
          <t>segment</t>
        </is>
      </c>
      <c r="X169" t="inlineStr">
        <is>
          <t>prior</t>
        </is>
      </c>
      <c r="Y169" t="inlineStr">
        <is>
          <t>mixed</t>
        </is>
      </c>
      <c r="Z169" t="inlineStr">
        <is>
          <t>DxH 900</t>
        </is>
      </c>
      <c r="AA169" t="inlineStr">
        <is>
          <t>DxI 9000 Access</t>
        </is>
      </c>
      <c r="AB169" t="inlineStr">
        <is>
          <t>CytoFLEX</t>
        </is>
      </c>
      <c r="AC169" t="inlineStr">
        <is>
          <t>prior</t>
        </is>
      </c>
      <c r="AD169" t="inlineStr">
        <is>
          <t>מפיץ/נציג בישראל</t>
        </is>
      </c>
      <c r="AE169" t="inlineStr">
        <is>
          <t>אומת</t>
        </is>
      </c>
      <c r="AF169" t="n">
        <v>2026</v>
      </c>
      <c r="AG169" t="inlineStr">
        <is>
          <t>Rhenium Ltd.; Beckman Coulter (Israel) Ltd.</t>
        </is>
      </c>
      <c r="AH169" t="inlineStr">
        <is>
          <t>Rhenium Ltd.: +972 8-955-8888; Beckman Coulter (Israel) Ltd.:</t>
        </is>
      </c>
      <c r="AI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J169" t="inlineStr">
        <is>
          <t>+1 714-993-5321</t>
        </is>
      </c>
      <c r="AL169" t="inlineStr">
        <is>
          <t>250 South Kraemer Boulevard, Brea, CA 92821-6232, USA</t>
        </is>
      </c>
      <c r="AM169" t="inlineStr">
        <is>
          <t>https://www.beckmancoulter.com/en/support/contact-us</t>
        </is>
      </c>
      <c r="AN169" t="inlineStr">
        <is>
          <t>https://www.globaldata.com/company-profile/beckman-coulter-inc/locations/</t>
        </is>
      </c>
      <c r="AP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O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Y170" t="inlineStr">
        <is>
          <t>unknown</t>
        </is>
      </c>
      <c r="Z170" t="inlineStr"/>
      <c r="AA170" t="inlineStr"/>
      <c r="AB170" t="inlineStr"/>
      <c r="AC170" t="inlineStr"/>
      <c r="AD170" t="inlineStr">
        <is>
          <t>לא נמצא בחיפוש ראשוני</t>
        </is>
      </c>
      <c r="AE170" t="inlineStr">
        <is>
          <t>חיפוש חלקי</t>
        </is>
      </c>
      <c r="AG170" t="inlineStr"/>
      <c r="AH170" t="inlineStr"/>
      <c r="AI170" t="inlineStr">
        <is>
          <t>Only BEING Scientific (US arm of BEING Technology, Ontario CA) profiles and US resellers (San Diego Scale, Labfilterz); nothing for Israel.</t>
        </is>
      </c>
      <c r="AJ170" t="inlineStr">
        <is>
          <t>+1 (800) 278-1390</t>
        </is>
      </c>
      <c r="AM170" t="inlineStr">
        <is>
          <t>https://beinglab-usa.com/contact-us</t>
        </is>
      </c>
      <c r="AN170" t="inlineStr">
        <is>
          <t>https://beinglab-usa.com/contact-us</t>
        </is>
      </c>
      <c r="AP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Y171" t="inlineStr">
        <is>
          <t>unknown</t>
        </is>
      </c>
      <c r="Z171" t="inlineStr"/>
      <c r="AA171" t="inlineStr"/>
      <c r="AB171" t="inlineStr"/>
      <c r="AC171" t="inlineStr"/>
      <c r="AD171" t="inlineStr">
        <is>
          <t>לא נמצא בסריקת המפיצים</t>
        </is>
      </c>
      <c r="AE171" t="inlineStr">
        <is>
          <t>סריקת אתרי מפיצים</t>
        </is>
      </c>
      <c r="AG171" t="inlineStr"/>
      <c r="AH171" t="inlineStr"/>
      <c r="AJ171" t="inlineStr"/>
      <c r="AP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Y172" t="inlineStr">
        <is>
          <t>unknown</t>
        </is>
      </c>
      <c r="Z172" t="inlineStr"/>
      <c r="AA172" t="inlineStr"/>
      <c r="AB172" t="inlineStr"/>
      <c r="AC172" t="inlineStr"/>
      <c r="AD172" t="inlineStr">
        <is>
          <t>לא נמצא בסריקת המפיצים</t>
        </is>
      </c>
      <c r="AE172" t="inlineStr">
        <is>
          <t>סריקת אתרי מפיצים</t>
        </is>
      </c>
      <c r="AG172" t="inlineStr"/>
      <c r="AH172" t="inlineStr"/>
      <c r="AJ172" t="inlineStr"/>
      <c r="AP172" t="inlineStr">
        <is>
          <t>https://www.quartzy.com/suppliers</t>
        </is>
      </c>
    </row>
    <row r="173">
      <c r="A173" t="n">
        <v>172</v>
      </c>
      <c r="B173" t="inlineStr">
        <is>
          <t>Bellco</t>
        </is>
      </c>
      <c r="C173" t="inlineStr">
        <is>
          <t>D</t>
        </is>
      </c>
      <c r="D173" t="inlineStr">
        <is>
          <t>https://www.dutscher.com/search?initialFilters=brand:Bellco</t>
        </is>
      </c>
      <c r="F173" t="inlineStr"/>
      <c r="J173" t="inlineStr"/>
      <c r="Y173" t="inlineStr">
        <is>
          <t>unknown</t>
        </is>
      </c>
      <c r="Z173" t="inlineStr"/>
      <c r="AA173" t="inlineStr"/>
      <c r="AB173" t="inlineStr"/>
      <c r="AC173" t="inlineStr"/>
      <c r="AD173" t="inlineStr">
        <is>
          <t>לא נמצא בסריקת המפיצים</t>
        </is>
      </c>
      <c r="AE173" t="inlineStr">
        <is>
          <t>סריקת אתרי מפיצים</t>
        </is>
      </c>
      <c r="AG173" t="inlineStr"/>
      <c r="AH173" t="inlineStr"/>
      <c r="AJ173" t="inlineStr"/>
      <c r="AP173" t="inlineStr">
        <is>
          <t>https://www.dutscher.com/search?initialFilters=brand:Bellco</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Y174" t="inlineStr">
        <is>
          <t>unknown</t>
        </is>
      </c>
      <c r="Z174" t="inlineStr"/>
      <c r="AA174" t="inlineStr"/>
      <c r="AB174" t="inlineStr"/>
      <c r="AC174" t="inlineStr"/>
      <c r="AD174" t="inlineStr">
        <is>
          <t>לא ברור</t>
        </is>
      </c>
      <c r="AE174" t="inlineStr">
        <is>
          <t>חיפוש חלקי</t>
        </is>
      </c>
      <c r="AG174" t="inlineStr"/>
      <c r="AH174" t="inlineStr"/>
      <c r="AI174" t="inlineStr">
        <is>
          <t>Bellco's company profile (pharmaceutical-tech.com/suppliers/bellco-glass-inc) lists Israel among the countries in its worldwide distributor network, but no result names the Israeli distributor.</t>
        </is>
      </c>
      <c r="AJ174" t="inlineStr">
        <is>
          <t>1-856-691-1075</t>
        </is>
      </c>
      <c r="AM174" t="inlineStr">
        <is>
          <t>https://bellcoglass.com/contact-us/</t>
        </is>
      </c>
      <c r="AN174" t="inlineStr">
        <is>
          <t>https://bellcoglass.com/contact-us/</t>
        </is>
      </c>
      <c r="AP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Y175" t="inlineStr">
        <is>
          <t>unknown</t>
        </is>
      </c>
      <c r="Z175" t="inlineStr"/>
      <c r="AA175" t="inlineStr"/>
      <c r="AB175" t="inlineStr"/>
      <c r="AC175" t="inlineStr"/>
      <c r="AD175" t="inlineStr">
        <is>
          <t>לא נמצא בסריקת המפיצים</t>
        </is>
      </c>
      <c r="AE175" t="inlineStr">
        <is>
          <t>סריקת אתרי מפיצים</t>
        </is>
      </c>
      <c r="AG175" t="inlineStr"/>
      <c r="AH175" t="inlineStr"/>
      <c r="AJ175" t="inlineStr">
        <is>
          <t>+49 881 183-0</t>
        </is>
      </c>
      <c r="AM175" t="inlineStr">
        <is>
          <t>https://www.xylemanalytics.com/en/contact/general-contact</t>
        </is>
      </c>
      <c r="AN175" t="inlineStr">
        <is>
          <t>https://www.xylemanalytics.com/en/contact/general-contact</t>
        </is>
      </c>
      <c r="AP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Y176" t="inlineStr">
        <is>
          <t>unknown</t>
        </is>
      </c>
      <c r="Z176" t="inlineStr"/>
      <c r="AA176" t="inlineStr"/>
      <c r="AB176" t="inlineStr"/>
      <c r="AC176" t="inlineStr"/>
      <c r="AD176" t="inlineStr">
        <is>
          <t>לא נמצא בסריקת המפיצים</t>
        </is>
      </c>
      <c r="AE176" t="inlineStr">
        <is>
          <t>סריקת אתרי מפיצים</t>
        </is>
      </c>
      <c r="AG176" t="inlineStr"/>
      <c r="AH176" t="inlineStr"/>
      <c r="AJ176" t="inlineStr"/>
      <c r="AP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c r="Y177" t="inlineStr">
        <is>
          <t>unknown</t>
        </is>
      </c>
      <c r="Z177" t="inlineStr"/>
      <c r="AA177" t="inlineStr"/>
      <c r="AB177" t="inlineStr"/>
      <c r="AC177" t="inlineStr"/>
      <c r="AD177" t="inlineStr">
        <is>
          <t>לא נמצא בסריקת המפיצים</t>
        </is>
      </c>
      <c r="AE177" t="inlineStr">
        <is>
          <t>סריקת אתרי מפיצים</t>
        </is>
      </c>
      <c r="AG177" t="inlineStr"/>
      <c r="AH177" t="inlineStr"/>
      <c r="AJ177" t="inlineStr"/>
      <c r="AP177" t="inlineStr">
        <is>
          <t>https://www.dutscher.com/search?initialFilters=brand:Benchmark</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seller of scientific instruments</t>
        </is>
      </c>
      <c r="P178" t="n">
        <v>11</v>
      </c>
      <c r="Q178" t="inlineStr">
        <is>
          <t>2023</t>
        </is>
      </c>
      <c r="R178" t="inlineStr">
        <is>
          <t>company</t>
        </is>
      </c>
      <c r="S178" t="inlineStr">
        <is>
          <t>wikidata</t>
        </is>
      </c>
      <c r="Y178" t="inlineStr">
        <is>
          <t>reported</t>
        </is>
      </c>
      <c r="Z178" t="inlineStr"/>
      <c r="AA178" t="inlineStr"/>
      <c r="AB178" t="inlineStr"/>
      <c r="AC178" t="inlineStr"/>
      <c r="AD178" t="inlineStr">
        <is>
          <t>לא נמצא בסריקת המפיצים</t>
        </is>
      </c>
      <c r="AE178" t="inlineStr">
        <is>
          <t>סריקת אתרי מפיצים</t>
        </is>
      </c>
      <c r="AG178" t="inlineStr"/>
      <c r="AH178" t="inlineStr"/>
      <c r="AJ178" t="inlineStr"/>
      <c r="AL178" t="inlineStr">
        <is>
          <t>Sayreville</t>
        </is>
      </c>
      <c r="AO178" t="inlineStr">
        <is>
          <t>Q117192945</t>
        </is>
      </c>
      <c r="AP178" t="inlineStr">
        <is>
          <t>https://www.thomassci.com/browse-by/suppliers/benchmark-scientific | https://www.wikidata.org/wiki/Q117192945</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Y179" t="inlineStr">
        <is>
          <t>unknown</t>
        </is>
      </c>
      <c r="Z179" t="inlineStr"/>
      <c r="AA179" t="inlineStr"/>
      <c r="AB179" t="inlineStr"/>
      <c r="AC179" t="inlineStr"/>
      <c r="AD179" t="inlineStr">
        <is>
          <t>לא נמצא בחיפוש ראשוני</t>
        </is>
      </c>
      <c r="AE179" t="inlineStr">
        <is>
          <t>חיפוש חלקי</t>
        </is>
      </c>
      <c r="AG179" t="inlineStr"/>
      <c r="AH179" t="inlineStr"/>
      <c r="AI179" t="inlineStr">
        <is>
          <t>BenchPro (US industrial/lab workbench maker) results are US-only (Bench Depot as US distributor, EIS); Israeli distributor pages (Rhenium, Agentek, Enco, S.L. Moran) do not mention BenchPro.</t>
        </is>
      </c>
      <c r="AJ179" t="inlineStr">
        <is>
          <t>619-478-5478</t>
        </is>
      </c>
      <c r="AK179" t="inlineStr">
        <is>
          <t>info@benchpro.com</t>
        </is>
      </c>
      <c r="AM179" t="inlineStr">
        <is>
          <t>https://benchpro.com/contact-us-2/</t>
        </is>
      </c>
      <c r="AN179" t="inlineStr">
        <is>
          <t>https://benchpro.com/contact-us-2/</t>
        </is>
      </c>
      <c r="AP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Y180" t="inlineStr">
        <is>
          <t>unknown</t>
        </is>
      </c>
      <c r="Z180" t="inlineStr"/>
      <c r="AA180" t="inlineStr"/>
      <c r="AB180" t="inlineStr"/>
      <c r="AC180" t="inlineStr"/>
      <c r="AD180" t="inlineStr">
        <is>
          <t>לא נמצא בסריקת המפיצים</t>
        </is>
      </c>
      <c r="AE180" t="inlineStr">
        <is>
          <t>סריקת אתרי מפיצים</t>
        </is>
      </c>
      <c r="AG180" t="inlineStr"/>
      <c r="AH180" t="inlineStr"/>
      <c r="AJ180" t="inlineStr"/>
      <c r="AP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Y181" t="inlineStr">
        <is>
          <t>unknown</t>
        </is>
      </c>
      <c r="Z181" t="inlineStr"/>
      <c r="AA181" t="inlineStr"/>
      <c r="AB181" t="inlineStr"/>
      <c r="AC181" t="inlineStr"/>
      <c r="AD181" t="inlineStr">
        <is>
          <t>לא נמצא בסריקת המפיצים</t>
        </is>
      </c>
      <c r="AE181" t="inlineStr">
        <is>
          <t>סריקת אתרי מפיצים</t>
        </is>
      </c>
      <c r="AG181" t="inlineStr"/>
      <c r="AH181" t="inlineStr"/>
      <c r="AJ181" t="inlineStr"/>
      <c r="AP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American packaging corporation</t>
        </is>
      </c>
      <c r="Y182" t="inlineStr">
        <is>
          <t>unknown</t>
        </is>
      </c>
      <c r="Z182" t="inlineStr"/>
      <c r="AA182" t="inlineStr"/>
      <c r="AB182" t="inlineStr"/>
      <c r="AC182" t="inlineStr"/>
      <c r="AD182" t="inlineStr">
        <is>
          <t>לא נמצא בסריקת המפיצים</t>
        </is>
      </c>
      <c r="AE182" t="inlineStr">
        <is>
          <t>סריקת אתרי מפיצים</t>
        </is>
      </c>
      <c r="AG182" t="inlineStr"/>
      <c r="AH182" t="inlineStr"/>
      <c r="AJ182" t="inlineStr">
        <is>
          <t>800-363-9822</t>
        </is>
      </c>
      <c r="AM182" t="inlineStr">
        <is>
          <t>https://www.berlinpackaging.com/contact-us/</t>
        </is>
      </c>
      <c r="AN182" t="inlineStr">
        <is>
          <t>https://www.berlinpackaging.com/contact-us/</t>
        </is>
      </c>
      <c r="AO182" t="inlineStr">
        <is>
          <t>Q4892453</t>
        </is>
      </c>
      <c r="AP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Y183" t="inlineStr">
        <is>
          <t>unknown</t>
        </is>
      </c>
      <c r="Z183" t="inlineStr"/>
      <c r="AA183" t="inlineStr"/>
      <c r="AB183" t="inlineStr"/>
      <c r="AC183" t="inlineStr"/>
      <c r="AD183" t="inlineStr">
        <is>
          <t>לא נמצא בחיפוש ראשוני</t>
        </is>
      </c>
      <c r="AE183" t="inlineStr">
        <is>
          <t>חיפוש חלקי</t>
        </is>
      </c>
      <c r="AG183" t="inlineStr"/>
      <c r="AH183" t="inlineStr"/>
      <c r="AI183" t="inlineStr">
        <is>
          <t>Bertin Technologies cites a network of ~50 distributors worldwide, but results name none for Israel (only VWR, ThomasSci, Szabo-Scandic product pages).</t>
        </is>
      </c>
      <c r="AJ183" t="inlineStr"/>
      <c r="AP183" t="inlineStr">
        <is>
          <t>https://www.quartzy.com/suppliers | https://www.thomassci.com/browse-by/suppliers/bertin-corp</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Y184" t="inlineStr">
        <is>
          <t>unknown</t>
        </is>
      </c>
      <c r="Z184" t="inlineStr"/>
      <c r="AA184" t="inlineStr"/>
      <c r="AB184" t="inlineStr"/>
      <c r="AC184" t="inlineStr"/>
      <c r="AD184" t="inlineStr">
        <is>
          <t>לא נמצא בסריקת המפיצים</t>
        </is>
      </c>
      <c r="AE184" t="inlineStr">
        <is>
          <t>סריקת אתרי מפיצים</t>
        </is>
      </c>
      <c r="AG184" t="inlineStr"/>
      <c r="AH184" t="inlineStr"/>
      <c r="AJ184" t="inlineStr">
        <is>
          <t>18882253267</t>
        </is>
      </c>
      <c r="AK184" t="inlineStr">
        <is>
          <t>sales@bestsanitizers.com</t>
        </is>
      </c>
      <c r="AM184" t="inlineStr">
        <is>
          <t>https://www.bestsanitizers.com/contact/</t>
        </is>
      </c>
      <c r="AN184" t="inlineStr">
        <is>
          <t>https://www.bestsanitizers.com/contact/</t>
        </is>
      </c>
      <c r="AP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Y185" t="inlineStr">
        <is>
          <t>unknown</t>
        </is>
      </c>
      <c r="Z185" t="inlineStr"/>
      <c r="AA185" t="inlineStr"/>
      <c r="AB185" t="inlineStr"/>
      <c r="AC185" t="inlineStr"/>
      <c r="AD185" t="inlineStr">
        <is>
          <t>לא נמצא בסריקת המפיצים</t>
        </is>
      </c>
      <c r="AE185" t="inlineStr">
        <is>
          <t>סריקת אתרי מפיצים</t>
        </is>
      </c>
      <c r="AG185" t="inlineStr"/>
      <c r="AH185" t="inlineStr"/>
      <c r="AJ185" t="inlineStr"/>
      <c r="AP185" t="inlineStr">
        <is>
          <t>https://www.thomassci.com/browse-by/suppliers/best-value-vacs</t>
        </is>
      </c>
    </row>
    <row r="186">
      <c r="A186" t="n">
        <v>185</v>
      </c>
      <c r="B186" t="inlineStr">
        <is>
          <t>Bethyl Laboratories</t>
        </is>
      </c>
      <c r="C186" t="inlineStr">
        <is>
          <t>Q</t>
        </is>
      </c>
      <c r="F186" t="inlineStr">
        <is>
          <t>yes</t>
        </is>
      </c>
      <c r="J186" t="inlineStr"/>
      <c r="Y186" t="inlineStr">
        <is>
          <t>unknown</t>
        </is>
      </c>
      <c r="Z186" t="inlineStr"/>
      <c r="AA186" t="inlineStr"/>
      <c r="AB186" t="inlineStr"/>
      <c r="AC186" t="inlineStr"/>
      <c r="AD186" t="inlineStr">
        <is>
          <t>לא נמצא בסריקת המפיצים</t>
        </is>
      </c>
      <c r="AE186" t="inlineStr">
        <is>
          <t>סריקת אתרי מפיצים</t>
        </is>
      </c>
      <c r="AG186" t="inlineStr"/>
      <c r="AH186" t="inlineStr"/>
      <c r="AJ186" t="inlineStr"/>
      <c r="AP186" t="inlineStr">
        <is>
          <t>https://www.quartzy.com/suppliers</t>
        </is>
      </c>
    </row>
    <row r="187">
      <c r="A187" t="n">
        <v>186</v>
      </c>
      <c r="B187" t="inlineStr">
        <is>
          <t>Bevco</t>
        </is>
      </c>
      <c r="C187" t="inlineStr">
        <is>
          <t>T</t>
        </is>
      </c>
      <c r="E187" t="inlineStr">
        <is>
          <t>https://www.thomassci.com/browse-by/suppliers/bevco</t>
        </is>
      </c>
      <c r="F187" t="inlineStr"/>
      <c r="J187" t="inlineStr"/>
      <c r="Y187" t="inlineStr">
        <is>
          <t>unknown</t>
        </is>
      </c>
      <c r="Z187" t="inlineStr"/>
      <c r="AA187" t="inlineStr"/>
      <c r="AB187" t="inlineStr"/>
      <c r="AC187" t="inlineStr"/>
      <c r="AD187" t="inlineStr">
        <is>
          <t>לא נמצא בסריקת המפיצים</t>
        </is>
      </c>
      <c r="AE187" t="inlineStr">
        <is>
          <t>סריקת אתרי מפיצים</t>
        </is>
      </c>
      <c r="AG187" t="inlineStr"/>
      <c r="AH187" t="inlineStr"/>
      <c r="AJ187" t="inlineStr"/>
      <c r="AP187" t="inlineStr">
        <is>
          <t>https://www.thomassci.com/browse-by/suppliers/bevco</t>
        </is>
      </c>
    </row>
    <row r="188">
      <c r="A188" t="n">
        <v>187</v>
      </c>
      <c r="B188" t="inlineStr">
        <is>
          <t>Bimake.com (Biotool)</t>
        </is>
      </c>
      <c r="C188" t="inlineStr">
        <is>
          <t>Q</t>
        </is>
      </c>
      <c r="F188" t="inlineStr">
        <is>
          <t>yes</t>
        </is>
      </c>
      <c r="J188" t="inlineStr"/>
      <c r="Y188" t="inlineStr">
        <is>
          <t>unknown</t>
        </is>
      </c>
      <c r="Z188" t="inlineStr"/>
      <c r="AA188" t="inlineStr"/>
      <c r="AB188" t="inlineStr"/>
      <c r="AC188" t="inlineStr"/>
      <c r="AD188" t="inlineStr">
        <is>
          <t>לא נמצא בסריקת המפיצים</t>
        </is>
      </c>
      <c r="AE188" t="inlineStr">
        <is>
          <t>סריקת אתרי מפיצים</t>
        </is>
      </c>
      <c r="AG188" t="inlineStr"/>
      <c r="AH188" t="inlineStr"/>
      <c r="AJ188" t="inlineStr"/>
      <c r="AP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Y189" t="inlineStr">
        <is>
          <t>unknown</t>
        </is>
      </c>
      <c r="Z189" t="inlineStr"/>
      <c r="AA189" t="inlineStr"/>
      <c r="AB189" t="inlineStr"/>
      <c r="AC189" t="inlineStr"/>
      <c r="AD189" t="inlineStr">
        <is>
          <t>לא נמצא בסריקת המפיצים</t>
        </is>
      </c>
      <c r="AE189" t="inlineStr">
        <is>
          <t>סריקת אתרי מפיצים</t>
        </is>
      </c>
      <c r="AG189" t="inlineStr"/>
      <c r="AH189" t="inlineStr"/>
      <c r="AJ189" t="inlineStr">
        <is>
          <t>0013123850240</t>
        </is>
      </c>
      <c r="AK189" t="inlineStr">
        <is>
          <t>info@bimos.de</t>
        </is>
      </c>
      <c r="AM189" t="inlineStr">
        <is>
          <t>https://www.bimos.com/us-en/bimos-contact</t>
        </is>
      </c>
      <c r="AN189" t="inlineStr">
        <is>
          <t>https://www.bimos.com/us-en/bimos-contact</t>
        </is>
      </c>
      <c r="AP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P190" t="n">
        <v>400</v>
      </c>
      <c r="Q190" t="n">
        <v>2022</v>
      </c>
      <c r="R190" t="inlineStr">
        <is>
          <t>company</t>
        </is>
      </c>
      <c r="S190" t="inlineStr">
        <is>
          <t>prior</t>
        </is>
      </c>
      <c r="T190" t="n">
        <v>120</v>
      </c>
      <c r="U190" t="inlineStr">
        <is>
          <t>USD ~110-133 million (aggregator estimates: Prospeo ~110.5M, ZoomInfo/Datanyze ~133.1M)</t>
        </is>
      </c>
      <c r="V190" t="inlineStr">
        <is>
          <t>undated aggregator estimates (c. 2024)</t>
        </is>
      </c>
      <c r="W190" t="inlineStr">
        <is>
          <t>estimate</t>
        </is>
      </c>
      <c r="X190" t="inlineStr">
        <is>
          <t>prior</t>
        </is>
      </c>
      <c r="Y190" t="inlineStr">
        <is>
          <t>mixed</t>
        </is>
      </c>
      <c r="Z190" t="inlineStr">
        <is>
          <t>KBF / KBF P series</t>
        </is>
      </c>
      <c r="AA190" t="inlineStr">
        <is>
          <t>CB / CB-S series</t>
        </is>
      </c>
      <c r="AB190" t="inlineStr">
        <is>
          <t>FD / FED / FP series</t>
        </is>
      </c>
      <c r="AC190" t="inlineStr">
        <is>
          <t>prior</t>
        </is>
      </c>
      <c r="AD190" t="inlineStr">
        <is>
          <t>מפיץ/נציג בישראל</t>
        </is>
      </c>
      <c r="AE190" t="inlineStr">
        <is>
          <t>אומת</t>
        </is>
      </c>
      <c r="AF190" t="n">
        <v>2026</v>
      </c>
      <c r="AG190" t="inlineStr">
        <is>
          <t>Labotal Scientific Equipment Ltd.</t>
        </is>
      </c>
      <c r="AH190" t="inlineStr">
        <is>
          <t>Labotal Scientific Equipment Ltd.: +972 2-579-9222 Sales@labotal.co.il</t>
        </is>
      </c>
      <c r="AI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J190" t="inlineStr">
        <is>
          <t>+49 7462 2005-0</t>
        </is>
      </c>
      <c r="AK190" t="inlineStr">
        <is>
          <t>info@binder-world.com</t>
        </is>
      </c>
      <c r="AL190" t="inlineStr">
        <is>
          <t>Im Mittleren Ösch 5, 78532 Tuttlingen, Germany</t>
        </is>
      </c>
      <c r="AM190" t="inlineStr">
        <is>
          <t>https://www.binder-world.com/int-en/company/locations</t>
        </is>
      </c>
      <c r="AN190" t="inlineStr">
        <is>
          <t>https://www.binder-world.com/int-en/company/locations</t>
        </is>
      </c>
      <c r="AP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Y191" t="inlineStr">
        <is>
          <t>unknown</t>
        </is>
      </c>
      <c r="Z191" t="inlineStr"/>
      <c r="AA191" t="inlineStr"/>
      <c r="AB191" t="inlineStr"/>
      <c r="AC191" t="inlineStr"/>
      <c r="AD191" t="inlineStr">
        <is>
          <t>מפיץ/נציג בישראל</t>
        </is>
      </c>
      <c r="AE191" t="inlineStr">
        <is>
          <t>חיפוש חלקי</t>
        </is>
      </c>
      <c r="AF191" t="n">
        <v>2026</v>
      </c>
      <c r="AG191" t="inlineStr">
        <is>
          <t>Syntezza Bioscience Ltd</t>
        </is>
      </c>
      <c r="AH191" t="inlineStr">
        <is>
          <t>Syntezza Bioscience Ltd:</t>
        </is>
      </c>
      <c r="AI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J191" t="inlineStr"/>
      <c r="AP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Y192" t="inlineStr">
        <is>
          <t>unknown</t>
        </is>
      </c>
      <c r="Z192" t="inlineStr"/>
      <c r="AA192" t="inlineStr"/>
      <c r="AB192" t="inlineStr"/>
      <c r="AC192" t="inlineStr"/>
      <c r="AD192" t="inlineStr">
        <is>
          <t>לא נמצא בחיפוש ראשוני</t>
        </is>
      </c>
      <c r="AE192" t="inlineStr">
        <is>
          <t>חיפוש חלקי</t>
        </is>
      </c>
      <c r="AG192" t="inlineStr"/>
      <c r="AH192" t="inlineStr"/>
      <c r="AI192" t="inlineStr">
        <is>
          <t>Bio Plas Inc. (California) sells exclusively through a B2B distributor network; results name only US resellers (MAP Medical). The Israeli 'Bio-Lab Ltd' (Jerusalem) hit is an unrelated name match.</t>
        </is>
      </c>
      <c r="AJ192" t="inlineStr">
        <is>
          <t>(415) 472-3777</t>
        </is>
      </c>
      <c r="AK192" t="inlineStr">
        <is>
          <t>info@bioplas.com</t>
        </is>
      </c>
      <c r="AM192" t="inlineStr">
        <is>
          <t>https://www.bioplas.com/location</t>
        </is>
      </c>
      <c r="AN192" t="inlineStr">
        <is>
          <t>https://www.bioplas.com/location</t>
        </is>
      </c>
      <c r="AP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P193" t="n">
        <v>7450</v>
      </c>
      <c r="Q193" t="n">
        <v>2025</v>
      </c>
      <c r="R193" t="inlineStr">
        <is>
          <t>company</t>
        </is>
      </c>
      <c r="S193" t="inlineStr">
        <is>
          <t>prior</t>
        </is>
      </c>
      <c r="T193" t="n">
        <v>2580</v>
      </c>
      <c r="U193" t="inlineStr">
        <is>
          <t>USD 2.58 billion</t>
        </is>
      </c>
      <c r="V193" t="inlineStr">
        <is>
          <t>FY2025</t>
        </is>
      </c>
      <c r="W193" t="inlineStr">
        <is>
          <t>company</t>
        </is>
      </c>
      <c r="X193" t="inlineStr">
        <is>
          <t>prior</t>
        </is>
      </c>
      <c r="Y193" t="inlineStr">
        <is>
          <t>mixed</t>
        </is>
      </c>
      <c r="Z193" t="inlineStr">
        <is>
          <t>QX600 Droplet Digital PCR</t>
        </is>
      </c>
      <c r="AA193" t="inlineStr">
        <is>
          <t>CFX Opus Real-Time PCR</t>
        </is>
      </c>
      <c r="AB193" t="inlineStr">
        <is>
          <t>ChemiDoc MP</t>
        </is>
      </c>
      <c r="AC193" t="inlineStr">
        <is>
          <t>prior</t>
        </is>
      </c>
      <c r="AD193" t="inlineStr">
        <is>
          <t>חברה-בת בישראל</t>
        </is>
      </c>
      <c r="AE193" t="inlineStr">
        <is>
          <t>אומת</t>
        </is>
      </c>
      <c r="AF193" t="n">
        <v>2006</v>
      </c>
      <c r="AG193" t="inlineStr">
        <is>
          <t>Bio-Rad Israel Ltd. (Bio-Rad Laboratories (Rishon)); Bio-Rad Haifa Ltd.</t>
        </is>
      </c>
      <c r="AH193" t="inlineStr">
        <is>
          <t>Bio-Rad Israel Ltd. (Bio-Rad Laboratories (Rishon)):; Bio-Rad Haifa Ltd.:</t>
        </is>
      </c>
      <c r="AI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J193" t="inlineStr"/>
      <c r="AL193" t="inlineStr">
        <is>
          <t>Hahoma Street 14, Rishon LeZion, Israel</t>
        </is>
      </c>
      <c r="AM193" t="inlineStr">
        <is>
          <t>https://www.bio-rad.com/en-il/contact-us</t>
        </is>
      </c>
      <c r="AN193" t="inlineStr">
        <is>
          <t>https://slimpages.startupim.com/company_page/bio-rad-laboratories</t>
        </is>
      </c>
      <c r="AP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t>
        </is>
      </c>
    </row>
    <row r="194">
      <c r="A194" t="n">
        <v>193</v>
      </c>
      <c r="B194" t="inlineStr">
        <is>
          <t>Bio X Cell</t>
        </is>
      </c>
      <c r="C194" t="inlineStr">
        <is>
          <t>Q</t>
        </is>
      </c>
      <c r="F194" t="inlineStr">
        <is>
          <t>yes</t>
        </is>
      </c>
      <c r="H194" t="inlineStr">
        <is>
          <t>https://bxcell.co.kr</t>
        </is>
      </c>
      <c r="I194" t="inlineStr">
        <is>
          <t>clearbit</t>
        </is>
      </c>
      <c r="J194" t="inlineStr"/>
      <c r="Y194" t="inlineStr">
        <is>
          <t>unknown</t>
        </is>
      </c>
      <c r="Z194" t="inlineStr"/>
      <c r="AA194" t="inlineStr"/>
      <c r="AB194" t="inlineStr"/>
      <c r="AC194" t="inlineStr"/>
      <c r="AD194" t="inlineStr">
        <is>
          <t>לא נמצא בסריקת המפיצים</t>
        </is>
      </c>
      <c r="AE194" t="inlineStr">
        <is>
          <t>סריקת אתרי מפיצים</t>
        </is>
      </c>
      <c r="AG194" t="inlineStr"/>
      <c r="AH194" t="inlineStr"/>
      <c r="AJ194" t="inlineStr"/>
      <c r="AP194" t="inlineStr">
        <is>
          <t>https://www.quartzy.com/suppliers</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Y195" t="inlineStr">
        <is>
          <t>unknown</t>
        </is>
      </c>
      <c r="Z195" t="inlineStr"/>
      <c r="AA195" t="inlineStr"/>
      <c r="AB195" t="inlineStr"/>
      <c r="AC195" t="inlineStr"/>
      <c r="AD195" t="inlineStr">
        <is>
          <t>לא נמצא בסריקת המפיצים</t>
        </is>
      </c>
      <c r="AE195" t="inlineStr">
        <is>
          <t>סריקת אתרי מפיצים</t>
        </is>
      </c>
      <c r="AG195" t="inlineStr"/>
      <c r="AH195" t="inlineStr"/>
      <c r="AJ195" t="inlineStr">
        <is>
          <t>+15107829988</t>
        </is>
      </c>
      <c r="AM195" t="inlineStr">
        <is>
          <t>https://bioassaysys.com/contact-us/</t>
        </is>
      </c>
      <c r="AN195" t="inlineStr">
        <is>
          <t>https://bioassaysys.com/contact-us/</t>
        </is>
      </c>
      <c r="AP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clearbit_verified</t>
        </is>
      </c>
      <c r="J196" t="inlineStr"/>
      <c r="Y196" t="inlineStr">
        <is>
          <t>unknown</t>
        </is>
      </c>
      <c r="Z196" t="inlineStr"/>
      <c r="AA196" t="inlineStr"/>
      <c r="AB196" t="inlineStr"/>
      <c r="AC196" t="inlineStr"/>
      <c r="AD196" t="inlineStr">
        <is>
          <t>לא נמצא בסריקת המפיצים</t>
        </is>
      </c>
      <c r="AE196" t="inlineStr">
        <is>
          <t>סריקת אתרי מפיצים</t>
        </is>
      </c>
      <c r="AG196" t="inlineStr"/>
      <c r="AH196" t="inlineStr"/>
      <c r="AJ196" t="inlineStr">
        <is>
          <t>8007999499</t>
        </is>
      </c>
      <c r="AK196" t="inlineStr">
        <is>
          <t>info@biocare.net</t>
        </is>
      </c>
      <c r="AM196" t="inlineStr">
        <is>
          <t>https://biocare.net/contact/</t>
        </is>
      </c>
      <c r="AN196" t="inlineStr">
        <is>
          <t>https://biocare.net/contact/</t>
        </is>
      </c>
      <c r="AP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Y197" t="inlineStr">
        <is>
          <t>unknown</t>
        </is>
      </c>
      <c r="Z197" t="inlineStr"/>
      <c r="AA197" t="inlineStr"/>
      <c r="AB197" t="inlineStr"/>
      <c r="AC197" t="inlineStr"/>
      <c r="AD197" t="inlineStr">
        <is>
          <t>לא נמצא בחיפוש ראשוני</t>
        </is>
      </c>
      <c r="AE197" t="inlineStr">
        <is>
          <t>חיפוש חלקי</t>
        </is>
      </c>
      <c r="AG197" t="inlineStr"/>
      <c r="AH197" t="inlineStr"/>
      <c r="AI197" t="inlineStr">
        <is>
          <t>Harvard Bioscience (owner of Biochrom) has a 'Where to Buy' distributor directory (harvardbioscience.com/contact-us/where-to-buy) but no Israel entry was visible in the results; no Israeli distributor named.</t>
        </is>
      </c>
      <c r="AJ197" t="inlineStr"/>
      <c r="AM197" t="inlineStr">
        <is>
          <t>https://www.harvardbioscience.com/contact-us/brands</t>
        </is>
      </c>
      <c r="AN197" t="inlineStr">
        <is>
          <t>https://www.harvardbioscience.com/contact-us/brands</t>
        </is>
      </c>
      <c r="AP197" t="inlineStr">
        <is>
          <t>https://www.dutscher.com/search?initialFilters=brand:Biochrom | https://www.quartzy.com/suppliers | https://www.thomassci.com/browse-by/suppliers/biochrom | https://www.harvardbioscience.com/contact-us/brands</t>
        </is>
      </c>
    </row>
    <row r="198">
      <c r="A198" t="n">
        <v>197</v>
      </c>
      <c r="B198" t="inlineStr">
        <is>
          <t>BioCision</t>
        </is>
      </c>
      <c r="C198" t="inlineStr">
        <is>
          <t>T</t>
        </is>
      </c>
      <c r="E198" t="inlineStr">
        <is>
          <t>https://www.thomassci.com/browse-by/suppliers/biocision</t>
        </is>
      </c>
      <c r="F198" t="inlineStr"/>
      <c r="J198" t="inlineStr"/>
      <c r="Y198" t="inlineStr">
        <is>
          <t>unknown</t>
        </is>
      </c>
      <c r="Z198" t="inlineStr"/>
      <c r="AA198" t="inlineStr"/>
      <c r="AB198" t="inlineStr"/>
      <c r="AC198" t="inlineStr"/>
      <c r="AD198" t="inlineStr">
        <is>
          <t>לא נמצא בסריקת המפיצים</t>
        </is>
      </c>
      <c r="AE198" t="inlineStr">
        <is>
          <t>סריקת אתרי מפיצים</t>
        </is>
      </c>
      <c r="AG198" t="inlineStr"/>
      <c r="AH198" t="inlineStr"/>
      <c r="AJ198" t="inlineStr"/>
      <c r="AP198" t="inlineStr">
        <is>
          <t>https://www.thomassci.com/browse-by/suppliers/biocision</t>
        </is>
      </c>
    </row>
    <row r="199">
      <c r="A199" t="n">
        <v>198</v>
      </c>
      <c r="B199" t="inlineStr">
        <is>
          <t>BioDesign of NY</t>
        </is>
      </c>
      <c r="C199" t="inlineStr">
        <is>
          <t>Q</t>
        </is>
      </c>
      <c r="F199" t="inlineStr">
        <is>
          <t>yes</t>
        </is>
      </c>
      <c r="J199" t="inlineStr"/>
      <c r="Y199" t="inlineStr">
        <is>
          <t>unknown</t>
        </is>
      </c>
      <c r="Z199" t="inlineStr"/>
      <c r="AA199" t="inlineStr"/>
      <c r="AB199" t="inlineStr"/>
      <c r="AC199" t="inlineStr"/>
      <c r="AD199" t="inlineStr">
        <is>
          <t>לא נמצא בסריקת המפיצים</t>
        </is>
      </c>
      <c r="AE199" t="inlineStr">
        <is>
          <t>סריקת אתרי מפיצים</t>
        </is>
      </c>
      <c r="AG199" t="inlineStr"/>
      <c r="AH199" t="inlineStr"/>
      <c r="AJ199" t="inlineStr"/>
      <c r="AP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Y200" t="inlineStr">
        <is>
          <t>unknown</t>
        </is>
      </c>
      <c r="Z200" t="inlineStr"/>
      <c r="AA200" t="inlineStr"/>
      <c r="AB200" t="inlineStr"/>
      <c r="AC200" t="inlineStr"/>
      <c r="AD200" t="inlineStr">
        <is>
          <t>לא נמצא בסריקת המפיצים</t>
        </is>
      </c>
      <c r="AE200" t="inlineStr">
        <is>
          <t>סריקת אתרי מפיצים</t>
        </is>
      </c>
      <c r="AG200" t="inlineStr"/>
      <c r="AH200" t="inlineStr"/>
      <c r="AJ200" t="inlineStr"/>
      <c r="AP200" t="inlineStr">
        <is>
          <t>https://www.dutscher.com/search?initialFilters=brand:Bioer</t>
        </is>
      </c>
    </row>
    <row r="201">
      <c r="A201" t="n">
        <v>200</v>
      </c>
      <c r="B201" t="inlineStr">
        <is>
          <t>BioFit</t>
        </is>
      </c>
      <c r="C201" t="inlineStr">
        <is>
          <t>T</t>
        </is>
      </c>
      <c r="E201" t="inlineStr">
        <is>
          <t>https://www.thomassci.com/browse-by/suppliers/biofit</t>
        </is>
      </c>
      <c r="F201" t="inlineStr"/>
      <c r="J201" t="inlineStr"/>
      <c r="Y201" t="inlineStr">
        <is>
          <t>unknown</t>
        </is>
      </c>
      <c r="Z201" t="inlineStr"/>
      <c r="AA201" t="inlineStr"/>
      <c r="AB201" t="inlineStr"/>
      <c r="AC201" t="inlineStr"/>
      <c r="AD201" t="inlineStr">
        <is>
          <t>לא נמצא בסריקת המפיצים</t>
        </is>
      </c>
      <c r="AE201" t="inlineStr">
        <is>
          <t>סריקת אתרי מפיצים</t>
        </is>
      </c>
      <c r="AG201" t="inlineStr"/>
      <c r="AH201" t="inlineStr"/>
      <c r="AJ201" t="inlineStr"/>
      <c r="AP201" t="inlineStr">
        <is>
          <t>https://www.thomassci.com/browse-by/suppliers/biofit</t>
        </is>
      </c>
    </row>
    <row r="202">
      <c r="A202" t="n">
        <v>201</v>
      </c>
      <c r="B202" t="inlineStr">
        <is>
          <t>Bioland Scientific</t>
        </is>
      </c>
      <c r="C202" t="inlineStr">
        <is>
          <t>Q</t>
        </is>
      </c>
      <c r="F202" t="inlineStr">
        <is>
          <t>yes</t>
        </is>
      </c>
      <c r="J202" t="inlineStr"/>
      <c r="Y202" t="inlineStr">
        <is>
          <t>unknown</t>
        </is>
      </c>
      <c r="Z202" t="inlineStr"/>
      <c r="AA202" t="inlineStr"/>
      <c r="AB202" t="inlineStr"/>
      <c r="AC202" t="inlineStr"/>
      <c r="AD202" t="inlineStr">
        <is>
          <t>לא נמצא בסריקת המפיצים</t>
        </is>
      </c>
      <c r="AE202" t="inlineStr">
        <is>
          <t>סריקת אתרי מפיצים</t>
        </is>
      </c>
      <c r="AG202" t="inlineStr"/>
      <c r="AH202" t="inlineStr"/>
      <c r="AJ202" t="inlineStr"/>
      <c r="AP202" t="inlineStr">
        <is>
          <t>https://www.quartzy.com/suppliers</t>
        </is>
      </c>
    </row>
    <row r="203">
      <c r="A203" t="n">
        <v>202</v>
      </c>
      <c r="B203" t="inlineStr">
        <is>
          <t>Bioline</t>
        </is>
      </c>
      <c r="C203" t="inlineStr">
        <is>
          <t>Q</t>
        </is>
      </c>
      <c r="F203" t="inlineStr">
        <is>
          <t>yes</t>
        </is>
      </c>
      <c r="H203" t="inlineStr">
        <is>
          <t>https://bioline.com</t>
        </is>
      </c>
      <c r="I203" t="inlineStr">
        <is>
          <t>clearbit_verified</t>
        </is>
      </c>
      <c r="J203" t="inlineStr"/>
      <c r="Y203" t="inlineStr">
        <is>
          <t>unknown</t>
        </is>
      </c>
      <c r="Z203" t="inlineStr"/>
      <c r="AA203" t="inlineStr"/>
      <c r="AB203" t="inlineStr"/>
      <c r="AC203" t="inlineStr"/>
      <c r="AD203" t="inlineStr">
        <is>
          <t>לא נמצא בסריקת המפיצים</t>
        </is>
      </c>
      <c r="AE203" t="inlineStr">
        <is>
          <t>סריקת אתרי מפיצים</t>
        </is>
      </c>
      <c r="AG203" t="inlineStr"/>
      <c r="AH203" t="inlineStr"/>
      <c r="AJ203" t="inlineStr">
        <is>
          <t>38134-5611</t>
        </is>
      </c>
      <c r="AK203" t="inlineStr">
        <is>
          <t>info@meridianlifescience.comtechnical</t>
        </is>
      </c>
      <c r="AM203" t="inlineStr">
        <is>
          <t>https://www.bioline.com/contact-tech-support/</t>
        </is>
      </c>
      <c r="AN203" t="inlineStr">
        <is>
          <t>https://www.bioline.com/contact-tech-support/</t>
        </is>
      </c>
      <c r="AP203" t="inlineStr">
        <is>
          <t>https://www.quartzy.com/suppliers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Y204" t="inlineStr">
        <is>
          <t>unknown</t>
        </is>
      </c>
      <c r="Z204" t="inlineStr"/>
      <c r="AA204" t="inlineStr"/>
      <c r="AB204" t="inlineStr"/>
      <c r="AC204" t="inlineStr"/>
      <c r="AD204" t="inlineStr">
        <is>
          <t>לא נמצא בחיפוש ראשוני</t>
        </is>
      </c>
      <c r="AE204" t="inlineStr">
        <is>
          <t>חיפוש חלקי</t>
        </is>
      </c>
      <c r="AG204" t="inlineStr"/>
      <c r="AH204" t="inlineStr"/>
      <c r="AI204" t="inlineStr">
        <is>
          <t>Results only show Biologix (Jinan, China; BIOLOGIX/CryoKING brands, heavy private-label OEM) catalogs and profiles plus unrelated Israeli distributor pages (Rhenium, Agentek, Medix Biochemica's Petach Tikva partner); nothing links any Israeli company to Biologix.</t>
        </is>
      </c>
      <c r="AJ204" t="inlineStr"/>
      <c r="AK204" t="inlineStr">
        <is>
          <t>inquiry@biologixgroup.com</t>
        </is>
      </c>
      <c r="AN204" t="inlineStr">
        <is>
          <t>https://www.biologixgroup.com/</t>
        </is>
      </c>
      <c r="AP204" t="inlineStr">
        <is>
          <t>https://www.dutscher.com/search?initialFilters=brand:Biologix | https://www.quartzy.com/suppliers | https://www.thomassci.com/browse-by/suppliers/biologix | https://www.biologixgroup.com/</t>
        </is>
      </c>
    </row>
    <row r="205">
      <c r="A205" t="n">
        <v>204</v>
      </c>
      <c r="B205" t="inlineStr">
        <is>
          <t>Biomatik</t>
        </is>
      </c>
      <c r="C205" t="inlineStr">
        <is>
          <t>Q</t>
        </is>
      </c>
      <c r="F205" t="inlineStr">
        <is>
          <t>yes</t>
        </is>
      </c>
      <c r="H205" t="inlineStr">
        <is>
          <t>https://biomatik.com</t>
        </is>
      </c>
      <c r="I205" t="inlineStr">
        <is>
          <t>clearbit_verified</t>
        </is>
      </c>
      <c r="J205" t="inlineStr"/>
      <c r="Y205" t="inlineStr">
        <is>
          <t>unknown</t>
        </is>
      </c>
      <c r="Z205" t="inlineStr"/>
      <c r="AA205" t="inlineStr"/>
      <c r="AB205" t="inlineStr"/>
      <c r="AC205" t="inlineStr"/>
      <c r="AD205" t="inlineStr">
        <is>
          <t>לא נמצא בסריקת המפיצים</t>
        </is>
      </c>
      <c r="AE205" t="inlineStr">
        <is>
          <t>סריקת אתרי מפיצים</t>
        </is>
      </c>
      <c r="AG205" t="inlineStr"/>
      <c r="AH205" t="inlineStr"/>
      <c r="AJ205" t="inlineStr">
        <is>
          <t>(519) 489-7195</t>
        </is>
      </c>
      <c r="AM205" t="inlineStr">
        <is>
          <t>https://biomatik.com/pages/contact</t>
        </is>
      </c>
      <c r="AN205" t="inlineStr">
        <is>
          <t>https://biomatik.com/pages/contact</t>
        </is>
      </c>
      <c r="AP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Y206" t="inlineStr">
        <is>
          <t>unknown</t>
        </is>
      </c>
      <c r="Z206" t="inlineStr"/>
      <c r="AA206" t="inlineStr"/>
      <c r="AB206" t="inlineStr"/>
      <c r="AC206" t="inlineStr"/>
      <c r="AD206" t="inlineStr">
        <is>
          <t>לא נמצא בחיפוש ראשוני</t>
        </is>
      </c>
      <c r="AE206" t="inlineStr">
        <is>
          <t>חיפוש חלקי</t>
        </is>
      </c>
      <c r="AG206" t="inlineStr"/>
      <c r="AH206" t="inlineStr"/>
      <c r="AI206" t="inlineStr">
        <is>
          <t>Only the company's SelectScience profile (Gardner, MA) and unrelated Israeli distributors (Enco, Agentek, Tivan for OZ Biosciences, Ornat); no connection found.</t>
        </is>
      </c>
      <c r="AJ206" t="inlineStr"/>
      <c r="AP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O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Y207" t="inlineStr">
        <is>
          <t>unknown</t>
        </is>
      </c>
      <c r="Z207" t="inlineStr"/>
      <c r="AA207" t="inlineStr"/>
      <c r="AB207" t="inlineStr"/>
      <c r="AC207" t="inlineStr"/>
      <c r="AD207" t="inlineStr">
        <is>
          <t>לא נמצא בחיפוש ראשוני</t>
        </is>
      </c>
      <c r="AE207" t="inlineStr">
        <is>
          <t>חיפוש חלקי</t>
        </is>
      </c>
      <c r="AG207" t="inlineStr"/>
      <c r="AH207" t="inlineStr"/>
      <c r="AI207" t="inlineStr">
        <is>
          <t>No result mentioned Biomiga at all; only unrelated Israeli distributors (Enco, Agentek, Biotron, Syntezza) surfaced.</t>
        </is>
      </c>
      <c r="AJ207" t="inlineStr">
        <is>
          <t>18666681698</t>
        </is>
      </c>
      <c r="AK207" t="inlineStr">
        <is>
          <t>info@biomiga.com</t>
        </is>
      </c>
      <c r="AM207" t="inlineStr">
        <is>
          <t>https://biomiga.com/contact/</t>
        </is>
      </c>
      <c r="AN207" t="inlineStr">
        <is>
          <t>https://biomiga.com/contact/</t>
        </is>
      </c>
      <c r="AP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Y208" t="inlineStr">
        <is>
          <t>unknown</t>
        </is>
      </c>
      <c r="Z208" t="inlineStr"/>
      <c r="AA208" t="inlineStr"/>
      <c r="AB208" t="inlineStr"/>
      <c r="AC208" t="inlineStr"/>
      <c r="AD208" t="inlineStr">
        <is>
          <t>לא נמצא בסריקת המפיצים</t>
        </is>
      </c>
      <c r="AE208" t="inlineStr">
        <is>
          <t>סריקת אתרי מפיצים</t>
        </is>
      </c>
      <c r="AG208" t="inlineStr"/>
      <c r="AH208" t="inlineStr"/>
      <c r="AJ208" t="inlineStr"/>
      <c r="AP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Y209" t="inlineStr">
        <is>
          <t>unknown</t>
        </is>
      </c>
      <c r="Z209" t="inlineStr"/>
      <c r="AA209" t="inlineStr"/>
      <c r="AB209" t="inlineStr"/>
      <c r="AC209" t="inlineStr"/>
      <c r="AD209" t="inlineStr">
        <is>
          <t>לא נמצא בסריקת המפיצים</t>
        </is>
      </c>
      <c r="AE209" t="inlineStr">
        <is>
          <t>סריקת אתרי מפיצים</t>
        </is>
      </c>
      <c r="AG209" t="inlineStr"/>
      <c r="AH209" t="inlineStr"/>
      <c r="AJ209" t="inlineStr"/>
      <c r="AP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Y210" t="inlineStr">
        <is>
          <t>unknown</t>
        </is>
      </c>
      <c r="Z210" t="inlineStr"/>
      <c r="AA210" t="inlineStr"/>
      <c r="AB210" t="inlineStr"/>
      <c r="AC210" t="inlineStr"/>
      <c r="AD210" t="inlineStr">
        <is>
          <t>לא נמצא בסריקת המפיצים</t>
        </is>
      </c>
      <c r="AE210" t="inlineStr">
        <is>
          <t>סריקת אתרי מפיצים</t>
        </is>
      </c>
      <c r="AG210" t="inlineStr"/>
      <c r="AH210" t="inlineStr"/>
      <c r="AJ210" t="inlineStr">
        <is>
          <t>609-807-3070</t>
        </is>
      </c>
      <c r="AM210" t="inlineStr">
        <is>
          <t>https://bioplastmfg.com/contact/</t>
        </is>
      </c>
      <c r="AN210" t="inlineStr">
        <is>
          <t>https://bioplastmfg.com/contact/</t>
        </is>
      </c>
      <c r="AP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Y211" t="inlineStr">
        <is>
          <t>unknown</t>
        </is>
      </c>
      <c r="Z211" t="inlineStr"/>
      <c r="AA211" t="inlineStr"/>
      <c r="AB211" t="inlineStr"/>
      <c r="AC211" t="inlineStr"/>
      <c r="AD211" t="inlineStr">
        <is>
          <t>לא נמצא בסריקת המפיצים</t>
        </is>
      </c>
      <c r="AE211" t="inlineStr">
        <is>
          <t>סריקת אתרי מפיצים</t>
        </is>
      </c>
      <c r="AG211" t="inlineStr"/>
      <c r="AH211" t="inlineStr"/>
      <c r="AJ211" t="inlineStr"/>
      <c r="AM211" t="inlineStr">
        <is>
          <t>https://bioplastics.com/contactus.aspx</t>
        </is>
      </c>
      <c r="AN211" t="inlineStr">
        <is>
          <t>https://bioplastics.com/contactus.aspx</t>
        </is>
      </c>
      <c r="AP211" t="inlineStr">
        <is>
          <t>https://www.dutscher.com/search?initialFilters=brand:Bioplastics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Y212" t="inlineStr">
        <is>
          <t>unknown</t>
        </is>
      </c>
      <c r="Z212" t="inlineStr"/>
      <c r="AA212" t="inlineStr"/>
      <c r="AB212" t="inlineStr"/>
      <c r="AC212" t="inlineStr"/>
      <c r="AD212" t="inlineStr">
        <is>
          <t>לא נמצא בסריקת המפיצים</t>
        </is>
      </c>
      <c r="AE212" t="inlineStr">
        <is>
          <t>סריקת אתרי מפיצים</t>
        </is>
      </c>
      <c r="AG212" t="inlineStr"/>
      <c r="AH212" t="inlineStr"/>
      <c r="AJ212" t="inlineStr">
        <is>
          <t>+1-724-282-7145</t>
        </is>
      </c>
      <c r="AK212" t="inlineStr">
        <is>
          <t>info@bioptechs.com</t>
        </is>
      </c>
      <c r="AM212" t="inlineStr">
        <is>
          <t>https://bioptechs.com/contact-us/</t>
        </is>
      </c>
      <c r="AN212" t="inlineStr">
        <is>
          <t>https://bioptechs.com/contact-us/</t>
        </is>
      </c>
      <c r="AP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clearbit_verified</t>
        </is>
      </c>
      <c r="J213" t="inlineStr"/>
      <c r="Y213" t="inlineStr">
        <is>
          <t>unknown</t>
        </is>
      </c>
      <c r="Z213" t="inlineStr"/>
      <c r="AA213" t="inlineStr"/>
      <c r="AB213" t="inlineStr"/>
      <c r="AC213" t="inlineStr"/>
      <c r="AD213" t="inlineStr">
        <is>
          <t>מפיץ/נציג בישראל</t>
        </is>
      </c>
      <c r="AE213" t="inlineStr">
        <is>
          <t>סריקת אתרי מפיצים</t>
        </is>
      </c>
      <c r="AF213" t="n">
        <v>2026</v>
      </c>
      <c r="AG213" t="inlineStr">
        <is>
          <t>distributor of Recombinant Proteins, Antibodies, Cell Line, ELISA Kit</t>
        </is>
      </c>
      <c r="AH213" t="inlineStr">
        <is>
          <t>distributor of Recombinant Proteins, Antibodies, Cell Line, ELISA Kit: 054-5544004 info@doronscientific.com</t>
        </is>
      </c>
      <c r="AJ213" t="inlineStr">
        <is>
          <t>+1 (415) 906-5211</t>
        </is>
      </c>
      <c r="AK213" t="inlineStr">
        <is>
          <t>info@biorbyt.com</t>
        </is>
      </c>
      <c r="AM213" t="inlineStr">
        <is>
          <t>https://www.biorbyt.com/contact-us</t>
        </is>
      </c>
      <c r="AN213" t="inlineStr">
        <is>
          <t>https://www.biorbyt.com/contact-us</t>
        </is>
      </c>
      <c r="AP213" t="inlineStr">
        <is>
          <t>https://www.quartzy.com/suppliers | https://doronscientific.com/products/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Y214" t="inlineStr">
        <is>
          <t>unknown</t>
        </is>
      </c>
      <c r="Z214" t="inlineStr"/>
      <c r="AA214" t="inlineStr"/>
      <c r="AB214" t="inlineStr"/>
      <c r="AC214" t="inlineStr"/>
      <c r="AD214" t="inlineStr">
        <is>
          <t>לא נמצא בסריקת המפיצים</t>
        </is>
      </c>
      <c r="AE214" t="inlineStr">
        <is>
          <t>סריקת אתרי מפיצים</t>
        </is>
      </c>
      <c r="AG214" t="inlineStr"/>
      <c r="AH214" t="inlineStr"/>
      <c r="AJ214" t="inlineStr">
        <is>
          <t>8779589030</t>
        </is>
      </c>
      <c r="AK214" t="inlineStr">
        <is>
          <t>info@bioscienceinternational.com</t>
        </is>
      </c>
      <c r="AM214" t="inlineStr">
        <is>
          <t>https://www.bioscienceinternational.com/contact-us/</t>
        </is>
      </c>
      <c r="AN214" t="inlineStr">
        <is>
          <t>https://www.bioscienceinternational.com/contact-us/</t>
        </is>
      </c>
      <c r="AP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Y215" t="inlineStr">
        <is>
          <t>unknown</t>
        </is>
      </c>
      <c r="Z215" t="inlineStr"/>
      <c r="AA215" t="inlineStr"/>
      <c r="AB215" t="inlineStr"/>
      <c r="AC215" t="inlineStr"/>
      <c r="AD215" t="inlineStr">
        <is>
          <t>לא נמצא בסריקת המפיצים</t>
        </is>
      </c>
      <c r="AE215" t="inlineStr">
        <is>
          <t>סריקת אתרי מפיצים</t>
        </is>
      </c>
      <c r="AG215" t="inlineStr"/>
      <c r="AH215" t="inlineStr"/>
      <c r="AJ215" t="inlineStr"/>
      <c r="AP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Y216" t="inlineStr">
        <is>
          <t>unknown</t>
        </is>
      </c>
      <c r="Z216" t="inlineStr"/>
      <c r="AA216" t="inlineStr"/>
      <c r="AB216" t="inlineStr"/>
      <c r="AC216" t="inlineStr"/>
      <c r="AD216" t="inlineStr">
        <is>
          <t>לא נמצא בסריקת המפיצים</t>
        </is>
      </c>
      <c r="AE216" t="inlineStr">
        <is>
          <t>סריקת אתרי מפיצים</t>
        </is>
      </c>
      <c r="AG216" t="inlineStr"/>
      <c r="AH216" t="inlineStr"/>
      <c r="AJ216" t="inlineStr"/>
      <c r="AK216" t="inlineStr">
        <is>
          <t>info@biosolve-chimie.com</t>
        </is>
      </c>
      <c r="AM216" t="inlineStr">
        <is>
          <t>http://www.biosolve-chemicals.eu/EN/contact.php</t>
        </is>
      </c>
      <c r="AN216" t="inlineStr">
        <is>
          <t>http://www.biosolve-chemicals.eu/EN/contact.php</t>
        </is>
      </c>
      <c r="AP216" t="inlineStr">
        <is>
          <t>https://www.dutscher.com/search?initialFilters=brand:Biosolve | http://www.biosolve-chemicals.eu/EN/contact.php</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Y217" t="inlineStr">
        <is>
          <t>unknown</t>
        </is>
      </c>
      <c r="Z217" t="inlineStr"/>
      <c r="AA217" t="inlineStr"/>
      <c r="AB217" t="inlineStr"/>
      <c r="AC217" t="inlineStr"/>
      <c r="AD217" t="inlineStr">
        <is>
          <t>לא נמצא בחיפוש ראשוני</t>
        </is>
      </c>
      <c r="AE217" t="inlineStr">
        <is>
          <t>חיפוש חלקי</t>
        </is>
      </c>
      <c r="AG217" t="inlineStr"/>
      <c r="AH217" t="inlineStr"/>
      <c r="AI217" t="inlineStr">
        <is>
          <t>BioSpec Products' distributor page (biospec.com/distributors) lists partners by country but the visible part stopped at China; Israeli distributors Enco, Rhenium, Syntezza appeared without any link to BioSpec. Target site biospec.de may be a different company.</t>
        </is>
      </c>
      <c r="AJ217" t="inlineStr"/>
      <c r="AP217" t="inlineStr">
        <is>
          <t>https://www.dutscher.com/search?initialFilters=brand:Biospec | https://www.quartzy.com/suppliers | https://www.thomassci.com/browse-by/suppliers/biospec</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P218" t="n">
        <v>700</v>
      </c>
      <c r="Q218" t="n">
        <v>2025</v>
      </c>
      <c r="R218" t="inlineStr">
        <is>
          <t>company</t>
        </is>
      </c>
      <c r="S218" t="inlineStr">
        <is>
          <t>prior</t>
        </is>
      </c>
      <c r="T218" t="n">
        <v>201</v>
      </c>
      <c r="U218" t="inlineStr">
        <is>
          <t>SEK 2,056 million</t>
        </is>
      </c>
      <c r="V218" t="inlineStr">
        <is>
          <t>FY2024</t>
        </is>
      </c>
      <c r="W218" t="inlineStr">
        <is>
          <t>company</t>
        </is>
      </c>
      <c r="X218" t="inlineStr">
        <is>
          <t>prior</t>
        </is>
      </c>
      <c r="Y218" t="inlineStr">
        <is>
          <t>reported</t>
        </is>
      </c>
      <c r="Z218" t="inlineStr">
        <is>
          <t>Biotage Selekt (with Sfär columns)</t>
        </is>
      </c>
      <c r="AA218" t="inlineStr">
        <is>
          <t>Biotage Extrahera</t>
        </is>
      </c>
      <c r="AB218" t="inlineStr">
        <is>
          <t>Biotage Initiator+ / Alstra+</t>
        </is>
      </c>
      <c r="AC218" t="inlineStr">
        <is>
          <t>prior</t>
        </is>
      </c>
      <c r="AD218" t="inlineStr">
        <is>
          <t>מפיץ/נציג בישראל</t>
        </is>
      </c>
      <c r="AE218" t="inlineStr">
        <is>
          <t>אומת</t>
        </is>
      </c>
      <c r="AF218" t="n">
        <v>2026</v>
      </c>
      <c r="AG218" t="inlineStr">
        <is>
          <t>Bargal Analytical Instruments Ltd.</t>
        </is>
      </c>
      <c r="AH218" t="inlineStr">
        <is>
          <t>Bargal Analytical Instruments Ltd.: +972-3-979-6533 sales@bargal.co.il</t>
        </is>
      </c>
      <c r="AI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J218" t="inlineStr">
        <is>
          <t>+46 18 56 59 00</t>
        </is>
      </c>
      <c r="AK218" t="inlineStr">
        <is>
          <t>info@biotage.com</t>
        </is>
      </c>
      <c r="AL218" t="inlineStr">
        <is>
          <t>Vimpelgatan 5 (visiting; postal: Box 8, 751 03 Uppsala), Uppsala, Sweden</t>
        </is>
      </c>
      <c r="AM218" t="inlineStr">
        <is>
          <t>https://www.biotage.com/contact</t>
        </is>
      </c>
      <c r="AN218" t="inlineStr">
        <is>
          <t>https://www.biotage.com/contact</t>
        </is>
      </c>
      <c r="AP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Y219" t="inlineStr">
        <is>
          <t>unknown</t>
        </is>
      </c>
      <c r="Z219" t="inlineStr"/>
      <c r="AA219" t="inlineStr"/>
      <c r="AB219" t="inlineStr"/>
      <c r="AC219" t="inlineStr"/>
      <c r="AD219" t="inlineStr">
        <is>
          <t>לא נמצא בסריקת המפיצים</t>
        </is>
      </c>
      <c r="AE219" t="inlineStr">
        <is>
          <t>סריקת אתרי מפיצים</t>
        </is>
      </c>
      <c r="AG219" t="inlineStr"/>
      <c r="AH219" t="inlineStr"/>
      <c r="AJ219" t="inlineStr">
        <is>
          <t>+493055578210</t>
        </is>
      </c>
      <c r="AK219" t="inlineStr">
        <is>
          <t>info@biotechrabbit.com</t>
        </is>
      </c>
      <c r="AM219" t="inlineStr">
        <is>
          <t>https://www.biotechrabbit.com/contact-us.html</t>
        </is>
      </c>
      <c r="AN219" t="inlineStr">
        <is>
          <t>https://www.biotechrabbit.com/contact-us.html</t>
        </is>
      </c>
      <c r="AP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Y220" t="inlineStr">
        <is>
          <t>unknown</t>
        </is>
      </c>
      <c r="Z220" t="inlineStr"/>
      <c r="AA220" t="inlineStr"/>
      <c r="AB220" t="inlineStr"/>
      <c r="AC220" t="inlineStr"/>
      <c r="AD220" t="inlineStr">
        <is>
          <t>מפיץ/נציג בישראל</t>
        </is>
      </c>
      <c r="AE220" t="inlineStr">
        <is>
          <t>חיפוש חלקי</t>
        </is>
      </c>
      <c r="AF220" t="n">
        <v>2026</v>
      </c>
      <c r="AG220" t="inlineStr">
        <is>
          <t>Doron Scientific; Enco Scientific Services Ltd. (Enco Diagnostics); New Biotechnology Ltd; Origolab Ltd</t>
        </is>
      </c>
      <c r="AH220" t="inlineStr">
        <is>
          <t>Doron Scientific: +972-54-554-4004; Enco Scientific Services Ltd. (Enco Diagnostics):; New Biotechnology Ltd: +972-2-673-2001 nbtsales@nbtltd.com; Origolab Ltd: +972-2-566-9285 origolab@netmedia.net.il</t>
        </is>
      </c>
      <c r="AI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J220" t="inlineStr"/>
      <c r="AP220" t="inlineStr">
        <is>
          <t>https://www.dutscher.com/search?initialFilters=brand:Biotium | https://www.quartzy.com/suppliers | https://www.thomassci.com/browse-by/suppliers/biotium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Y221" t="inlineStr">
        <is>
          <t>unknown</t>
        </is>
      </c>
      <c r="Z221" t="inlineStr"/>
      <c r="AA221" t="inlineStr"/>
      <c r="AB221" t="inlineStr"/>
      <c r="AC221" t="inlineStr"/>
      <c r="AD221" t="inlineStr">
        <is>
          <t>לא נמצא בסריקת המפיצים</t>
        </is>
      </c>
      <c r="AE221" t="inlineStr">
        <is>
          <t>סריקת אתרי מפיצים</t>
        </is>
      </c>
      <c r="AG221" t="inlineStr"/>
      <c r="AH221" t="inlineStr"/>
      <c r="AJ221" t="inlineStr">
        <is>
          <t>858.875.7696</t>
        </is>
      </c>
      <c r="AM221" t="inlineStr">
        <is>
          <t>https://biotix.com/contact/</t>
        </is>
      </c>
      <c r="AN221" t="inlineStr">
        <is>
          <t>https://biotix.com/contact/</t>
        </is>
      </c>
      <c r="AP221" t="inlineStr">
        <is>
          <t>https://www.thomassci.com/browse-by/suppliers/biotix | https://biotix.com/contact/</t>
        </is>
      </c>
    </row>
    <row r="222">
      <c r="A222" t="n">
        <v>221</v>
      </c>
      <c r="B222" t="inlineStr">
        <is>
          <t>BioVision</t>
        </is>
      </c>
      <c r="C222" t="inlineStr">
        <is>
          <t>Q</t>
        </is>
      </c>
      <c r="F222" t="inlineStr">
        <is>
          <t>yes</t>
        </is>
      </c>
      <c r="H222" t="inlineStr">
        <is>
          <t>https://biovision.com</t>
        </is>
      </c>
      <c r="I222" t="inlineStr">
        <is>
          <t>clearbit</t>
        </is>
      </c>
      <c r="J222" t="inlineStr"/>
      <c r="Y222" t="inlineStr">
        <is>
          <t>unknown</t>
        </is>
      </c>
      <c r="Z222" t="inlineStr"/>
      <c r="AA222" t="inlineStr"/>
      <c r="AB222" t="inlineStr"/>
      <c r="AC222" t="inlineStr"/>
      <c r="AD222" t="inlineStr">
        <is>
          <t>לא נמצא בסריקת המפיצים</t>
        </is>
      </c>
      <c r="AE222" t="inlineStr">
        <is>
          <t>סריקת אתרי מפיצים</t>
        </is>
      </c>
      <c r="AG222" t="inlineStr"/>
      <c r="AH222" t="inlineStr"/>
      <c r="AJ222" t="inlineStr"/>
      <c r="AP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Y223" t="inlineStr">
        <is>
          <t>unknown</t>
        </is>
      </c>
      <c r="Z223" t="inlineStr"/>
      <c r="AA223" t="inlineStr"/>
      <c r="AB223" t="inlineStr"/>
      <c r="AC223" t="inlineStr"/>
      <c r="AD223" t="inlineStr">
        <is>
          <t>מפיץ/נציג בישראל</t>
        </is>
      </c>
      <c r="AE223" t="inlineStr">
        <is>
          <t>סריקת אתרי מפיצים</t>
        </is>
      </c>
      <c r="AF223" t="n">
        <v>2026</v>
      </c>
      <c r="AG223" t="inlineStr">
        <is>
          <t>distributor of Recombinant Proteins, Antibodies, Cell Line, ELISA Kit; Tivan Biotech</t>
        </is>
      </c>
      <c r="AH223" t="inlineStr">
        <is>
          <t>distributor of Recombinant Proteins, Antibodies, Cell Line, ELISA Kit: 054-5544004 info@doronscientific.com; Tivan Biotech: 077-4701591 customerservice@tivanbiotech.com</t>
        </is>
      </c>
      <c r="AI223" t="inlineStr">
        <is>
          <t>bioWORLD (Dublin, OH) claims distribution partners in 45 countries but none named for Israel; results polluted by the BioWorld news publication; Enco appeared with no link.</t>
        </is>
      </c>
      <c r="AJ223" t="inlineStr"/>
      <c r="AN223" t="inlineStr">
        <is>
          <t>https://www.bioworld.com/</t>
        </is>
      </c>
      <c r="AP223" t="inlineStr">
        <is>
          <t>https://www.quartzy.com/suppliers | https://www.thomassci.com/browse-by/suppliers/bioworld | https://doronscientific.com/products/ | https://tivanbiotech.com/manufacturers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Y224" t="inlineStr">
        <is>
          <t>unknown</t>
        </is>
      </c>
      <c r="Z224" t="inlineStr"/>
      <c r="AA224" t="inlineStr"/>
      <c r="AB224" t="inlineStr"/>
      <c r="AC224" t="inlineStr"/>
      <c r="AD224" t="inlineStr">
        <is>
          <t>לא נמצא בסריקת המפיצים</t>
        </is>
      </c>
      <c r="AE224" t="inlineStr">
        <is>
          <t>סריקת אתרי מפיצים</t>
        </is>
      </c>
      <c r="AG224" t="inlineStr"/>
      <c r="AH224" t="inlineStr"/>
      <c r="AJ224" t="inlineStr"/>
      <c r="AK224" t="inlineStr">
        <is>
          <t>orders@birchbiotech.com</t>
        </is>
      </c>
      <c r="AM224" t="inlineStr">
        <is>
          <t>https://www.birchbiotech.com/pages/contact</t>
        </is>
      </c>
      <c r="AN224" t="inlineStr">
        <is>
          <t>https://www.birchbiotech.com/pages/contact</t>
        </is>
      </c>
      <c r="AP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Y225" t="inlineStr">
        <is>
          <t>unknown</t>
        </is>
      </c>
      <c r="Z225" t="inlineStr"/>
      <c r="AA225" t="inlineStr"/>
      <c r="AB225" t="inlineStr"/>
      <c r="AC225" t="inlineStr"/>
      <c r="AD225" t="inlineStr">
        <is>
          <t>לא נמצא בסריקת המפיצים</t>
        </is>
      </c>
      <c r="AE225" t="inlineStr">
        <is>
          <t>סריקת אתרי מפיצים</t>
        </is>
      </c>
      <c r="AG225" t="inlineStr"/>
      <c r="AH225" t="inlineStr"/>
      <c r="AJ225" t="inlineStr"/>
      <c r="AP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Y226" t="inlineStr">
        <is>
          <t>unknown</t>
        </is>
      </c>
      <c r="Z226" t="inlineStr"/>
      <c r="AA226" t="inlineStr"/>
      <c r="AB226" t="inlineStr"/>
      <c r="AC226" t="inlineStr"/>
      <c r="AD226" t="inlineStr">
        <is>
          <t>לא נמצא בסריקת המפיצים</t>
        </is>
      </c>
      <c r="AE226" t="inlineStr">
        <is>
          <t>סריקת אתרי מפיצים</t>
        </is>
      </c>
      <c r="AG226" t="inlineStr"/>
      <c r="AH226" t="inlineStr"/>
      <c r="AJ226" t="inlineStr"/>
      <c r="AP226" t="inlineStr">
        <is>
          <t>https://www.thomassci.com/browse-by/suppliers/blazer</t>
        </is>
      </c>
    </row>
    <row r="227">
      <c r="A227" t="n">
        <v>226</v>
      </c>
      <c r="B227" t="inlineStr">
        <is>
          <t>BLD Pharmatech</t>
        </is>
      </c>
      <c r="C227" t="inlineStr">
        <is>
          <t>Q</t>
        </is>
      </c>
      <c r="F227" t="inlineStr">
        <is>
          <t>yes</t>
        </is>
      </c>
      <c r="J227" t="inlineStr"/>
      <c r="Y227" t="inlineStr">
        <is>
          <t>unknown</t>
        </is>
      </c>
      <c r="Z227" t="inlineStr"/>
      <c r="AA227" t="inlineStr"/>
      <c r="AB227" t="inlineStr"/>
      <c r="AC227" t="inlineStr"/>
      <c r="AD227" t="inlineStr">
        <is>
          <t>לא נמצא בסריקת המפיצים</t>
        </is>
      </c>
      <c r="AE227" t="inlineStr">
        <is>
          <t>סריקת אתרי מפיצים</t>
        </is>
      </c>
      <c r="AG227" t="inlineStr"/>
      <c r="AH227" t="inlineStr"/>
      <c r="AJ227" t="inlineStr"/>
      <c r="AP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Y228" t="inlineStr">
        <is>
          <t>unknown</t>
        </is>
      </c>
      <c r="Z228" t="inlineStr"/>
      <c r="AA228" t="inlineStr"/>
      <c r="AB228" t="inlineStr"/>
      <c r="AC228" t="inlineStr"/>
      <c r="AD228" t="inlineStr">
        <is>
          <t>לא נמצא בסריקת המפיצים</t>
        </is>
      </c>
      <c r="AE228" t="inlineStr">
        <is>
          <t>סריקת אתרי מפיצים</t>
        </is>
      </c>
      <c r="AG228" t="inlineStr"/>
      <c r="AH228" t="inlineStr"/>
      <c r="AJ228" t="inlineStr">
        <is>
          <t>9085684885</t>
        </is>
      </c>
      <c r="AM228" t="inlineStr">
        <is>
          <t>https://blueoceanlifesciences.com/contact</t>
        </is>
      </c>
      <c r="AN228" t="inlineStr">
        <is>
          <t>https://blueoceanlifesciences.com/contact</t>
        </is>
      </c>
      <c r="AP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Y229" t="inlineStr">
        <is>
          <t>unknown</t>
        </is>
      </c>
      <c r="Z229" t="inlineStr"/>
      <c r="AA229" t="inlineStr"/>
      <c r="AB229" t="inlineStr"/>
      <c r="AC229" t="inlineStr"/>
      <c r="AD229" t="inlineStr">
        <is>
          <t>לא נמצא בחיפוש ראשוני</t>
        </is>
      </c>
      <c r="AE229" t="inlineStr">
        <is>
          <t>חיפוש חלקי</t>
        </is>
      </c>
      <c r="AG229" t="inlineStr"/>
      <c r="AH229" t="inlineStr"/>
      <c r="AI229" t="inlineStr">
        <is>
          <t>No result mentions Blue-Ray Biotech; hits are generic Israeli distributor profiles (Enco, Agentek, Eldan, Rhenium, Ornat) and unrelated press releases.</t>
        </is>
      </c>
      <c r="AJ229" t="inlineStr"/>
      <c r="AP229" t="inlineStr">
        <is>
          <t>https://www.dutscher.com/search?initialFilters=brand:Blue-Ray+Biotech | https://www.thomassci.com/browse-by/suppliers/blue-ray-biotech-corporation</t>
        </is>
      </c>
    </row>
    <row r="230">
      <c r="A230" t="n">
        <v>229</v>
      </c>
      <c r="B230" t="inlineStr">
        <is>
          <t>BMS</t>
        </is>
      </c>
      <c r="C230" t="inlineStr">
        <is>
          <t>D</t>
        </is>
      </c>
      <c r="D230" t="inlineStr">
        <is>
          <t>https://www.dutscher.com/search?initialFilters=brand:BMS</t>
        </is>
      </c>
      <c r="F230" t="inlineStr"/>
      <c r="J230" t="inlineStr"/>
      <c r="Y230" t="inlineStr">
        <is>
          <t>unknown</t>
        </is>
      </c>
      <c r="Z230" t="inlineStr"/>
      <c r="AA230" t="inlineStr"/>
      <c r="AB230" t="inlineStr"/>
      <c r="AC230" t="inlineStr"/>
      <c r="AD230" t="inlineStr">
        <is>
          <t>לא נמצא בסריקת המפיצים</t>
        </is>
      </c>
      <c r="AE230" t="inlineStr">
        <is>
          <t>סריקת אתרי מפיצים</t>
        </is>
      </c>
      <c r="AG230" t="inlineStr"/>
      <c r="AH230" t="inlineStr"/>
      <c r="AJ230" t="inlineStr"/>
      <c r="AP230" t="inlineStr">
        <is>
          <t>https://www.dutscher.com/search?initialFilters=brand:BMS</t>
        </is>
      </c>
    </row>
    <row r="231">
      <c r="A231" t="n">
        <v>230</v>
      </c>
      <c r="B231" t="inlineStr">
        <is>
          <t>Boekel</t>
        </is>
      </c>
      <c r="C231" t="inlineStr">
        <is>
          <t>T+Q</t>
        </is>
      </c>
      <c r="E231" t="inlineStr">
        <is>
          <t>https://www.thomassci.com/browse-by/suppliers/boekel</t>
        </is>
      </c>
      <c r="F231" t="inlineStr">
        <is>
          <t>yes</t>
        </is>
      </c>
      <c r="J231" t="inlineStr"/>
      <c r="Y231" t="inlineStr">
        <is>
          <t>unknown</t>
        </is>
      </c>
      <c r="Z231" t="inlineStr"/>
      <c r="AA231" t="inlineStr"/>
      <c r="AB231" t="inlineStr"/>
      <c r="AC231" t="inlineStr"/>
      <c r="AD231" t="inlineStr">
        <is>
          <t>לא נמצא בחיפוש ראשוני</t>
        </is>
      </c>
      <c r="AE231" t="inlineStr">
        <is>
          <t>חיפוש חלקי</t>
        </is>
      </c>
      <c r="AG231" t="inlineStr"/>
      <c r="AH231" t="inlineStr"/>
      <c r="AI231" t="inlineStr">
        <is>
          <t>Boekel Scientific cites a worldwide distribution network, but the results did not include its distributor list or any Israeli partner (Agentek surfaced without a Boekel link).</t>
        </is>
      </c>
      <c r="AJ231" t="inlineStr"/>
      <c r="AP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Y232" t="inlineStr">
        <is>
          <t>unknown</t>
        </is>
      </c>
      <c r="Z232" t="inlineStr"/>
      <c r="AA232" t="inlineStr"/>
      <c r="AB232" t="inlineStr"/>
      <c r="AC232" t="inlineStr"/>
      <c r="AD232" t="inlineStr">
        <is>
          <t>לא נמצא בסריקת המפיצים</t>
        </is>
      </c>
      <c r="AE232" t="inlineStr">
        <is>
          <t>סריקת אתרי מפיצים</t>
        </is>
      </c>
      <c r="AG232" t="inlineStr"/>
      <c r="AH232" t="inlineStr"/>
      <c r="AJ232" t="inlineStr"/>
      <c r="AP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Y233" t="inlineStr">
        <is>
          <t>unknown</t>
        </is>
      </c>
      <c r="Z233" t="inlineStr"/>
      <c r="AA233" t="inlineStr"/>
      <c r="AB233" t="inlineStr"/>
      <c r="AC233" t="inlineStr"/>
      <c r="AD233" t="inlineStr">
        <is>
          <t>לא נמצא בסריקת המפיצים</t>
        </is>
      </c>
      <c r="AE233" t="inlineStr">
        <is>
          <t>סריקת אתרי מפיצים</t>
        </is>
      </c>
      <c r="AG233" t="inlineStr"/>
      <c r="AH233" t="inlineStr"/>
      <c r="AJ233" t="inlineStr"/>
      <c r="AP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Y234" t="inlineStr">
        <is>
          <t>unknown</t>
        </is>
      </c>
      <c r="Z234" t="inlineStr"/>
      <c r="AA234" t="inlineStr"/>
      <c r="AB234" t="inlineStr"/>
      <c r="AC234" t="inlineStr"/>
      <c r="AD234" t="inlineStr">
        <is>
          <t>לא נמצא בסריקת המפיצים</t>
        </is>
      </c>
      <c r="AE234" t="inlineStr">
        <is>
          <t>סריקת אתרי מפיצים</t>
        </is>
      </c>
      <c r="AG234" t="inlineStr"/>
      <c r="AH234" t="inlineStr"/>
      <c r="AJ234" t="inlineStr"/>
      <c r="AP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clearbit_verified</t>
        </is>
      </c>
      <c r="J235" t="inlineStr"/>
      <c r="Y235" t="inlineStr">
        <is>
          <t>unknown</t>
        </is>
      </c>
      <c r="Z235" t="inlineStr"/>
      <c r="AA235" t="inlineStr"/>
      <c r="AB235" t="inlineStr"/>
      <c r="AC235" t="inlineStr"/>
      <c r="AD235" t="inlineStr">
        <is>
          <t>לא נמצא בסריקת המפיצים</t>
        </is>
      </c>
      <c r="AE235" t="inlineStr">
        <is>
          <t>סריקת אתרי מפיצים</t>
        </is>
      </c>
      <c r="AG235" t="inlineStr"/>
      <c r="AH235" t="inlineStr"/>
      <c r="AJ235" t="inlineStr">
        <is>
          <t>1800224552</t>
        </is>
      </c>
      <c r="AK235" t="inlineStr">
        <is>
          <t>marketing@newsletterborosil.com</t>
        </is>
      </c>
      <c r="AM235" t="inlineStr">
        <is>
          <t>https://myborosil.com/pages/contact-us</t>
        </is>
      </c>
      <c r="AN235" t="inlineStr">
        <is>
          <t>https://myborosil.com/pages/contact-us</t>
        </is>
      </c>
      <c r="AP235" t="inlineStr">
        <is>
          <t>https://www.thomassci.com/browse-by/suppliers/borosil | https://myborosil.com/pages/contact-us</t>
        </is>
      </c>
    </row>
    <row r="236">
      <c r="A236" t="n">
        <v>235</v>
      </c>
      <c r="B236" t="inlineStr">
        <is>
          <t>Boss® by PIP Global Safety</t>
        </is>
      </c>
      <c r="C236" t="inlineStr">
        <is>
          <t>T</t>
        </is>
      </c>
      <c r="E236" t="inlineStr">
        <is>
          <t>https://www.thomassci.com/browse-by/suppliers/boss-by-pip-global-safety</t>
        </is>
      </c>
      <c r="F236" t="inlineStr"/>
      <c r="J236" t="inlineStr"/>
      <c r="Y236" t="inlineStr">
        <is>
          <t>unknown</t>
        </is>
      </c>
      <c r="Z236" t="inlineStr"/>
      <c r="AA236" t="inlineStr"/>
      <c r="AB236" t="inlineStr"/>
      <c r="AC236" t="inlineStr"/>
      <c r="AD236" t="inlineStr">
        <is>
          <t>לא נמצא בסריקת המפיצים</t>
        </is>
      </c>
      <c r="AE236" t="inlineStr">
        <is>
          <t>סריקת אתרי מפיצים</t>
        </is>
      </c>
      <c r="AG236" t="inlineStr"/>
      <c r="AH236" t="inlineStr"/>
      <c r="AJ236" t="inlineStr"/>
      <c r="AP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Y237" t="inlineStr">
        <is>
          <t>unknown</t>
        </is>
      </c>
      <c r="Z237" t="inlineStr"/>
      <c r="AA237" t="inlineStr"/>
      <c r="AB237" t="inlineStr"/>
      <c r="AC237" t="inlineStr"/>
      <c r="AD237" t="inlineStr">
        <is>
          <t>מפיץ/נציג בישראל</t>
        </is>
      </c>
      <c r="AE237" t="inlineStr">
        <is>
          <t>סריקת אתרי מפיצים</t>
        </is>
      </c>
      <c r="AF237" t="n">
        <v>2026</v>
      </c>
      <c r="AG237" t="inlineStr">
        <is>
          <t>distributor of Recombinant Proteins, Antibodies, Cell Line, ELISA Kit</t>
        </is>
      </c>
      <c r="AH237" t="inlineStr">
        <is>
          <t>distributor of Recombinant Proteins, Antibodies, Cell Line, ELISA Kit: 054-5544004 info@doronscientific.com</t>
        </is>
      </c>
      <c r="AJ237" t="inlineStr">
        <is>
          <t>888-466-3604</t>
        </is>
      </c>
      <c r="AK237" t="inlineStr">
        <is>
          <t>sales@bosterbio.com</t>
        </is>
      </c>
      <c r="AM237" t="inlineStr">
        <is>
          <t>https://www.bosterbio.com/contact-us</t>
        </is>
      </c>
      <c r="AN237" t="inlineStr">
        <is>
          <t>https://www.bosterbio.com/contact-us</t>
        </is>
      </c>
      <c r="AP237" t="inlineStr">
        <is>
          <t>https://www.quartzy.com/suppliers | https://doronscientific.com/products/ | https://www.bosterbio.com/contact-us</t>
        </is>
      </c>
    </row>
    <row r="238">
      <c r="A238" t="n">
        <v>237</v>
      </c>
      <c r="B238" t="inlineStr">
        <is>
          <t>Boston Biochem</t>
        </is>
      </c>
      <c r="C238" t="inlineStr">
        <is>
          <t>Q</t>
        </is>
      </c>
      <c r="F238" t="inlineStr">
        <is>
          <t>yes</t>
        </is>
      </c>
      <c r="J238" t="inlineStr"/>
      <c r="Y238" t="inlineStr">
        <is>
          <t>unknown</t>
        </is>
      </c>
      <c r="Z238" t="inlineStr"/>
      <c r="AA238" t="inlineStr"/>
      <c r="AB238" t="inlineStr"/>
      <c r="AC238" t="inlineStr"/>
      <c r="AD238" t="inlineStr">
        <is>
          <t>לא נמצא בסריקת המפיצים</t>
        </is>
      </c>
      <c r="AE238" t="inlineStr">
        <is>
          <t>סריקת אתרי מפיצים</t>
        </is>
      </c>
      <c r="AG238" t="inlineStr"/>
      <c r="AH238" t="inlineStr"/>
      <c r="AJ238" t="inlineStr"/>
      <c r="AP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clearbit_verified</t>
        </is>
      </c>
      <c r="J239" t="inlineStr"/>
      <c r="Y239" t="inlineStr">
        <is>
          <t>unknown</t>
        </is>
      </c>
      <c r="Z239" t="inlineStr"/>
      <c r="AA239" t="inlineStr"/>
      <c r="AB239" t="inlineStr"/>
      <c r="AC239" t="inlineStr"/>
      <c r="AD239" t="inlineStr">
        <is>
          <t>לא נמצא בחיפוש ראשוני</t>
        </is>
      </c>
      <c r="AE239" t="inlineStr">
        <is>
          <t>חיפוש חלקי</t>
        </is>
      </c>
      <c r="AG239" t="inlineStr"/>
      <c r="AH239" t="inlineStr"/>
      <c r="AI239" t="inlineStr">
        <is>
          <t>Only Israel hit was Boston Scientific / Amos Gazit (2014), a different company; Boston BioProducts profiles mention no Israeli partner.</t>
        </is>
      </c>
      <c r="AJ239" t="inlineStr">
        <is>
          <t>(508) 231-4777</t>
        </is>
      </c>
      <c r="AM239" t="inlineStr">
        <is>
          <t>https://www.bostonbioproducts.com/contact-us</t>
        </is>
      </c>
      <c r="AN239" t="inlineStr">
        <is>
          <t>https://www.bostonbioproducts.com/contact-us</t>
        </is>
      </c>
      <c r="AP239" t="inlineStr">
        <is>
          <t>https://www.quartzy.com/suppliers | https://www.thomassci.com/browse-by/suppliers/boston-bioproducts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Y240" t="inlineStr">
        <is>
          <t>unknown</t>
        </is>
      </c>
      <c r="Z240" t="inlineStr"/>
      <c r="AA240" t="inlineStr"/>
      <c r="AB240" t="inlineStr"/>
      <c r="AC240" t="inlineStr"/>
      <c r="AD240" t="inlineStr">
        <is>
          <t>לא נמצא בסריקת המפיצים</t>
        </is>
      </c>
      <c r="AE240" t="inlineStr">
        <is>
          <t>סריקת אתרי מפיצים</t>
        </is>
      </c>
      <c r="AG240" t="inlineStr"/>
      <c r="AH240" t="inlineStr"/>
      <c r="AJ240" t="inlineStr">
        <is>
          <t>623-582-6700</t>
        </is>
      </c>
      <c r="AM240" t="inlineStr">
        <is>
          <t>https://www.botron.com/contact-us/</t>
        </is>
      </c>
      <c r="AN240" t="inlineStr">
        <is>
          <t>https://www.botron.com/contact-us/</t>
        </is>
      </c>
      <c r="AP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Y241" t="inlineStr">
        <is>
          <t>unknown</t>
        </is>
      </c>
      <c r="Z241" t="inlineStr"/>
      <c r="AA241" t="inlineStr"/>
      <c r="AB241" t="inlineStr"/>
      <c r="AC241" t="inlineStr"/>
      <c r="AD241" t="inlineStr">
        <is>
          <t>לא נמצא בסריקת המפיצים</t>
        </is>
      </c>
      <c r="AE241" t="inlineStr">
        <is>
          <t>סריקת אתרי מפיצים</t>
        </is>
      </c>
      <c r="AG241" t="inlineStr"/>
      <c r="AH241" t="inlineStr"/>
      <c r="AJ241" t="inlineStr"/>
      <c r="AP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Y242" t="inlineStr">
        <is>
          <t>unknown</t>
        </is>
      </c>
      <c r="Z242" t="inlineStr"/>
      <c r="AA242" t="inlineStr"/>
      <c r="AB242" t="inlineStr"/>
      <c r="AC242" t="inlineStr"/>
      <c r="AD242" t="inlineStr">
        <is>
          <t>לא נמצא בסריקת המפיצים</t>
        </is>
      </c>
      <c r="AE242" t="inlineStr">
        <is>
          <t>סריקת אתרי מפיצים</t>
        </is>
      </c>
      <c r="AG242" t="inlineStr"/>
      <c r="AH242" t="inlineStr"/>
      <c r="AJ242" t="inlineStr"/>
      <c r="AP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Y243" t="inlineStr">
        <is>
          <t>unknown</t>
        </is>
      </c>
      <c r="Z243" t="inlineStr"/>
      <c r="AA243" t="inlineStr"/>
      <c r="AB243" t="inlineStr"/>
      <c r="AC243" t="inlineStr"/>
      <c r="AD243" t="inlineStr">
        <is>
          <t>לא נמצא בסריקת המפיצים</t>
        </is>
      </c>
      <c r="AE243" t="inlineStr">
        <is>
          <t>סריקת אתרי מפיצים</t>
        </is>
      </c>
      <c r="AG243" t="inlineStr"/>
      <c r="AH243" t="inlineStr"/>
      <c r="AJ243" t="inlineStr"/>
      <c r="AP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Y244" t="inlineStr">
        <is>
          <t>unknown</t>
        </is>
      </c>
      <c r="Z244" t="inlineStr"/>
      <c r="AA244" t="inlineStr"/>
      <c r="AB244" t="inlineStr"/>
      <c r="AC244" t="inlineStr"/>
      <c r="AD244" t="inlineStr">
        <is>
          <t>לא נמצא בסריקת המפיצים</t>
        </is>
      </c>
      <c r="AE244" t="inlineStr">
        <is>
          <t>סריקת אתרי מפיצים</t>
        </is>
      </c>
      <c r="AG244" t="inlineStr"/>
      <c r="AH244" t="inlineStr"/>
      <c r="AJ244" t="inlineStr">
        <is>
          <t>(724) 413-0076</t>
        </is>
      </c>
      <c r="AK244" t="inlineStr">
        <is>
          <t>info@boxscientific.com</t>
        </is>
      </c>
      <c r="AM244" t="inlineStr">
        <is>
          <t>https://boxscientific.com/contact/</t>
        </is>
      </c>
      <c r="AN244" t="inlineStr">
        <is>
          <t>https://boxscientific.com/contact/</t>
        </is>
      </c>
      <c r="AP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Y245" t="inlineStr">
        <is>
          <t>unknown</t>
        </is>
      </c>
      <c r="Z245" t="inlineStr"/>
      <c r="AA245" t="inlineStr"/>
      <c r="AB245" t="inlineStr"/>
      <c r="AC245" t="inlineStr"/>
      <c r="AD245" t="inlineStr">
        <is>
          <t>לא נמצא בחיפוש ראשוני</t>
        </is>
      </c>
      <c r="AE245" t="inlineStr">
        <is>
          <t>חיפוש חלקי</t>
        </is>
      </c>
      <c r="AG245" t="inlineStr"/>
      <c r="AH245" t="inlineStr"/>
      <c r="AI245" t="inlineStr">
        <is>
          <t>Only US parts-distributor listings and a 2016 Brady laboratory-identification catalog with regional contacts (visible portion excluded Israel).</t>
        </is>
      </c>
      <c r="AJ245" t="inlineStr"/>
      <c r="AP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Y246" t="inlineStr">
        <is>
          <t>unknown</t>
        </is>
      </c>
      <c r="Z246" t="inlineStr"/>
      <c r="AA246" t="inlineStr"/>
      <c r="AB246" t="inlineStr"/>
      <c r="AC246" t="inlineStr"/>
      <c r="AD246" t="inlineStr">
        <is>
          <t>לא נמצא בסריקת המפיצים</t>
        </is>
      </c>
      <c r="AE246" t="inlineStr">
        <is>
          <t>סריקת אתרי מפיצים</t>
        </is>
      </c>
      <c r="AG246" t="inlineStr"/>
      <c r="AH246" t="inlineStr"/>
      <c r="AJ246" t="inlineStr"/>
      <c r="AP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P247" t="n">
        <v>1000</v>
      </c>
      <c r="Q247" t="n">
        <v>2025</v>
      </c>
      <c r="R247" t="inlineStr">
        <is>
          <t>parent</t>
        </is>
      </c>
      <c r="S247" t="inlineStr">
        <is>
          <t>prior</t>
        </is>
      </c>
      <c r="T247" t="n">
        <v>176</v>
      </c>
      <c r="U247" t="inlineStr">
        <is>
          <t>EUR ~160 million p.a.</t>
        </is>
      </c>
      <c r="V247" t="inlineStr">
        <is>
          <t>c. FY2024 (undated current company brochure)</t>
        </is>
      </c>
      <c r="W247" t="inlineStr">
        <is>
          <t>parent</t>
        </is>
      </c>
      <c r="X247" t="inlineStr">
        <is>
          <t>prior</t>
        </is>
      </c>
      <c r="Y247" t="inlineStr">
        <is>
          <t>reported</t>
        </is>
      </c>
      <c r="Z247" t="inlineStr">
        <is>
          <t>Transferpette S / electronic</t>
        </is>
      </c>
      <c r="AA247" t="inlineStr">
        <is>
          <t>Dispensette S &amp; HandyStep</t>
        </is>
      </c>
      <c r="AB247" t="inlineStr">
        <is>
          <t>BLAUBRAND volumetric glassware</t>
        </is>
      </c>
      <c r="AC247" t="inlineStr">
        <is>
          <t>prior</t>
        </is>
      </c>
      <c r="AD247" t="inlineStr">
        <is>
          <t>מפיץ/נציג בישראל</t>
        </is>
      </c>
      <c r="AE247" t="inlineStr">
        <is>
          <t>אומת</t>
        </is>
      </c>
      <c r="AF247" t="n">
        <v>2026</v>
      </c>
      <c r="AG247" t="inlineStr">
        <is>
          <t>Labotal Scientific Equipment Ltd.; Yoel Naim Ltd.</t>
        </is>
      </c>
      <c r="AH247" t="inlineStr">
        <is>
          <t>Labotal Scientific Equipment Ltd.: +972 2-579-9222 Sales@labotal.co.il; Yoel Naim Ltd.:</t>
        </is>
      </c>
      <c r="AI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7" t="inlineStr">
        <is>
          <t>+49 9342 808-0</t>
        </is>
      </c>
      <c r="AK247" t="inlineStr">
        <is>
          <t>info@brand.de</t>
        </is>
      </c>
      <c r="AL247" t="inlineStr">
        <is>
          <t>Otto-Schott-Str. 25, 97877 Wertheim, Germany</t>
        </is>
      </c>
      <c r="AM247" t="inlineStr">
        <is>
          <t>https://brand.de/en/contact/how-to-find-us</t>
        </is>
      </c>
      <c r="AN247" t="inlineStr">
        <is>
          <t>https://www.brand.de/en/imprint/</t>
        </is>
      </c>
      <c r="AP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P248" t="n">
        <v>1000</v>
      </c>
      <c r="Q248" t="n">
        <v>2025</v>
      </c>
      <c r="R248" t="inlineStr">
        <is>
          <t>parent</t>
        </is>
      </c>
      <c r="S248" t="inlineStr">
        <is>
          <t>prior</t>
        </is>
      </c>
      <c r="T248" t="n">
        <v>176</v>
      </c>
      <c r="U248" t="inlineStr">
        <is>
          <t>EUR ~160 million p.a.</t>
        </is>
      </c>
      <c r="V248" t="inlineStr">
        <is>
          <t>c. FY2024 (undated current company brochure)</t>
        </is>
      </c>
      <c r="W248" t="inlineStr">
        <is>
          <t>parent</t>
        </is>
      </c>
      <c r="X248" t="inlineStr">
        <is>
          <t>prior</t>
        </is>
      </c>
      <c r="Y248" t="inlineStr">
        <is>
          <t>reported</t>
        </is>
      </c>
      <c r="Z248" t="inlineStr">
        <is>
          <t>Transferpette S / electronic</t>
        </is>
      </c>
      <c r="AA248" t="inlineStr">
        <is>
          <t>Dispensette S &amp; HandyStep</t>
        </is>
      </c>
      <c r="AB248" t="inlineStr">
        <is>
          <t>BLAUBRAND volumetric glassware</t>
        </is>
      </c>
      <c r="AC248" t="inlineStr">
        <is>
          <t>prior</t>
        </is>
      </c>
      <c r="AD248" t="inlineStr">
        <is>
          <t>מפיץ/נציג בישראל</t>
        </is>
      </c>
      <c r="AE248" t="inlineStr">
        <is>
          <t>אומת</t>
        </is>
      </c>
      <c r="AF248" t="n">
        <v>2026</v>
      </c>
      <c r="AG248" t="inlineStr">
        <is>
          <t>Labotal Scientific Equipment Ltd.; Yoel Naim Ltd.</t>
        </is>
      </c>
      <c r="AH248" t="inlineStr">
        <is>
          <t>Labotal Scientific Equipment Ltd.: +972 2-579-9222 Sales@labotal.co.il; Yoel Naim Ltd.:</t>
        </is>
      </c>
      <c r="AI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J248" t="inlineStr">
        <is>
          <t>+49 9342 808-0</t>
        </is>
      </c>
      <c r="AK248" t="inlineStr">
        <is>
          <t>info@brand.de</t>
        </is>
      </c>
      <c r="AL248" t="inlineStr">
        <is>
          <t>Otto-Schott-Str. 25, 97877 Wertheim, Germany</t>
        </is>
      </c>
      <c r="AM248" t="inlineStr">
        <is>
          <t>https://brand.de/en/contact/how-to-find-us</t>
        </is>
      </c>
      <c r="AN248" t="inlineStr">
        <is>
          <t>https://www.brand.de/en/imprint/</t>
        </is>
      </c>
      <c r="AP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is>
      </c>
    </row>
    <row r="249">
      <c r="A249" t="n">
        <v>248</v>
      </c>
      <c r="B249" t="inlineStr">
        <is>
          <t>Branson</t>
        </is>
      </c>
      <c r="C249" t="inlineStr">
        <is>
          <t>T</t>
        </is>
      </c>
      <c r="E249" t="inlineStr">
        <is>
          <t>https://www.thomassci.com/browse-by/suppliers/branson</t>
        </is>
      </c>
      <c r="F249" t="inlineStr"/>
      <c r="J249" t="inlineStr"/>
      <c r="Y249" t="inlineStr">
        <is>
          <t>unknown</t>
        </is>
      </c>
      <c r="Z249" t="inlineStr"/>
      <c r="AA249" t="inlineStr"/>
      <c r="AB249" t="inlineStr"/>
      <c r="AC249" t="inlineStr"/>
      <c r="AD249" t="inlineStr">
        <is>
          <t>לא נמצא בסריקת המפיצים</t>
        </is>
      </c>
      <c r="AE249" t="inlineStr">
        <is>
          <t>סריקת אתרי מפיצים</t>
        </is>
      </c>
      <c r="AG249" t="inlineStr"/>
      <c r="AH249" t="inlineStr"/>
      <c r="AJ249" t="inlineStr"/>
      <c r="AP249" t="inlineStr">
        <is>
          <t>https://www.thomassci.com/browse-by/suppliers/branson</t>
        </is>
      </c>
    </row>
    <row r="250">
      <c r="A250" t="n">
        <v>249</v>
      </c>
      <c r="B250" t="inlineStr">
        <is>
          <t>Brasel Products</t>
        </is>
      </c>
      <c r="C250" t="inlineStr">
        <is>
          <t>T</t>
        </is>
      </c>
      <c r="E250" t="inlineStr">
        <is>
          <t>https://www.thomassci.com/browse-by/suppliers/brasel-products</t>
        </is>
      </c>
      <c r="F250" t="inlineStr"/>
      <c r="J250" t="inlineStr"/>
      <c r="Y250" t="inlineStr">
        <is>
          <t>unknown</t>
        </is>
      </c>
      <c r="Z250" t="inlineStr"/>
      <c r="AA250" t="inlineStr"/>
      <c r="AB250" t="inlineStr"/>
      <c r="AC250" t="inlineStr"/>
      <c r="AD250" t="inlineStr">
        <is>
          <t>לא נמצא בסריקת המפיצים</t>
        </is>
      </c>
      <c r="AE250" t="inlineStr">
        <is>
          <t>סריקת אתרי מפיצים</t>
        </is>
      </c>
      <c r="AG250" t="inlineStr"/>
      <c r="AH250" t="inlineStr"/>
      <c r="AJ250" t="inlineStr"/>
      <c r="AP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Y251" t="inlineStr">
        <is>
          <t>unknown</t>
        </is>
      </c>
      <c r="Z251" t="inlineStr"/>
      <c r="AA251" t="inlineStr"/>
      <c r="AB251" t="inlineStr"/>
      <c r="AC251" t="inlineStr"/>
      <c r="AD251" t="inlineStr">
        <is>
          <t>לא נמצא בסריקת המפיצים</t>
        </is>
      </c>
      <c r="AE251" t="inlineStr">
        <is>
          <t>סריקת אתרי מפיצים</t>
        </is>
      </c>
      <c r="AG251" t="inlineStr"/>
      <c r="AH251" t="inlineStr"/>
      <c r="AJ251" t="inlineStr"/>
      <c r="AP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Y252" t="inlineStr">
        <is>
          <t>unknown</t>
        </is>
      </c>
      <c r="Z252" t="inlineStr"/>
      <c r="AA252" t="inlineStr"/>
      <c r="AB252" t="inlineStr"/>
      <c r="AC252" t="inlineStr"/>
      <c r="AD252" t="inlineStr">
        <is>
          <t>לא נמצא בסריקת המפיצים</t>
        </is>
      </c>
      <c r="AE252" t="inlineStr">
        <is>
          <t>סריקת אתרי מפיצים</t>
        </is>
      </c>
      <c r="AG252" t="inlineStr"/>
      <c r="AH252" t="inlineStr"/>
      <c r="AJ252" t="inlineStr"/>
      <c r="AP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Y253" t="inlineStr">
        <is>
          <t>unknown</t>
        </is>
      </c>
      <c r="Z253" t="inlineStr"/>
      <c r="AA253" t="inlineStr"/>
      <c r="AB253" t="inlineStr"/>
      <c r="AC253" t="inlineStr"/>
      <c r="AD253" t="inlineStr">
        <is>
          <t>לא נמצא בסריקת המפיצים</t>
        </is>
      </c>
      <c r="AE253" t="inlineStr">
        <is>
          <t>סריקת אתרי מפיצים</t>
        </is>
      </c>
      <c r="AG253" t="inlineStr"/>
      <c r="AH253" t="inlineStr"/>
      <c r="AJ253" t="inlineStr">
        <is>
          <t>18884120122</t>
        </is>
      </c>
      <c r="AM253" t="inlineStr">
        <is>
          <t>https://www.briskheat.com/pages/contact</t>
        </is>
      </c>
      <c r="AN253" t="inlineStr">
        <is>
          <t>https://www.briskheat.com/pages/contact</t>
        </is>
      </c>
      <c r="AP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Y254" t="inlineStr">
        <is>
          <t>unknown</t>
        </is>
      </c>
      <c r="Z254" t="inlineStr"/>
      <c r="AA254" t="inlineStr"/>
      <c r="AB254" t="inlineStr"/>
      <c r="AC254" t="inlineStr"/>
      <c r="AD254" t="inlineStr">
        <is>
          <t>לא נמצא בסריקת המפיצים</t>
        </is>
      </c>
      <c r="AE254" t="inlineStr">
        <is>
          <t>סריקת אתרי מפיצים</t>
        </is>
      </c>
      <c r="AG254" t="inlineStr"/>
      <c r="AH254" t="inlineStr"/>
      <c r="AJ254" t="inlineStr">
        <is>
          <t>858-677-6760</t>
        </is>
      </c>
      <c r="AK254" t="inlineStr">
        <is>
          <t>sales@broadpharm.com</t>
        </is>
      </c>
      <c r="AM254" t="inlineStr">
        <is>
          <t>https://broadpharm.com/contact</t>
        </is>
      </c>
      <c r="AN254" t="inlineStr">
        <is>
          <t>https://broadpharm.com/contact</t>
        </is>
      </c>
      <c r="AP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Y255" t="inlineStr">
        <is>
          <t>unknown</t>
        </is>
      </c>
      <c r="Z255" t="inlineStr"/>
      <c r="AA255" t="inlineStr"/>
      <c r="AB255" t="inlineStr"/>
      <c r="AC255" t="inlineStr"/>
      <c r="AD255" t="inlineStr">
        <is>
          <t>לא נמצא בסריקת המפיצים</t>
        </is>
      </c>
      <c r="AE255" t="inlineStr">
        <is>
          <t>סריקת אתרי מפיצים</t>
        </is>
      </c>
      <c r="AG255" t="inlineStr"/>
      <c r="AH255" t="inlineStr"/>
      <c r="AJ255" t="inlineStr"/>
      <c r="AP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Y256" t="inlineStr">
        <is>
          <t>unknown</t>
        </is>
      </c>
      <c r="Z256" t="inlineStr"/>
      <c r="AA256" t="inlineStr"/>
      <c r="AB256" t="inlineStr"/>
      <c r="AC256" t="inlineStr"/>
      <c r="AD256" t="inlineStr">
        <is>
          <t>לא נמצא בסריקת המפיצים</t>
        </is>
      </c>
      <c r="AE256" t="inlineStr">
        <is>
          <t>סריקת אתרי מפיצים</t>
        </is>
      </c>
      <c r="AG256" t="inlineStr"/>
      <c r="AH256" t="inlineStr"/>
      <c r="AJ256" t="inlineStr"/>
      <c r="AP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Y257" t="inlineStr">
        <is>
          <t>unknown</t>
        </is>
      </c>
      <c r="Z257" t="inlineStr"/>
      <c r="AA257" t="inlineStr"/>
      <c r="AB257" t="inlineStr"/>
      <c r="AC257" t="inlineStr"/>
      <c r="AD257" t="inlineStr">
        <is>
          <t>לא נמצא בסריקת המפיצים</t>
        </is>
      </c>
      <c r="AE257" t="inlineStr">
        <is>
          <t>סריקת אתרי מפיצים</t>
        </is>
      </c>
      <c r="AG257" t="inlineStr"/>
      <c r="AH257" t="inlineStr"/>
      <c r="AJ257" t="inlineStr"/>
      <c r="AP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P258" t="n">
        <v>800</v>
      </c>
      <c r="Q258" t="n">
        <v>2025</v>
      </c>
      <c r="R258" t="inlineStr">
        <is>
          <t>company</t>
        </is>
      </c>
      <c r="S258" t="inlineStr">
        <is>
          <t>prior</t>
        </is>
      </c>
      <c r="T258" t="n">
        <v>204</v>
      </c>
      <c r="U258" t="inlineStr">
        <is>
          <t>USD ~204 million (aggregator estimate; other aggregators range from USD 8M to USD 750M)</t>
        </is>
      </c>
      <c r="V258" t="inlineStr">
        <is>
          <t>undated aggregator estimate (c. 2024)</t>
        </is>
      </c>
      <c r="W258" t="inlineStr">
        <is>
          <t>estimate</t>
        </is>
      </c>
      <c r="X258" t="inlineStr">
        <is>
          <t>prior</t>
        </is>
      </c>
      <c r="Y258" t="inlineStr">
        <is>
          <t>mixed</t>
        </is>
      </c>
      <c r="Z258" t="inlineStr">
        <is>
          <t>Rotavapor R-300</t>
        </is>
      </c>
      <c r="AA258" t="inlineStr">
        <is>
          <t>Mini Spray Dryer S-300 / B-290</t>
        </is>
      </c>
      <c r="AB258" t="inlineStr">
        <is>
          <t>KjelMaster K-375 / Kjeldahl line</t>
        </is>
      </c>
      <c r="AC258" t="inlineStr">
        <is>
          <t>prior</t>
        </is>
      </c>
      <c r="AD258" t="inlineStr">
        <is>
          <t>מפיץ/נציג בישראל</t>
        </is>
      </c>
      <c r="AE258" t="inlineStr">
        <is>
          <t>אומת</t>
        </is>
      </c>
      <c r="AF258" t="n">
        <v>2026</v>
      </c>
      <c r="AG258" t="inlineStr">
        <is>
          <t>Dr. Golik Scientific Solutions</t>
        </is>
      </c>
      <c r="AH258" t="inlineStr">
        <is>
          <t>Dr. Golik Scientific Solutions: +972-3-518-7555 marketing@golik.co.il</t>
        </is>
      </c>
      <c r="AI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J258" t="inlineStr">
        <is>
          <t>+41 71 394 63 63</t>
        </is>
      </c>
      <c r="AL258" t="inlineStr">
        <is>
          <t>Meierseggstrasse 40, Postfach, 9230 Flawil, Switzerland</t>
        </is>
      </c>
      <c r="AM258" t="inlineStr">
        <is>
          <t>https://www.buchi.com/en/support/contact</t>
        </is>
      </c>
      <c r="AN258" t="inlineStr">
        <is>
          <t>https://www.americanpharmaceuticalreview.com/105589-BUCHI-Labortechnik-AG/</t>
        </is>
      </c>
      <c r="AP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Y259" t="inlineStr">
        <is>
          <t>unknown</t>
        </is>
      </c>
      <c r="Z259" t="inlineStr"/>
      <c r="AA259" t="inlineStr"/>
      <c r="AB259" t="inlineStr"/>
      <c r="AC259" t="inlineStr"/>
      <c r="AD259" t="inlineStr">
        <is>
          <t>לא נמצא בסריקת המפיצים</t>
        </is>
      </c>
      <c r="AE259" t="inlineStr">
        <is>
          <t>סריקת אתרי מפיצים</t>
        </is>
      </c>
      <c r="AG259" t="inlineStr"/>
      <c r="AH259" t="inlineStr"/>
      <c r="AJ259" t="inlineStr"/>
      <c r="AP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Y260" t="inlineStr">
        <is>
          <t>unknown</t>
        </is>
      </c>
      <c r="Z260" t="inlineStr"/>
      <c r="AA260" t="inlineStr"/>
      <c r="AB260" t="inlineStr"/>
      <c r="AC260" t="inlineStr"/>
      <c r="AD260" t="inlineStr">
        <is>
          <t>לא נמצא בסריקת המפיצים</t>
        </is>
      </c>
      <c r="AE260" t="inlineStr">
        <is>
          <t>סריקת אתרי מפיצים</t>
        </is>
      </c>
      <c r="AG260" t="inlineStr"/>
      <c r="AH260" t="inlineStr"/>
      <c r="AJ260" t="inlineStr">
        <is>
          <t>18592346616</t>
        </is>
      </c>
      <c r="AM260" t="inlineStr">
        <is>
          <t>https://www.bullard.com/contact-us/</t>
        </is>
      </c>
      <c r="AN260" t="inlineStr">
        <is>
          <t>https://www.bullard.com/contact-us/</t>
        </is>
      </c>
      <c r="AP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Y261" t="inlineStr">
        <is>
          <t>unknown</t>
        </is>
      </c>
      <c r="Z261" t="inlineStr"/>
      <c r="AA261" t="inlineStr"/>
      <c r="AB261" t="inlineStr"/>
      <c r="AC261" t="inlineStr"/>
      <c r="AD261" t="inlineStr">
        <is>
          <t>לא נמצא בסריקת המפיצים</t>
        </is>
      </c>
      <c r="AE261" t="inlineStr">
        <is>
          <t>סריקת אתרי מפיצים</t>
        </is>
      </c>
      <c r="AG261" t="inlineStr"/>
      <c r="AH261" t="inlineStr"/>
      <c r="AJ261" t="inlineStr"/>
      <c r="AP261" t="inlineStr">
        <is>
          <t>https://www.quartzy.com/suppliers</t>
        </is>
      </c>
    </row>
    <row r="262">
      <c r="A262" t="n">
        <v>261</v>
      </c>
      <c r="B262" t="inlineStr">
        <is>
          <t>Bulwark FR</t>
        </is>
      </c>
      <c r="C262" t="inlineStr">
        <is>
          <t>T</t>
        </is>
      </c>
      <c r="E262" t="inlineStr">
        <is>
          <t>https://www.thomassci.com/browse-by/suppliers/bulwark-fr</t>
        </is>
      </c>
      <c r="F262" t="inlineStr"/>
      <c r="J262" t="inlineStr"/>
      <c r="Y262" t="inlineStr">
        <is>
          <t>unknown</t>
        </is>
      </c>
      <c r="Z262" t="inlineStr"/>
      <c r="AA262" t="inlineStr"/>
      <c r="AB262" t="inlineStr"/>
      <c r="AC262" t="inlineStr"/>
      <c r="AD262" t="inlineStr">
        <is>
          <t>לא נמצא בסריקת המפיצים</t>
        </is>
      </c>
      <c r="AE262" t="inlineStr">
        <is>
          <t>סריקת אתרי מפיצים</t>
        </is>
      </c>
      <c r="AG262" t="inlineStr"/>
      <c r="AH262" t="inlineStr"/>
      <c r="AJ262" t="inlineStr"/>
      <c r="AP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O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Y263" t="inlineStr">
        <is>
          <t>unknown</t>
        </is>
      </c>
      <c r="Z263" t="inlineStr"/>
      <c r="AA263" t="inlineStr"/>
      <c r="AB263" t="inlineStr"/>
      <c r="AC263" t="inlineStr"/>
      <c r="AD263" t="inlineStr">
        <is>
          <t>לא נמצא בחיפוש ראשוני</t>
        </is>
      </c>
      <c r="AE263" t="inlineStr">
        <is>
          <t>חיפוש חלקי</t>
        </is>
      </c>
      <c r="AG263" t="inlineStr"/>
      <c r="AH263" t="inlineStr"/>
      <c r="AI263" t="inlineStr">
        <is>
          <t>Only Buerkle GmbH's own site (country-selector distributor page) and trade-fair/company profiles; no Israeli partner shown in the results.</t>
        </is>
      </c>
      <c r="AJ263" t="inlineStr"/>
      <c r="AP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Y264" t="inlineStr">
        <is>
          <t>unknown</t>
        </is>
      </c>
      <c r="Z264" t="inlineStr"/>
      <c r="AA264" t="inlineStr"/>
      <c r="AB264" t="inlineStr"/>
      <c r="AC264" t="inlineStr"/>
      <c r="AD264" t="inlineStr">
        <is>
          <t>לא נמצא בסריקת המפיצים</t>
        </is>
      </c>
      <c r="AE264" t="inlineStr">
        <is>
          <t>סריקת אתרי מפיצים</t>
        </is>
      </c>
      <c r="AG264" t="inlineStr"/>
      <c r="AH264" t="inlineStr"/>
      <c r="AJ264" t="inlineStr"/>
      <c r="AP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Y265" t="inlineStr">
        <is>
          <t>unknown</t>
        </is>
      </c>
      <c r="Z265" t="inlineStr"/>
      <c r="AA265" t="inlineStr"/>
      <c r="AB265" t="inlineStr"/>
      <c r="AC265" t="inlineStr"/>
      <c r="AD265" t="inlineStr">
        <is>
          <t>לא נמצא בסריקת המפיצים</t>
        </is>
      </c>
      <c r="AE265" t="inlineStr">
        <is>
          <t>סריקת אתרי מפיצים</t>
        </is>
      </c>
      <c r="AG265" t="inlineStr"/>
      <c r="AH265" t="inlineStr"/>
      <c r="AJ265" t="inlineStr"/>
      <c r="AP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Y266" t="inlineStr">
        <is>
          <t>unknown</t>
        </is>
      </c>
      <c r="Z266" t="inlineStr"/>
      <c r="AA266" t="inlineStr"/>
      <c r="AB266" t="inlineStr"/>
      <c r="AC266" t="inlineStr"/>
      <c r="AD266" t="inlineStr">
        <is>
          <t>לא נמצא בסריקת המפיצים</t>
        </is>
      </c>
      <c r="AE266" t="inlineStr">
        <is>
          <t>סריקת אתרי מפיצים</t>
        </is>
      </c>
      <c r="AG266" t="inlineStr"/>
      <c r="AH266" t="inlineStr"/>
      <c r="AJ266" t="inlineStr"/>
      <c r="AP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Y267" t="inlineStr">
        <is>
          <t>unknown</t>
        </is>
      </c>
      <c r="Z267" t="inlineStr"/>
      <c r="AA267" t="inlineStr"/>
      <c r="AB267" t="inlineStr"/>
      <c r="AC267" t="inlineStr"/>
      <c r="AD267" t="inlineStr">
        <is>
          <t>לא נמצא בסריקת המפיצים</t>
        </is>
      </c>
      <c r="AE267" t="inlineStr">
        <is>
          <t>סריקת אתרי מפיצים</t>
        </is>
      </c>
      <c r="AG267" t="inlineStr"/>
      <c r="AH267" t="inlineStr"/>
      <c r="AJ267" t="inlineStr"/>
      <c r="AP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Y268" t="inlineStr">
        <is>
          <t>unknown</t>
        </is>
      </c>
      <c r="Z268" t="inlineStr"/>
      <c r="AA268" t="inlineStr"/>
      <c r="AB268" t="inlineStr"/>
      <c r="AC268" t="inlineStr"/>
      <c r="AD268" t="inlineStr">
        <is>
          <t>לא נמצא בחיפוש ראשוני</t>
        </is>
      </c>
      <c r="AE268" t="inlineStr">
        <is>
          <t>חיפוש חלקי</t>
        </is>
      </c>
      <c r="AG268" t="inlineStr"/>
      <c r="AH268" t="inlineStr"/>
      <c r="AI268" t="inlineStr">
        <is>
          <t>Only a Fisher Scientific brand page for Cadence Science Inc. (animal feeding needles); all Israel hits concern Cadence Design Systems (EDA software, Haifa) - unrelated.</t>
        </is>
      </c>
      <c r="AJ268" t="inlineStr"/>
      <c r="AP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Y269" t="inlineStr">
        <is>
          <t>unknown</t>
        </is>
      </c>
      <c r="Z269" t="inlineStr"/>
      <c r="AA269" t="inlineStr"/>
      <c r="AB269" t="inlineStr"/>
      <c r="AC269" t="inlineStr"/>
      <c r="AD269" t="inlineStr">
        <is>
          <t>לא נמצא בסריקת המפיצים</t>
        </is>
      </c>
      <c r="AE269" t="inlineStr">
        <is>
          <t>סריקת אתרי מפיצים</t>
        </is>
      </c>
      <c r="AG269" t="inlineStr"/>
      <c r="AH269" t="inlineStr"/>
      <c r="AJ269" t="inlineStr">
        <is>
          <t>1-800-567-3556</t>
        </is>
      </c>
      <c r="AM269" t="inlineStr">
        <is>
          <t>https://www.caframo.com/contact-us/</t>
        </is>
      </c>
      <c r="AN269" t="inlineStr">
        <is>
          <t>https://www.caframo.com/contact-us/</t>
        </is>
      </c>
      <c r="AP269" t="inlineStr">
        <is>
          <t>https://www.thomassci.com/browse-by/suppliers/caframo | https://www.caframo.com/contact-us/</t>
        </is>
      </c>
    </row>
    <row r="270">
      <c r="A270" t="n">
        <v>269</v>
      </c>
      <c r="B270" t="inlineStr">
        <is>
          <t>Cahn Scientific</t>
        </is>
      </c>
      <c r="C270" t="inlineStr">
        <is>
          <t>T</t>
        </is>
      </c>
      <c r="E270" t="inlineStr">
        <is>
          <t>https://www.thomassci.com/browse-by/suppliers/cahn-scientific</t>
        </is>
      </c>
      <c r="F270" t="inlineStr"/>
      <c r="J270" t="inlineStr"/>
      <c r="Y270" t="inlineStr">
        <is>
          <t>unknown</t>
        </is>
      </c>
      <c r="Z270" t="inlineStr"/>
      <c r="AA270" t="inlineStr"/>
      <c r="AB270" t="inlineStr"/>
      <c r="AC270" t="inlineStr"/>
      <c r="AD270" t="inlineStr">
        <is>
          <t>לא נמצא בסריקת המפיצים</t>
        </is>
      </c>
      <c r="AE270" t="inlineStr">
        <is>
          <t>סריקת אתרי מפיצים</t>
        </is>
      </c>
      <c r="AG270" t="inlineStr"/>
      <c r="AH270" t="inlineStr"/>
      <c r="AJ270" t="inlineStr"/>
      <c r="AP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Y271" t="inlineStr">
        <is>
          <t>unknown</t>
        </is>
      </c>
      <c r="Z271" t="inlineStr"/>
      <c r="AA271" t="inlineStr"/>
      <c r="AB271" t="inlineStr"/>
      <c r="AC271" t="inlineStr"/>
      <c r="AD271" t="inlineStr">
        <is>
          <t>מפיץ/נציג בישראל</t>
        </is>
      </c>
      <c r="AE271" t="inlineStr">
        <is>
          <t>סריקת אתרי מפיצים</t>
        </is>
      </c>
      <c r="AF271" t="n">
        <v>2026</v>
      </c>
      <c r="AG271" t="inlineStr">
        <is>
          <t>Tivan Biotech</t>
        </is>
      </c>
      <c r="AH271" t="inlineStr">
        <is>
          <t>Tivan Biotech: 077-4701591 customerservice@tivanbiotech.com</t>
        </is>
      </c>
      <c r="AJ271" t="inlineStr"/>
      <c r="AP271" t="inlineStr">
        <is>
          <t>https://www.quartzy.com/suppliers | https://tivanbiotech.com/manufacturers</t>
        </is>
      </c>
    </row>
    <row r="272">
      <c r="A272" t="n">
        <v>271</v>
      </c>
      <c r="B272" t="inlineStr">
        <is>
          <t>Calapro</t>
        </is>
      </c>
      <c r="C272" t="inlineStr">
        <is>
          <t>T</t>
        </is>
      </c>
      <c r="E272" t="inlineStr">
        <is>
          <t>https://www.thomassci.com/browse-by/suppliers/calapro</t>
        </is>
      </c>
      <c r="F272" t="inlineStr"/>
      <c r="J272" t="inlineStr"/>
      <c r="Y272" t="inlineStr">
        <is>
          <t>unknown</t>
        </is>
      </c>
      <c r="Z272" t="inlineStr"/>
      <c r="AA272" t="inlineStr"/>
      <c r="AB272" t="inlineStr"/>
      <c r="AC272" t="inlineStr"/>
      <c r="AD272" t="inlineStr">
        <is>
          <t>לא נמצא בסריקת המפיצים</t>
        </is>
      </c>
      <c r="AE272" t="inlineStr">
        <is>
          <t>סריקת אתרי מפיצים</t>
        </is>
      </c>
      <c r="AG272" t="inlineStr"/>
      <c r="AH272" t="inlineStr"/>
      <c r="AJ272" t="inlineStr"/>
      <c r="AP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Y273" t="inlineStr">
        <is>
          <t>unknown</t>
        </is>
      </c>
      <c r="Z273" t="inlineStr"/>
      <c r="AA273" t="inlineStr"/>
      <c r="AB273" t="inlineStr"/>
      <c r="AC273" t="inlineStr"/>
      <c r="AD273" t="inlineStr">
        <is>
          <t>לא נמצא בסריקת המפיצים</t>
        </is>
      </c>
      <c r="AE273" t="inlineStr">
        <is>
          <t>סריקת אתרי מפיצים</t>
        </is>
      </c>
      <c r="AG273" t="inlineStr"/>
      <c r="AH273" t="inlineStr"/>
      <c r="AJ273" t="inlineStr"/>
      <c r="AP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Y274" t="inlineStr">
        <is>
          <t>unknown</t>
        </is>
      </c>
      <c r="Z274" t="inlineStr"/>
      <c r="AA274" t="inlineStr"/>
      <c r="AB274" t="inlineStr"/>
      <c r="AC274" t="inlineStr"/>
      <c r="AD274" t="inlineStr">
        <is>
          <t>לא נמצא בסריקת המפיצים</t>
        </is>
      </c>
      <c r="AE274" t="inlineStr">
        <is>
          <t>סריקת אתרי מפיצים</t>
        </is>
      </c>
      <c r="AG274" t="inlineStr"/>
      <c r="AH274" t="inlineStr"/>
      <c r="AJ274" t="inlineStr">
        <is>
          <t>800-676-6232</t>
        </is>
      </c>
      <c r="AM274" t="inlineStr">
        <is>
          <t>https://cannoninstrument.com/contact</t>
        </is>
      </c>
      <c r="AN274" t="inlineStr">
        <is>
          <t>https://cannoninstrument.com/contact</t>
        </is>
      </c>
      <c r="AP274" t="inlineStr">
        <is>
          <t>https://www.thomassci.com/browse-by/suppliers/cannon-instrument | https://cannoninstrument.com/contact</t>
        </is>
      </c>
    </row>
    <row r="275">
      <c r="A275" t="n">
        <v>274</v>
      </c>
      <c r="B275" t="inlineStr">
        <is>
          <t>Caplugs</t>
        </is>
      </c>
      <c r="C275" t="inlineStr">
        <is>
          <t>Q</t>
        </is>
      </c>
      <c r="F275" t="inlineStr">
        <is>
          <t>yes</t>
        </is>
      </c>
      <c r="H275" t="inlineStr">
        <is>
          <t>https://caplugs.com</t>
        </is>
      </c>
      <c r="I275" t="inlineStr">
        <is>
          <t>clearbit_verified</t>
        </is>
      </c>
      <c r="J275" t="inlineStr"/>
      <c r="Y275" t="inlineStr">
        <is>
          <t>unknown</t>
        </is>
      </c>
      <c r="Z275" t="inlineStr"/>
      <c r="AA275" t="inlineStr"/>
      <c r="AB275" t="inlineStr"/>
      <c r="AC275" t="inlineStr"/>
      <c r="AD275" t="inlineStr">
        <is>
          <t>לא נמצא בסריקת המפיצים</t>
        </is>
      </c>
      <c r="AE275" t="inlineStr">
        <is>
          <t>סריקת אתרי מפיצים</t>
        </is>
      </c>
      <c r="AG275" t="inlineStr"/>
      <c r="AH275" t="inlineStr"/>
      <c r="AJ275" t="inlineStr">
        <is>
          <t>18882275847</t>
        </is>
      </c>
      <c r="AK275" t="inlineStr">
        <is>
          <t>sales@caplugs.com</t>
        </is>
      </c>
      <c r="AM275" t="inlineStr">
        <is>
          <t>https://www.caplugs.com/contact-us</t>
        </is>
      </c>
      <c r="AN275" t="inlineStr">
        <is>
          <t>https://www.caplugs.com/contact-us</t>
        </is>
      </c>
      <c r="AP275" t="inlineStr">
        <is>
          <t>https://www.quartzy.com/suppliers | https://www.caplugs.com/contact-us</t>
        </is>
      </c>
    </row>
    <row r="276">
      <c r="A276" t="n">
        <v>275</v>
      </c>
      <c r="B276" t="inlineStr">
        <is>
          <t>Caplugs Evergreen®</t>
        </is>
      </c>
      <c r="C276" t="inlineStr">
        <is>
          <t>T</t>
        </is>
      </c>
      <c r="E276" t="inlineStr">
        <is>
          <t>https://www.thomassci.com/browse-by/suppliers/caplugs-evergreen</t>
        </is>
      </c>
      <c r="F276" t="inlineStr"/>
      <c r="J276" t="inlineStr"/>
      <c r="Y276" t="inlineStr">
        <is>
          <t>unknown</t>
        </is>
      </c>
      <c r="Z276" t="inlineStr"/>
      <c r="AA276" t="inlineStr"/>
      <c r="AB276" t="inlineStr"/>
      <c r="AC276" t="inlineStr"/>
      <c r="AD276" t="inlineStr">
        <is>
          <t>לא נמצא בסריקת המפיצים</t>
        </is>
      </c>
      <c r="AE276" t="inlineStr">
        <is>
          <t>סריקת אתרי מפיצים</t>
        </is>
      </c>
      <c r="AG276" t="inlineStr"/>
      <c r="AH276" t="inlineStr"/>
      <c r="AJ276" t="inlineStr"/>
      <c r="AP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Y277" t="inlineStr">
        <is>
          <t>unknown</t>
        </is>
      </c>
      <c r="Z277" t="inlineStr"/>
      <c r="AA277" t="inlineStr"/>
      <c r="AB277" t="inlineStr"/>
      <c r="AC277" t="inlineStr"/>
      <c r="AD277" t="inlineStr">
        <is>
          <t>לא נמצא בסריקת המפיצים</t>
        </is>
      </c>
      <c r="AE277" t="inlineStr">
        <is>
          <t>סריקת אתרי מפיצים</t>
        </is>
      </c>
      <c r="AG277" t="inlineStr"/>
      <c r="AH277" t="inlineStr"/>
      <c r="AJ277" t="inlineStr"/>
      <c r="AP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Y278" t="inlineStr">
        <is>
          <t>unknown</t>
        </is>
      </c>
      <c r="Z278" t="inlineStr"/>
      <c r="AA278" t="inlineStr"/>
      <c r="AB278" t="inlineStr"/>
      <c r="AC278" t="inlineStr"/>
      <c r="AD278" t="inlineStr">
        <is>
          <t>לא נמצא בסריקת המפיצים</t>
        </is>
      </c>
      <c r="AE278" t="inlineStr">
        <is>
          <t>סריקת אתרי מפיצים</t>
        </is>
      </c>
      <c r="AG278" t="inlineStr"/>
      <c r="AH278" t="inlineStr"/>
      <c r="AJ278" t="inlineStr">
        <is>
          <t>16786912143</t>
        </is>
      </c>
      <c r="AK278" t="inlineStr">
        <is>
          <t>info@capricobio.com</t>
        </is>
      </c>
      <c r="AM278" t="inlineStr">
        <is>
          <t>https://www.capricobio.com/contact-us/</t>
        </is>
      </c>
      <c r="AN278" t="inlineStr">
        <is>
          <t>https://www.capricobio.com/contact-us/</t>
        </is>
      </c>
      <c r="AP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Y279" t="inlineStr">
        <is>
          <t>unknown</t>
        </is>
      </c>
      <c r="Z279" t="inlineStr"/>
      <c r="AA279" t="inlineStr"/>
      <c r="AB279" t="inlineStr"/>
      <c r="AC279" t="inlineStr"/>
      <c r="AD279" t="inlineStr">
        <is>
          <t>לא נמצא בסריקת המפיצים</t>
        </is>
      </c>
      <c r="AE279" t="inlineStr">
        <is>
          <t>סריקת אתרי מפיצים</t>
        </is>
      </c>
      <c r="AG279" t="inlineStr"/>
      <c r="AH279" t="inlineStr"/>
      <c r="AJ279" t="inlineStr"/>
      <c r="AP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Y280" t="inlineStr">
        <is>
          <t>unknown</t>
        </is>
      </c>
      <c r="Z280" t="inlineStr"/>
      <c r="AA280" t="inlineStr"/>
      <c r="AB280" t="inlineStr"/>
      <c r="AC280" t="inlineStr"/>
      <c r="AD280" t="inlineStr">
        <is>
          <t>לא נמצא בסריקת המפיצים</t>
        </is>
      </c>
      <c r="AE280" t="inlineStr">
        <is>
          <t>סריקת אתרי מפיצים</t>
        </is>
      </c>
      <c r="AG280" t="inlineStr"/>
      <c r="AH280" t="inlineStr"/>
      <c r="AJ280" t="inlineStr">
        <is>
          <t>(973)-239-6633</t>
        </is>
      </c>
      <c r="AM280" t="inlineStr">
        <is>
          <t>https://www.cargille.com/contact/</t>
        </is>
      </c>
      <c r="AN280" t="inlineStr">
        <is>
          <t>https://www.cargille.com/contact/</t>
        </is>
      </c>
      <c r="AP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c r="Y281" t="inlineStr">
        <is>
          <t>unknown</t>
        </is>
      </c>
      <c r="Z281" t="inlineStr"/>
      <c r="AA281" t="inlineStr"/>
      <c r="AB281" t="inlineStr"/>
      <c r="AC281" t="inlineStr"/>
      <c r="AD281" t="inlineStr">
        <is>
          <t>לא נמצא בסריקת המפיצים</t>
        </is>
      </c>
      <c r="AE281" t="inlineStr">
        <is>
          <t>סריקת אתרי מפיצים</t>
        </is>
      </c>
      <c r="AG281" t="inlineStr"/>
      <c r="AH281" t="inlineStr"/>
      <c r="AJ281" t="inlineStr"/>
      <c r="AP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Y282" t="inlineStr">
        <is>
          <t>unknown</t>
        </is>
      </c>
      <c r="Z282" t="inlineStr"/>
      <c r="AA282" t="inlineStr"/>
      <c r="AB282" t="inlineStr"/>
      <c r="AC282" t="inlineStr"/>
      <c r="AD282" t="inlineStr">
        <is>
          <t>לא נמצא בסריקת המפיצים</t>
        </is>
      </c>
      <c r="AE282" t="inlineStr">
        <is>
          <t>סריקת אתרי מפיצים</t>
        </is>
      </c>
      <c r="AG282" t="inlineStr"/>
      <c r="AH282" t="inlineStr"/>
      <c r="AJ282" t="inlineStr">
        <is>
          <t>919-635-8438</t>
        </is>
      </c>
      <c r="AK282" t="inlineStr">
        <is>
          <t>customerservice@carolinaflow.com</t>
        </is>
      </c>
      <c r="AM282" t="inlineStr">
        <is>
          <t>https://carolinaflow.com/contact/</t>
        </is>
      </c>
      <c r="AN282" t="inlineStr">
        <is>
          <t>https://carolinaflow.com/contact/</t>
        </is>
      </c>
      <c r="AP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Y283" t="inlineStr">
        <is>
          <t>unknown</t>
        </is>
      </c>
      <c r="Z283" t="inlineStr"/>
      <c r="AA283" t="inlineStr"/>
      <c r="AB283" t="inlineStr"/>
      <c r="AC283" t="inlineStr"/>
      <c r="AD283" t="inlineStr">
        <is>
          <t>לא נמצא בסריקת המפיצים</t>
        </is>
      </c>
      <c r="AE283" t="inlineStr">
        <is>
          <t>סריקת אתרי מפיצים</t>
        </is>
      </c>
      <c r="AG283" t="inlineStr"/>
      <c r="AH283" t="inlineStr"/>
      <c r="AJ283" t="inlineStr"/>
      <c r="AP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Y284" t="inlineStr">
        <is>
          <t>unknown</t>
        </is>
      </c>
      <c r="Z284" t="inlineStr"/>
      <c r="AA284" t="inlineStr"/>
      <c r="AB284" t="inlineStr"/>
      <c r="AC284" t="inlineStr"/>
      <c r="AD284" t="inlineStr">
        <is>
          <t>לא נמצא בחיפוש ראשוני</t>
        </is>
      </c>
      <c r="AE284" t="inlineStr">
        <is>
          <t>חיפוש חלקי</t>
        </is>
      </c>
      <c r="AG284" t="inlineStr"/>
      <c r="AH284" t="inlineStr"/>
      <c r="AI284" t="inlineStr">
        <is>
          <t>Only manufacturer (Carver/ACS Group) and US reseller pages (VWR, CCSI, American Laboratory Trading); nothing for Israel.</t>
        </is>
      </c>
      <c r="AJ284" t="inlineStr"/>
      <c r="AP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Y285" t="inlineStr">
        <is>
          <t>unknown</t>
        </is>
      </c>
      <c r="Z285" t="inlineStr"/>
      <c r="AA285" t="inlineStr"/>
      <c r="AB285" t="inlineStr"/>
      <c r="AC285" t="inlineStr"/>
      <c r="AD285" t="inlineStr">
        <is>
          <t>לא נמצא בסריקת המפיצים</t>
        </is>
      </c>
      <c r="AE285" t="inlineStr">
        <is>
          <t>סריקת אתרי מפיצים</t>
        </is>
      </c>
      <c r="AG285" t="inlineStr"/>
      <c r="AH285" t="inlineStr"/>
      <c r="AJ285" t="inlineStr"/>
      <c r="AP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Y286" t="inlineStr">
        <is>
          <t>unknown</t>
        </is>
      </c>
      <c r="Z286" t="inlineStr"/>
      <c r="AA286" t="inlineStr"/>
      <c r="AB286" t="inlineStr"/>
      <c r="AC286" t="inlineStr"/>
      <c r="AD286" t="inlineStr">
        <is>
          <t>לא ברור</t>
        </is>
      </c>
      <c r="AE286" t="inlineStr">
        <is>
          <t>חיפוש חלקי</t>
        </is>
      </c>
      <c r="AG286" t="inlineStr"/>
      <c r="AH286" t="inlineStr"/>
      <c r="AI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J286" t="inlineStr"/>
      <c r="AP286" t="inlineStr">
        <is>
          <t>https://www.quartzy.com/suppliers | https://www.thomassci.com/browse-by/suppliers/cayman-chemical</t>
        </is>
      </c>
    </row>
    <row r="287">
      <c r="A287" t="n">
        <v>286</v>
      </c>
      <c r="B287" t="inlineStr">
        <is>
          <t>CCP Industries</t>
        </is>
      </c>
      <c r="C287" t="inlineStr">
        <is>
          <t>T</t>
        </is>
      </c>
      <c r="E287" t="inlineStr">
        <is>
          <t>https://www.thomassci.com/browse-by/suppliers/ccp-industries</t>
        </is>
      </c>
      <c r="F287" t="inlineStr"/>
      <c r="J287" t="inlineStr"/>
      <c r="Y287" t="inlineStr">
        <is>
          <t>unknown</t>
        </is>
      </c>
      <c r="Z287" t="inlineStr"/>
      <c r="AA287" t="inlineStr"/>
      <c r="AB287" t="inlineStr"/>
      <c r="AC287" t="inlineStr"/>
      <c r="AD287" t="inlineStr">
        <is>
          <t>לא נמצא בסריקת המפיצים</t>
        </is>
      </c>
      <c r="AE287" t="inlineStr">
        <is>
          <t>סריקת אתרי מפיצים</t>
        </is>
      </c>
      <c r="AG287" t="inlineStr"/>
      <c r="AH287" t="inlineStr"/>
      <c r="AJ287" t="inlineStr"/>
      <c r="AP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Y288" t="inlineStr">
        <is>
          <t>unknown</t>
        </is>
      </c>
      <c r="Z288" t="inlineStr"/>
      <c r="AA288" t="inlineStr"/>
      <c r="AB288" t="inlineStr"/>
      <c r="AC288" t="inlineStr"/>
      <c r="AD288" t="inlineStr">
        <is>
          <t>לא נמצא בסריקת המפיצים</t>
        </is>
      </c>
      <c r="AE288" t="inlineStr">
        <is>
          <t>סריקת אתרי מפיצים</t>
        </is>
      </c>
      <c r="AG288" t="inlineStr"/>
      <c r="AH288" t="inlineStr"/>
      <c r="AJ288" t="inlineStr"/>
      <c r="AP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Y289" t="inlineStr">
        <is>
          <t>unknown</t>
        </is>
      </c>
      <c r="Z289" t="inlineStr"/>
      <c r="AA289" t="inlineStr"/>
      <c r="AB289" t="inlineStr"/>
      <c r="AC289" t="inlineStr"/>
      <c r="AD289" t="inlineStr">
        <is>
          <t>לא נמצא בסריקת המפיצים</t>
        </is>
      </c>
      <c r="AE289" t="inlineStr">
        <is>
          <t>סריקת אתרי מפיצים</t>
        </is>
      </c>
      <c r="AG289" t="inlineStr"/>
      <c r="AH289" t="inlineStr"/>
      <c r="AJ289" t="inlineStr"/>
      <c r="AP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Y290" t="inlineStr">
        <is>
          <t>unknown</t>
        </is>
      </c>
      <c r="Z290" t="inlineStr"/>
      <c r="AA290" t="inlineStr"/>
      <c r="AB290" t="inlineStr"/>
      <c r="AC290" t="inlineStr"/>
      <c r="AD290" t="inlineStr">
        <is>
          <t>לא נמצא בסריקת המפיצים</t>
        </is>
      </c>
      <c r="AE290" t="inlineStr">
        <is>
          <t>סריקת אתרי מפיצים</t>
        </is>
      </c>
      <c r="AG290" t="inlineStr"/>
      <c r="AH290" t="inlineStr"/>
      <c r="AJ290" t="inlineStr"/>
      <c r="AP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Y291" t="inlineStr">
        <is>
          <t>unknown</t>
        </is>
      </c>
      <c r="Z291" t="inlineStr"/>
      <c r="AA291" t="inlineStr"/>
      <c r="AB291" t="inlineStr"/>
      <c r="AC291" t="inlineStr"/>
      <c r="AD291" t="inlineStr">
        <is>
          <t>לא נמצא בסריקת המפיצים</t>
        </is>
      </c>
      <c r="AE291" t="inlineStr">
        <is>
          <t>סריקת אתרי מפיצים</t>
        </is>
      </c>
      <c r="AG291" t="inlineStr"/>
      <c r="AH291" t="inlineStr"/>
      <c r="AJ291" t="inlineStr"/>
      <c r="AP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Y292" t="inlineStr">
        <is>
          <t>unknown</t>
        </is>
      </c>
      <c r="Z292" t="inlineStr"/>
      <c r="AA292" t="inlineStr"/>
      <c r="AB292" t="inlineStr"/>
      <c r="AC292" t="inlineStr"/>
      <c r="AD292" t="inlineStr">
        <is>
          <t>לא נמצא בסריקת המפיצים</t>
        </is>
      </c>
      <c r="AE292" t="inlineStr">
        <is>
          <t>סריקת אתרי מפיצים</t>
        </is>
      </c>
      <c r="AG292" t="inlineStr"/>
      <c r="AH292" t="inlineStr"/>
      <c r="AJ292" t="inlineStr"/>
      <c r="AP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Y293" t="inlineStr">
        <is>
          <t>unknown</t>
        </is>
      </c>
      <c r="Z293" t="inlineStr"/>
      <c r="AA293" t="inlineStr"/>
      <c r="AB293" t="inlineStr"/>
      <c r="AC293" t="inlineStr"/>
      <c r="AD293" t="inlineStr">
        <is>
          <t>לא נמצא בסריקת המפיצים</t>
        </is>
      </c>
      <c r="AE293" t="inlineStr">
        <is>
          <t>סריקת אתרי מפיצים</t>
        </is>
      </c>
      <c r="AG293" t="inlineStr"/>
      <c r="AH293" t="inlineStr"/>
      <c r="AJ293" t="inlineStr">
        <is>
          <t>1-858-271-6500</t>
        </is>
      </c>
      <c r="AK293" t="inlineStr">
        <is>
          <t>info@cellbiolabs.com</t>
        </is>
      </c>
      <c r="AM293" t="inlineStr">
        <is>
          <t>https://www.cellbiolabs.com/contact-technical-service</t>
        </is>
      </c>
      <c r="AN293" t="inlineStr">
        <is>
          <t>https://www.cellbiolabs.com/contact-technical-service</t>
        </is>
      </c>
      <c r="AP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Y294" t="inlineStr">
        <is>
          <t>unknown</t>
        </is>
      </c>
      <c r="Z294" t="inlineStr"/>
      <c r="AA294" t="inlineStr"/>
      <c r="AB294" t="inlineStr"/>
      <c r="AC294" t="inlineStr"/>
      <c r="AD294" t="inlineStr">
        <is>
          <t>לא נמצא בסריקת המפיצים</t>
        </is>
      </c>
      <c r="AE294" t="inlineStr">
        <is>
          <t>סריקת אתרי מפיצים</t>
        </is>
      </c>
      <c r="AG294" t="inlineStr"/>
      <c r="AH294" t="inlineStr"/>
      <c r="AJ294" t="inlineStr"/>
      <c r="AP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clearbit_verified</t>
        </is>
      </c>
      <c r="J295" t="inlineStr"/>
      <c r="Y295" t="inlineStr">
        <is>
          <t>unknown</t>
        </is>
      </c>
      <c r="Z295" t="inlineStr"/>
      <c r="AA295" t="inlineStr"/>
      <c r="AB295" t="inlineStr"/>
      <c r="AC295" t="inlineStr"/>
      <c r="AD295" t="inlineStr">
        <is>
          <t>מפיץ/נציג בישראל</t>
        </is>
      </c>
      <c r="AE295" t="inlineStr">
        <is>
          <t>חיפוש חלקי</t>
        </is>
      </c>
      <c r="AG295" t="inlineStr">
        <is>
          <t>Ornat BioChemicals &amp; Lab Equipment Ltd.</t>
        </is>
      </c>
      <c r="AH295" t="inlineStr">
        <is>
          <t>Ornat BioChemicals &amp; Lab Equipment Ltd.:</t>
        </is>
      </c>
      <c r="AJ295" t="inlineStr">
        <is>
          <t>877-678-8324</t>
        </is>
      </c>
      <c r="AM295" t="inlineStr">
        <is>
          <t>https://www.cellsignal.com:443/learn-and-support/support-information</t>
        </is>
      </c>
      <c r="AN295" t="inlineStr">
        <is>
          <t>https://www.cellsignal.com:443/learn-and-support/support-information</t>
        </is>
      </c>
      <c r="AP295" t="inlineStr">
        <is>
          <t>https://www.quartzy.com/suppliers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Y296" t="inlineStr">
        <is>
          <t>unknown</t>
        </is>
      </c>
      <c r="Z296" t="inlineStr"/>
      <c r="AA296" t="inlineStr"/>
      <c r="AB296" t="inlineStr"/>
      <c r="AC296" t="inlineStr"/>
      <c r="AD296" t="inlineStr">
        <is>
          <t>מפיץ/נציג בישראל</t>
        </is>
      </c>
      <c r="AE296" t="inlineStr">
        <is>
          <t>סריקת אתרי מפיצים</t>
        </is>
      </c>
      <c r="AF296" t="n">
        <v>2026</v>
      </c>
      <c r="AG296" t="inlineStr">
        <is>
          <t>distributor of Recombinant Proteins, Antibodies, Cell Line, ELISA Kit</t>
        </is>
      </c>
      <c r="AH296" t="inlineStr">
        <is>
          <t>distributor of Recombinant Proteins, Antibodies, Cell Line, ELISA Kit: 054-5544004 info@doronscientific.com</t>
        </is>
      </c>
      <c r="AJ296" t="inlineStr">
        <is>
          <t>425-823-1010</t>
        </is>
      </c>
      <c r="AK296" t="inlineStr">
        <is>
          <t>customerservice@cell-systems.com</t>
        </is>
      </c>
      <c r="AM296" t="inlineStr">
        <is>
          <t>https://cell-systems.com/pages/contact</t>
        </is>
      </c>
      <c r="AN296" t="inlineStr">
        <is>
          <t>https://cell-systems.com/pages/contact</t>
        </is>
      </c>
      <c r="AP296" t="inlineStr">
        <is>
          <t>https://www.quartzy.com/suppliers | https://doronscientific.com/products/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Y297" t="inlineStr">
        <is>
          <t>unknown</t>
        </is>
      </c>
      <c r="Z297" t="inlineStr"/>
      <c r="AA297" t="inlineStr"/>
      <c r="AB297" t="inlineStr"/>
      <c r="AC297" t="inlineStr"/>
      <c r="AD297" t="inlineStr">
        <is>
          <t>לא נמצא בסריקת המפיצים</t>
        </is>
      </c>
      <c r="AE297" t="inlineStr">
        <is>
          <t>סריקת אתרי מפיצים</t>
        </is>
      </c>
      <c r="AG297" t="inlineStr"/>
      <c r="AH297" t="inlineStr"/>
      <c r="AJ297" t="inlineStr"/>
      <c r="AK297" t="inlineStr">
        <is>
          <t>contact@cellaven.com</t>
        </is>
      </c>
      <c r="AM297" t="inlineStr">
        <is>
          <t>https://cellaven.com/contact-cellaven-cell-culture-automation/</t>
        </is>
      </c>
      <c r="AN297" t="inlineStr">
        <is>
          <t>https://cellaven.com/contact-cellaven-cell-culture-automation/</t>
        </is>
      </c>
      <c r="AP297" t="inlineStr">
        <is>
          <t>https://www.dutscher.com/search?initialFilters=brand:Cellaven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Y298" t="inlineStr">
        <is>
          <t>unknown</t>
        </is>
      </c>
      <c r="Z298" t="inlineStr"/>
      <c r="AA298" t="inlineStr"/>
      <c r="AB298" t="inlineStr"/>
      <c r="AC298" t="inlineStr"/>
      <c r="AD298" t="inlineStr">
        <is>
          <t>לא נמצא בסריקת המפיצים</t>
        </is>
      </c>
      <c r="AE298" t="inlineStr">
        <is>
          <t>סריקת אתרי מפיצים</t>
        </is>
      </c>
      <c r="AG298" t="inlineStr"/>
      <c r="AH298" t="inlineStr"/>
      <c r="AJ298" t="inlineStr">
        <is>
          <t>16509383910</t>
        </is>
      </c>
      <c r="AK298" t="inlineStr">
        <is>
          <t>info@cellecta.com</t>
        </is>
      </c>
      <c r="AM298" t="inlineStr">
        <is>
          <t>https://cellecta.com/pages/company-contact-us</t>
        </is>
      </c>
      <c r="AN298" t="inlineStr">
        <is>
          <t>https://cellecta.com/pages/company-contact-us</t>
        </is>
      </c>
      <c r="AP298" t="inlineStr">
        <is>
          <t>https://www.quartzy.com/suppliers | https://cellecta.com/pages/company-contact-us</t>
        </is>
      </c>
    </row>
    <row r="299">
      <c r="A299" t="n">
        <v>298</v>
      </c>
      <c r="B299" t="inlineStr">
        <is>
          <t>Cellomics</t>
        </is>
      </c>
      <c r="C299" t="inlineStr">
        <is>
          <t>Q</t>
        </is>
      </c>
      <c r="F299" t="inlineStr">
        <is>
          <t>yes</t>
        </is>
      </c>
      <c r="J299" t="inlineStr"/>
      <c r="Y299" t="inlineStr">
        <is>
          <t>unknown</t>
        </is>
      </c>
      <c r="Z299" t="inlineStr"/>
      <c r="AA299" t="inlineStr"/>
      <c r="AB299" t="inlineStr"/>
      <c r="AC299" t="inlineStr"/>
      <c r="AD299" t="inlineStr">
        <is>
          <t>לא נמצא בסריקת המפיצים</t>
        </is>
      </c>
      <c r="AE299" t="inlineStr">
        <is>
          <t>סריקת אתרי מפיצים</t>
        </is>
      </c>
      <c r="AG299" t="inlineStr"/>
      <c r="AH299" t="inlineStr"/>
      <c r="AJ299" t="inlineStr"/>
      <c r="AP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Y300" t="inlineStr">
        <is>
          <t>unknown</t>
        </is>
      </c>
      <c r="Z300" t="inlineStr"/>
      <c r="AA300" t="inlineStr"/>
      <c r="AB300" t="inlineStr"/>
      <c r="AC300" t="inlineStr"/>
      <c r="AD300" t="inlineStr">
        <is>
          <t>לא נמצא בסריקת המפיצים</t>
        </is>
      </c>
      <c r="AE300" t="inlineStr">
        <is>
          <t>סריקת אתרי מפיצים</t>
        </is>
      </c>
      <c r="AG300" t="inlineStr"/>
      <c r="AH300" t="inlineStr"/>
      <c r="AJ300" t="inlineStr">
        <is>
          <t>1-800-586-6038</t>
        </is>
      </c>
      <c r="AK300" t="inlineStr">
        <is>
          <t>info@cellomicstech.com</t>
        </is>
      </c>
      <c r="AM300" t="inlineStr">
        <is>
          <t>https://www.cellomicstech.com/contactus</t>
        </is>
      </c>
      <c r="AN300" t="inlineStr">
        <is>
          <t>https://www.cellomicstech.com/contactus</t>
        </is>
      </c>
      <c r="AP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Y301" t="inlineStr">
        <is>
          <t>unknown</t>
        </is>
      </c>
      <c r="Z301" t="inlineStr"/>
      <c r="AA301" t="inlineStr"/>
      <c r="AB301" t="inlineStr"/>
      <c r="AC301" t="inlineStr"/>
      <c r="AD301" t="inlineStr">
        <is>
          <t>לא נמצא בסריקת המפיצים</t>
        </is>
      </c>
      <c r="AE301" t="inlineStr">
        <is>
          <t>סריקת אתרי מפיצים</t>
        </is>
      </c>
      <c r="AG301" t="inlineStr"/>
      <c r="AH301" t="inlineStr"/>
      <c r="AJ301" t="inlineStr">
        <is>
          <t>(650) 488 1598</t>
        </is>
      </c>
      <c r="AK301" t="inlineStr">
        <is>
          <t>info@cells-online.com</t>
        </is>
      </c>
      <c r="AM301" t="inlineStr">
        <is>
          <t>https://cells-online.com/contact-expert-on-cells/</t>
        </is>
      </c>
      <c r="AN301" t="inlineStr">
        <is>
          <t>https://cells-online.com/contact-expert-on-cells/</t>
        </is>
      </c>
      <c r="AP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Y302" t="inlineStr">
        <is>
          <t>unknown</t>
        </is>
      </c>
      <c r="Z302" t="inlineStr"/>
      <c r="AA302" t="inlineStr"/>
      <c r="AB302" t="inlineStr"/>
      <c r="AC302" t="inlineStr"/>
      <c r="AD302" t="inlineStr">
        <is>
          <t>לא נמצא בחיפוש ראשוני</t>
        </is>
      </c>
      <c r="AE302" t="inlineStr">
        <is>
          <t>חיפוש חלקי</t>
        </is>
      </c>
      <c r="AG302" t="inlineStr"/>
      <c r="AH302" t="inlineStr"/>
      <c r="AI302" t="inlineStr">
        <is>
          <t>Only US wholesaler listings (MAP Medical) and unrelated Israeli distributors; no CELLTREAT Israel link.</t>
        </is>
      </c>
      <c r="AJ302" t="inlineStr"/>
      <c r="AP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Y303" t="inlineStr">
        <is>
          <t>unknown</t>
        </is>
      </c>
      <c r="Z303" t="inlineStr"/>
      <c r="AA303" t="inlineStr"/>
      <c r="AB303" t="inlineStr"/>
      <c r="AC303" t="inlineStr"/>
      <c r="AD303" t="inlineStr">
        <is>
          <t>לא נמצא בסריקת המפיצים</t>
        </is>
      </c>
      <c r="AE303" t="inlineStr">
        <is>
          <t>סריקת אתרי מפיצים</t>
        </is>
      </c>
      <c r="AG303" t="inlineStr"/>
      <c r="AH303" t="inlineStr"/>
      <c r="AJ303" t="inlineStr"/>
      <c r="AP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Y304" t="inlineStr">
        <is>
          <t>unknown</t>
        </is>
      </c>
      <c r="Z304" t="inlineStr"/>
      <c r="AA304" t="inlineStr"/>
      <c r="AB304" t="inlineStr"/>
      <c r="AC304" t="inlineStr"/>
      <c r="AD304" t="inlineStr">
        <is>
          <t>לא נמצא בסריקת המפיצים</t>
        </is>
      </c>
      <c r="AE304" t="inlineStr">
        <is>
          <t>סריקת אתרי מפיצים</t>
        </is>
      </c>
      <c r="AG304" t="inlineStr"/>
      <c r="AH304" t="inlineStr"/>
      <c r="AJ304" t="inlineStr"/>
      <c r="AP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Y305" t="inlineStr">
        <is>
          <t>unknown</t>
        </is>
      </c>
      <c r="Z305" t="inlineStr"/>
      <c r="AA305" t="inlineStr"/>
      <c r="AB305" t="inlineStr"/>
      <c r="AC305" t="inlineStr"/>
      <c r="AD305" t="inlineStr">
        <is>
          <t>לא נמצא בסריקת המפיצים</t>
        </is>
      </c>
      <c r="AE305" t="inlineStr">
        <is>
          <t>סריקת אתרי מפיצים</t>
        </is>
      </c>
      <c r="AG305" t="inlineStr"/>
      <c r="AH305" t="inlineStr"/>
      <c r="AJ305" t="inlineStr"/>
      <c r="AP305" t="inlineStr">
        <is>
          <t>https://www.thomassci.com/browse-by/suppliers/cellular-engineering-technologies</t>
        </is>
      </c>
    </row>
    <row r="306">
      <c r="A306" t="n">
        <v>305</v>
      </c>
      <c r="B306" t="inlineStr">
        <is>
          <t>Cellvis</t>
        </is>
      </c>
      <c r="C306" t="inlineStr">
        <is>
          <t>Q</t>
        </is>
      </c>
      <c r="F306" t="inlineStr">
        <is>
          <t>yes</t>
        </is>
      </c>
      <c r="J306" t="inlineStr"/>
      <c r="Y306" t="inlineStr">
        <is>
          <t>unknown</t>
        </is>
      </c>
      <c r="Z306" t="inlineStr"/>
      <c r="AA306" t="inlineStr"/>
      <c r="AB306" t="inlineStr"/>
      <c r="AC306" t="inlineStr"/>
      <c r="AD306" t="inlineStr">
        <is>
          <t>לא נמצא בסריקת המפיצים</t>
        </is>
      </c>
      <c r="AE306" t="inlineStr">
        <is>
          <t>סריקת אתרי מפיצים</t>
        </is>
      </c>
      <c r="AG306" t="inlineStr"/>
      <c r="AH306" t="inlineStr"/>
      <c r="AJ306" t="inlineStr"/>
      <c r="AP306" t="inlineStr">
        <is>
          <t>https://www.quartzy.com/suppliers</t>
        </is>
      </c>
    </row>
    <row r="307">
      <c r="A307" t="n">
        <v>306</v>
      </c>
      <c r="B307" t="inlineStr">
        <is>
          <t>CEM</t>
        </is>
      </c>
      <c r="C307" t="inlineStr">
        <is>
          <t>D</t>
        </is>
      </c>
      <c r="D307" t="inlineStr">
        <is>
          <t>https://www.dutscher.com/search?initialFilters=brand:CEM</t>
        </is>
      </c>
      <c r="F307" t="inlineStr"/>
      <c r="J307" t="inlineStr"/>
      <c r="Y307" t="inlineStr">
        <is>
          <t>unknown</t>
        </is>
      </c>
      <c r="Z307" t="inlineStr"/>
      <c r="AA307" t="inlineStr"/>
      <c r="AB307" t="inlineStr"/>
      <c r="AC307" t="inlineStr"/>
      <c r="AD307" t="inlineStr">
        <is>
          <t>לא נמצא בסריקת המפיצים</t>
        </is>
      </c>
      <c r="AE307" t="inlineStr">
        <is>
          <t>סריקת אתרי מפיצים</t>
        </is>
      </c>
      <c r="AG307" t="inlineStr"/>
      <c r="AH307" t="inlineStr"/>
      <c r="AJ307" t="inlineStr"/>
      <c r="AP307" t="inlineStr">
        <is>
          <t>https://www.dutscher.com/search?initialFilters=brand:CEM</t>
        </is>
      </c>
    </row>
    <row r="308">
      <c r="A308" t="n">
        <v>307</v>
      </c>
      <c r="B308" t="inlineStr">
        <is>
          <t>Cenmed</t>
        </is>
      </c>
      <c r="C308" t="inlineStr">
        <is>
          <t>Q</t>
        </is>
      </c>
      <c r="F308" t="inlineStr">
        <is>
          <t>yes</t>
        </is>
      </c>
      <c r="J308" t="inlineStr"/>
      <c r="Y308" t="inlineStr">
        <is>
          <t>unknown</t>
        </is>
      </c>
      <c r="Z308" t="inlineStr"/>
      <c r="AA308" t="inlineStr"/>
      <c r="AB308" t="inlineStr"/>
      <c r="AC308" t="inlineStr"/>
      <c r="AD308" t="inlineStr">
        <is>
          <t>לא נמצא בסריקת המפיצים</t>
        </is>
      </c>
      <c r="AE308" t="inlineStr">
        <is>
          <t>סריקת אתרי מפיצים</t>
        </is>
      </c>
      <c r="AG308" t="inlineStr"/>
      <c r="AH308" t="inlineStr"/>
      <c r="AJ308" t="inlineStr"/>
      <c r="AP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Y309" t="inlineStr">
        <is>
          <t>unknown</t>
        </is>
      </c>
      <c r="Z309" t="inlineStr"/>
      <c r="AA309" t="inlineStr"/>
      <c r="AB309" t="inlineStr"/>
      <c r="AC309" t="inlineStr"/>
      <c r="AD309" t="inlineStr">
        <is>
          <t>לא נמצא בסריקת המפיצים</t>
        </is>
      </c>
      <c r="AE309" t="inlineStr">
        <is>
          <t>סריקת אתרי מפיצים</t>
        </is>
      </c>
      <c r="AG309" t="inlineStr"/>
      <c r="AH309" t="inlineStr"/>
      <c r="AJ309" t="inlineStr">
        <is>
          <t>+43732674278</t>
        </is>
      </c>
      <c r="AK309" t="inlineStr">
        <is>
          <t>support@certoclav.com</t>
        </is>
      </c>
      <c r="AM309" t="inlineStr">
        <is>
          <t>https://www.certoclav.com/contact/</t>
        </is>
      </c>
      <c r="AN309" t="inlineStr">
        <is>
          <t>https://www.certoclav.com/contact/</t>
        </is>
      </c>
      <c r="AP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https://criver.com</t>
        </is>
      </c>
      <c r="I310" t="inlineStr">
        <is>
          <t>clearbit</t>
        </is>
      </c>
      <c r="J310" t="inlineStr"/>
      <c r="Y310" t="inlineStr">
        <is>
          <t>unknown</t>
        </is>
      </c>
      <c r="Z310" t="inlineStr"/>
      <c r="AA310" t="inlineStr"/>
      <c r="AB310" t="inlineStr"/>
      <c r="AC310" t="inlineStr"/>
      <c r="AD310" t="inlineStr">
        <is>
          <t>לא נמצא בסריקת המפיצים</t>
        </is>
      </c>
      <c r="AE310" t="inlineStr">
        <is>
          <t>סריקת אתרי מפיצים</t>
        </is>
      </c>
      <c r="AG310" t="inlineStr"/>
      <c r="AH310" t="inlineStr"/>
      <c r="AJ310" t="inlineStr"/>
      <c r="AP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Y311" t="inlineStr">
        <is>
          <t>unknown</t>
        </is>
      </c>
      <c r="Z311" t="inlineStr"/>
      <c r="AA311" t="inlineStr"/>
      <c r="AB311" t="inlineStr"/>
      <c r="AC311" t="inlineStr"/>
      <c r="AD311" t="inlineStr">
        <is>
          <t>לא נמצא בסריקת המפיצים</t>
        </is>
      </c>
      <c r="AE311" t="inlineStr">
        <is>
          <t>סריקת אתרי מפיצים</t>
        </is>
      </c>
      <c r="AG311" t="inlineStr"/>
      <c r="AH311" t="inlineStr"/>
      <c r="AJ311" t="inlineStr"/>
      <c r="AP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Y312" t="inlineStr">
        <is>
          <t>unknown</t>
        </is>
      </c>
      <c r="Z312" t="inlineStr"/>
      <c r="AA312" t="inlineStr"/>
      <c r="AB312" t="inlineStr"/>
      <c r="AC312" t="inlineStr"/>
      <c r="AD312" t="inlineStr">
        <is>
          <t>לא נמצא בסריקת המפיצים</t>
        </is>
      </c>
      <c r="AE312" t="inlineStr">
        <is>
          <t>סריקת אתרי מפיצים</t>
        </is>
      </c>
      <c r="AG312" t="inlineStr"/>
      <c r="AH312" t="inlineStr"/>
      <c r="AJ312" t="inlineStr"/>
      <c r="AP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Y313" t="inlineStr">
        <is>
          <t>unknown</t>
        </is>
      </c>
      <c r="Z313" t="inlineStr"/>
      <c r="AA313" t="inlineStr"/>
      <c r="AB313" t="inlineStr"/>
      <c r="AC313" t="inlineStr"/>
      <c r="AD313" t="inlineStr">
        <is>
          <t>לא נמצא בסריקת המפיצים</t>
        </is>
      </c>
      <c r="AE313" t="inlineStr">
        <is>
          <t>סריקת אתרי מפיצים</t>
        </is>
      </c>
      <c r="AG313" t="inlineStr"/>
      <c r="AH313" t="inlineStr"/>
      <c r="AJ313" t="inlineStr"/>
      <c r="AM313" t="inlineStr">
        <is>
          <t>https://chase-scientific.com/sales.html</t>
        </is>
      </c>
      <c r="AN313" t="inlineStr">
        <is>
          <t>https://chase-scientific.com/sales.html</t>
        </is>
      </c>
      <c r="AP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Y314" t="inlineStr">
        <is>
          <t>unknown</t>
        </is>
      </c>
      <c r="Z314" t="inlineStr"/>
      <c r="AA314" t="inlineStr"/>
      <c r="AB314" t="inlineStr"/>
      <c r="AC314" t="inlineStr"/>
      <c r="AD314" t="inlineStr">
        <is>
          <t>לא נמצא בסריקת המפיצים</t>
        </is>
      </c>
      <c r="AE314" t="inlineStr">
        <is>
          <t>סריקת אתרי מפיצים</t>
        </is>
      </c>
      <c r="AG314" t="inlineStr"/>
      <c r="AH314" t="inlineStr"/>
      <c r="AJ314" t="inlineStr"/>
      <c r="AM314" t="inlineStr">
        <is>
          <t>https://checksammy.com/contact-us</t>
        </is>
      </c>
      <c r="AN314" t="inlineStr">
        <is>
          <t>https://checksammy.com/contact-us</t>
        </is>
      </c>
      <c r="AP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Y315" t="inlineStr">
        <is>
          <t>unknown</t>
        </is>
      </c>
      <c r="Z315" t="inlineStr"/>
      <c r="AA315" t="inlineStr"/>
      <c r="AB315" t="inlineStr"/>
      <c r="AC315" t="inlineStr"/>
      <c r="AD315" t="inlineStr">
        <is>
          <t>לא נמצא בסריקת המפיצים</t>
        </is>
      </c>
      <c r="AE315" t="inlineStr">
        <is>
          <t>סריקת אתרי מפיצים</t>
        </is>
      </c>
      <c r="AG315" t="inlineStr"/>
      <c r="AH315" t="inlineStr"/>
      <c r="AJ315" t="inlineStr">
        <is>
          <t>800-869-9290</t>
        </is>
      </c>
      <c r="AM315" t="inlineStr">
        <is>
          <t>https://www.chemimpex.com/pages/contact</t>
        </is>
      </c>
      <c r="AN315" t="inlineStr">
        <is>
          <t>https://www.chemimpex.com/pages/contact</t>
        </is>
      </c>
      <c r="AP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Y316" t="inlineStr">
        <is>
          <t>unknown</t>
        </is>
      </c>
      <c r="Z316" t="inlineStr"/>
      <c r="AA316" t="inlineStr"/>
      <c r="AB316" t="inlineStr"/>
      <c r="AC316" t="inlineStr"/>
      <c r="AD316" t="inlineStr">
        <is>
          <t>לא נמצא בסריקת המפיצים</t>
        </is>
      </c>
      <c r="AE316" t="inlineStr">
        <is>
          <t>סריקת אתרי מפיצים</t>
        </is>
      </c>
      <c r="AG316" t="inlineStr"/>
      <c r="AH316" t="inlineStr"/>
      <c r="AJ316" t="inlineStr">
        <is>
          <t>717-632-1291</t>
        </is>
      </c>
      <c r="AM316" t="inlineStr">
        <is>
          <t>https://www.aquaphoenixsci.com/contact-us/</t>
        </is>
      </c>
      <c r="AN316" t="inlineStr">
        <is>
          <t>https://www.aquaphoenixsci.com/contact-us/</t>
        </is>
      </c>
      <c r="AP316" t="inlineStr">
        <is>
          <t>https://www.thomassci.com/browse-by/suppliers/chemetrics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Y317" t="inlineStr">
        <is>
          <t>unknown</t>
        </is>
      </c>
      <c r="Z317" t="inlineStr"/>
      <c r="AA317" t="inlineStr"/>
      <c r="AB317" t="inlineStr"/>
      <c r="AC317" t="inlineStr"/>
      <c r="AD317" t="inlineStr">
        <is>
          <t>לא נמצא בסריקת המפיצים</t>
        </is>
      </c>
      <c r="AE317" t="inlineStr">
        <is>
          <t>סריקת אתרי מפיצים</t>
        </is>
      </c>
      <c r="AG317" t="inlineStr"/>
      <c r="AH317" t="inlineStr"/>
      <c r="AJ317" t="inlineStr"/>
      <c r="AP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Y318" t="inlineStr">
        <is>
          <t>unknown</t>
        </is>
      </c>
      <c r="Z318" t="inlineStr"/>
      <c r="AA318" t="inlineStr"/>
      <c r="AB318" t="inlineStr"/>
      <c r="AC318" t="inlineStr"/>
      <c r="AD318" t="inlineStr">
        <is>
          <t>לא נמצא בחיפוש ראשוני</t>
        </is>
      </c>
      <c r="AE318" t="inlineStr">
        <is>
          <t>חיפוש חלקי</t>
        </is>
      </c>
      <c r="AG318" t="inlineStr"/>
      <c r="AH318" t="inlineStr"/>
      <c r="AI318" t="inlineStr">
        <is>
          <t>Chemglass Life Sciences 2026 capabilities PDFs and company profile only; Agentek appeared in results with no stated link to Chemglass.</t>
        </is>
      </c>
      <c r="AJ318" t="inlineStr">
        <is>
          <t>1-800-843-1794</t>
        </is>
      </c>
      <c r="AM318" t="inlineStr">
        <is>
          <t>https://chemglass.com/ContactUs</t>
        </is>
      </c>
      <c r="AN318" t="inlineStr">
        <is>
          <t>https://chemglass.com/ContactUs</t>
        </is>
      </c>
      <c r="AP318" t="inlineStr">
        <is>
          <t>https://www.quartzy.com/suppliers | https://www.thomassci.com/browse-by/suppliers/chemglass | https://chemglass.com/ContactUs</t>
        </is>
      </c>
    </row>
    <row r="319">
      <c r="A319" t="n">
        <v>318</v>
      </c>
      <c r="B319" t="inlineStr">
        <is>
          <t>Chemicals Reagents W</t>
        </is>
      </c>
      <c r="C319" t="inlineStr">
        <is>
          <t>T</t>
        </is>
      </c>
      <c r="E319" t="inlineStr">
        <is>
          <t>https://www.thomassci.com/browse-by/suppliers/chemicals-reagents-w</t>
        </is>
      </c>
      <c r="F319" t="inlineStr"/>
      <c r="J319" t="inlineStr"/>
      <c r="Y319" t="inlineStr">
        <is>
          <t>unknown</t>
        </is>
      </c>
      <c r="Z319" t="inlineStr"/>
      <c r="AA319" t="inlineStr"/>
      <c r="AB319" t="inlineStr"/>
      <c r="AC319" t="inlineStr"/>
      <c r="AD319" t="inlineStr">
        <is>
          <t>לא נמצא בסריקת המפיצים</t>
        </is>
      </c>
      <c r="AE319" t="inlineStr">
        <is>
          <t>סריקת אתרי מפיצים</t>
        </is>
      </c>
      <c r="AG319" t="inlineStr"/>
      <c r="AH319" t="inlineStr"/>
      <c r="AJ319" t="inlineStr"/>
      <c r="AP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Y320" t="inlineStr">
        <is>
          <t>unknown</t>
        </is>
      </c>
      <c r="Z320" t="inlineStr"/>
      <c r="AA320" t="inlineStr"/>
      <c r="AB320" t="inlineStr"/>
      <c r="AC320" t="inlineStr"/>
      <c r="AD320" t="inlineStr">
        <is>
          <t>לא נמצא בסריקת המפיצים</t>
        </is>
      </c>
      <c r="AE320" t="inlineStr">
        <is>
          <t>סריקת אתרי מפיצים</t>
        </is>
      </c>
      <c r="AG320" t="inlineStr"/>
      <c r="AH320" t="inlineStr"/>
      <c r="AJ320" t="inlineStr"/>
      <c r="AP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Y321" t="inlineStr">
        <is>
          <t>unknown</t>
        </is>
      </c>
      <c r="Z321" t="inlineStr"/>
      <c r="AA321" t="inlineStr"/>
      <c r="AB321" t="inlineStr"/>
      <c r="AC321" t="inlineStr"/>
      <c r="AD321" t="inlineStr">
        <is>
          <t>לא נמצא בסריקת המפיצים</t>
        </is>
      </c>
      <c r="AE321" t="inlineStr">
        <is>
          <t>סריקת אתרי מפיצים</t>
        </is>
      </c>
      <c r="AG321" t="inlineStr"/>
      <c r="AH321" t="inlineStr"/>
      <c r="AJ321" t="inlineStr"/>
      <c r="AP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Y322" t="inlineStr">
        <is>
          <t>unknown</t>
        </is>
      </c>
      <c r="Z322" t="inlineStr"/>
      <c r="AA322" t="inlineStr"/>
      <c r="AB322" t="inlineStr"/>
      <c r="AC322" t="inlineStr"/>
      <c r="AD322" t="inlineStr">
        <is>
          <t>לא נמצא בסריקת המפיצים</t>
        </is>
      </c>
      <c r="AE322" t="inlineStr">
        <is>
          <t>סריקת אתרי מפיצים</t>
        </is>
      </c>
      <c r="AG322" t="inlineStr"/>
      <c r="AH322" t="inlineStr"/>
      <c r="AJ322" t="inlineStr"/>
      <c r="AP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Y323" t="inlineStr">
        <is>
          <t>unknown</t>
        </is>
      </c>
      <c r="Z323" t="inlineStr"/>
      <c r="AA323" t="inlineStr"/>
      <c r="AB323" t="inlineStr"/>
      <c r="AC323" t="inlineStr"/>
      <c r="AD323" t="inlineStr">
        <is>
          <t>לא נמצא בסריקת המפיצים</t>
        </is>
      </c>
      <c r="AE323" t="inlineStr">
        <is>
          <t>סריקת אתרי מפיצים</t>
        </is>
      </c>
      <c r="AG323" t="inlineStr"/>
      <c r="AH323" t="inlineStr"/>
      <c r="AJ323" t="inlineStr">
        <is>
          <t>+17704244888</t>
        </is>
      </c>
      <c r="AM323" t="inlineStr">
        <is>
          <t>https://www.chemtronics.com/contact-cleaners</t>
        </is>
      </c>
      <c r="AN323" t="inlineStr">
        <is>
          <t>https://www.chemtronics.com/contact-cleaners</t>
        </is>
      </c>
      <c r="AP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Y324" t="inlineStr">
        <is>
          <t>unknown</t>
        </is>
      </c>
      <c r="Z324" t="inlineStr"/>
      <c r="AA324" t="inlineStr"/>
      <c r="AB324" t="inlineStr"/>
      <c r="AC324" t="inlineStr"/>
      <c r="AD324" t="inlineStr">
        <is>
          <t>לא נמצא בסריקת המפיצים</t>
        </is>
      </c>
      <c r="AE324" t="inlineStr">
        <is>
          <t>סריקת אתרי מפיצים</t>
        </is>
      </c>
      <c r="AG324" t="inlineStr"/>
      <c r="AH324" t="inlineStr"/>
      <c r="AJ324" t="inlineStr"/>
      <c r="AP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clearbit_verified</t>
        </is>
      </c>
      <c r="J325" t="inlineStr"/>
      <c r="Y325" t="inlineStr">
        <is>
          <t>unknown</t>
        </is>
      </c>
      <c r="Z325" t="inlineStr"/>
      <c r="AA325" t="inlineStr"/>
      <c r="AB325" t="inlineStr"/>
      <c r="AC325" t="inlineStr"/>
      <c r="AD325" t="inlineStr">
        <is>
          <t>לא נמצא בסריקת המפיצים</t>
        </is>
      </c>
      <c r="AE325" t="inlineStr">
        <is>
          <t>סריקת אתרי מפיצים</t>
        </is>
      </c>
      <c r="AG325" t="inlineStr"/>
      <c r="AH325" t="inlineStr"/>
      <c r="AJ325" t="inlineStr">
        <is>
          <t>+ 44 0208 943 8480</t>
        </is>
      </c>
      <c r="AK325" t="inlineStr">
        <is>
          <t>info@asm.com.py</t>
        </is>
      </c>
      <c r="AM325" t="inlineStr">
        <is>
          <t>https://www.lgcstandards.com/GB/en/contact-us</t>
        </is>
      </c>
      <c r="AN325" t="inlineStr">
        <is>
          <t>https://www.lgcstandards.com/GB/en/contact-us</t>
        </is>
      </c>
      <c r="AP325" t="inlineStr">
        <is>
          <t>https://www.quartzy.com/suppliers | https://www.lgcstandards.com/GB/en/contact-us</t>
        </is>
      </c>
    </row>
    <row r="326">
      <c r="A326" t="n">
        <v>325</v>
      </c>
      <c r="B326" t="inlineStr">
        <is>
          <t>ChromoTek</t>
        </is>
      </c>
      <c r="C326" t="inlineStr">
        <is>
          <t>Q</t>
        </is>
      </c>
      <c r="F326" t="inlineStr">
        <is>
          <t>yes</t>
        </is>
      </c>
      <c r="J326" t="inlineStr"/>
      <c r="Y326" t="inlineStr">
        <is>
          <t>unknown</t>
        </is>
      </c>
      <c r="Z326" t="inlineStr"/>
      <c r="AA326" t="inlineStr"/>
      <c r="AB326" t="inlineStr"/>
      <c r="AC326" t="inlineStr"/>
      <c r="AD326" t="inlineStr">
        <is>
          <t>לא נמצא בסריקת המפיצים</t>
        </is>
      </c>
      <c r="AE326" t="inlineStr">
        <is>
          <t>סריקת אתרי מפיצים</t>
        </is>
      </c>
      <c r="AG326" t="inlineStr"/>
      <c r="AH326" t="inlineStr"/>
      <c r="AJ326" t="inlineStr"/>
      <c r="AP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Y327" t="inlineStr">
        <is>
          <t>unknown</t>
        </is>
      </c>
      <c r="Z327" t="inlineStr"/>
      <c r="AA327" t="inlineStr"/>
      <c r="AB327" t="inlineStr"/>
      <c r="AC327" t="inlineStr"/>
      <c r="AD327" t="inlineStr">
        <is>
          <t>לא נמצא בסריקת המפיצים</t>
        </is>
      </c>
      <c r="AE327" t="inlineStr">
        <is>
          <t>סריקת אתרי מפיצים</t>
        </is>
      </c>
      <c r="AG327" t="inlineStr"/>
      <c r="AH327" t="inlineStr"/>
      <c r="AJ327" t="inlineStr"/>
      <c r="AM327" t="inlineStr">
        <is>
          <t>https://chums.com/pages/contact-us</t>
        </is>
      </c>
      <c r="AN327" t="inlineStr">
        <is>
          <t>https://chums.com/pages/contact-us</t>
        </is>
      </c>
      <c r="AP327" t="inlineStr">
        <is>
          <t>https://www.thomassci.com/browse-by/suppliers/chums | https://chums.com/pages/contact-us</t>
        </is>
      </c>
    </row>
    <row r="328">
      <c r="A328" t="n">
        <v>327</v>
      </c>
      <c r="B328" t="inlineStr">
        <is>
          <t>Cincinnati Surgical</t>
        </is>
      </c>
      <c r="C328" t="inlineStr">
        <is>
          <t>T</t>
        </is>
      </c>
      <c r="E328" t="inlineStr">
        <is>
          <t>https://www.thomassci.com/browse-by/suppliers/cincinnati-surgical</t>
        </is>
      </c>
      <c r="F328" t="inlineStr"/>
      <c r="J328" t="inlineStr"/>
      <c r="Y328" t="inlineStr">
        <is>
          <t>unknown</t>
        </is>
      </c>
      <c r="Z328" t="inlineStr"/>
      <c r="AA328" t="inlineStr"/>
      <c r="AB328" t="inlineStr"/>
      <c r="AC328" t="inlineStr"/>
      <c r="AD328" t="inlineStr">
        <is>
          <t>לא נמצא בסריקת המפיצים</t>
        </is>
      </c>
      <c r="AE328" t="inlineStr">
        <is>
          <t>סריקת אתרי מפיצים</t>
        </is>
      </c>
      <c r="AG328" t="inlineStr"/>
      <c r="AH328" t="inlineStr"/>
      <c r="AJ328" t="inlineStr"/>
      <c r="AP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Y329" t="inlineStr">
        <is>
          <t>unknown</t>
        </is>
      </c>
      <c r="Z329" t="inlineStr"/>
      <c r="AA329" t="inlineStr"/>
      <c r="AB329" t="inlineStr"/>
      <c r="AC329" t="inlineStr"/>
      <c r="AD329" t="inlineStr">
        <is>
          <t>לא נמצא בסריקת המפיצים</t>
        </is>
      </c>
      <c r="AE329" t="inlineStr">
        <is>
          <t>סריקת אתרי מפיצים</t>
        </is>
      </c>
      <c r="AG329" t="inlineStr"/>
      <c r="AH329" t="inlineStr"/>
      <c r="AJ329" t="inlineStr"/>
      <c r="AP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Y330" t="inlineStr">
        <is>
          <t>unknown</t>
        </is>
      </c>
      <c r="Z330" t="inlineStr"/>
      <c r="AA330" t="inlineStr"/>
      <c r="AB330" t="inlineStr"/>
      <c r="AC330" t="inlineStr"/>
      <c r="AD330" t="inlineStr">
        <is>
          <t>לא נמצא בסריקת המפיצים</t>
        </is>
      </c>
      <c r="AE330" t="inlineStr">
        <is>
          <t>סריקת אתרי מפיצים</t>
        </is>
      </c>
      <c r="AG330" t="inlineStr"/>
      <c r="AH330" t="inlineStr"/>
      <c r="AJ330" t="inlineStr"/>
      <c r="AP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Y331" t="inlineStr">
        <is>
          <t>unknown</t>
        </is>
      </c>
      <c r="Z331" t="inlineStr"/>
      <c r="AA331" t="inlineStr"/>
      <c r="AB331" t="inlineStr"/>
      <c r="AC331" t="inlineStr"/>
      <c r="AD331" t="inlineStr">
        <is>
          <t>לא נמצא בסריקת המפיצים</t>
        </is>
      </c>
      <c r="AE331" t="inlineStr">
        <is>
          <t>סריקת אתרי מפיצים</t>
        </is>
      </c>
      <c r="AG331" t="inlineStr"/>
      <c r="AH331" t="inlineStr"/>
      <c r="AJ331" t="inlineStr"/>
      <c r="AP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clearbit_verified</t>
        </is>
      </c>
      <c r="J332" t="inlineStr"/>
      <c r="Y332" t="inlineStr">
        <is>
          <t>unknown</t>
        </is>
      </c>
      <c r="Z332" t="inlineStr"/>
      <c r="AA332" t="inlineStr"/>
      <c r="AB332" t="inlineStr"/>
      <c r="AC332" t="inlineStr"/>
      <c r="AD332" t="inlineStr">
        <is>
          <t>לא נמצא בסריקת המפיצים</t>
        </is>
      </c>
      <c r="AE332" t="inlineStr">
        <is>
          <t>סריקת אתרי מפיצים</t>
        </is>
      </c>
      <c r="AG332" t="inlineStr"/>
      <c r="AH332" t="inlineStr"/>
      <c r="AJ332" t="inlineStr"/>
      <c r="AM332" t="inlineStr">
        <is>
          <t>https://cleanedge.com/contact/</t>
        </is>
      </c>
      <c r="AN332" t="inlineStr">
        <is>
          <t>https://cleanedge.com/contact/</t>
        </is>
      </c>
      <c r="AP332" t="inlineStr">
        <is>
          <t>https://www.thomassci.com/browse-by/suppliers/clean-edge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Y333" t="inlineStr">
        <is>
          <t>unknown</t>
        </is>
      </c>
      <c r="Z333" t="inlineStr"/>
      <c r="AA333" t="inlineStr"/>
      <c r="AB333" t="inlineStr"/>
      <c r="AC333" t="inlineStr"/>
      <c r="AD333" t="inlineStr">
        <is>
          <t>לא נמצא בסריקת המפיצים</t>
        </is>
      </c>
      <c r="AE333" t="inlineStr">
        <is>
          <t>סריקת אתרי מפיצים</t>
        </is>
      </c>
      <c r="AG333" t="inlineStr"/>
      <c r="AH333" t="inlineStr"/>
      <c r="AJ333" t="inlineStr"/>
      <c r="AP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Y334" t="inlineStr">
        <is>
          <t>unknown</t>
        </is>
      </c>
      <c r="Z334" t="inlineStr"/>
      <c r="AA334" t="inlineStr"/>
      <c r="AB334" t="inlineStr"/>
      <c r="AC334" t="inlineStr"/>
      <c r="AD334" t="inlineStr">
        <is>
          <t>לא נמצא בסריקת המפיצים</t>
        </is>
      </c>
      <c r="AE334" t="inlineStr">
        <is>
          <t>סריקת אתרי מפיצים</t>
        </is>
      </c>
      <c r="AG334" t="inlineStr"/>
      <c r="AH334" t="inlineStr"/>
      <c r="AJ334" t="inlineStr"/>
      <c r="AP334" t="inlineStr">
        <is>
          <t>https://www.thomassci.com/browse-by/suppliers/clean-rooms-international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Y335" t="inlineStr">
        <is>
          <t>unknown</t>
        </is>
      </c>
      <c r="Z335" t="inlineStr"/>
      <c r="AA335" t="inlineStr"/>
      <c r="AB335" t="inlineStr"/>
      <c r="AC335" t="inlineStr"/>
      <c r="AD335" t="inlineStr">
        <is>
          <t>לא נמצא בסריקת המפיצים</t>
        </is>
      </c>
      <c r="AE335" t="inlineStr">
        <is>
          <t>סריקת אתרי מפיצים</t>
        </is>
      </c>
      <c r="AG335" t="inlineStr"/>
      <c r="AH335" t="inlineStr"/>
      <c r="AJ335" t="inlineStr">
        <is>
          <t>+15039688303</t>
        </is>
      </c>
      <c r="AK335" t="inlineStr">
        <is>
          <t>orders@cleanmarklabels.com</t>
        </is>
      </c>
      <c r="AM335" t="inlineStr">
        <is>
          <t>https://cleanmarklabels.com/contact/</t>
        </is>
      </c>
      <c r="AN335" t="inlineStr">
        <is>
          <t>https://cleanmarklabels.com/contact/</t>
        </is>
      </c>
      <c r="AP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Y336" t="inlineStr">
        <is>
          <t>unknown</t>
        </is>
      </c>
      <c r="Z336" t="inlineStr"/>
      <c r="AA336" t="inlineStr"/>
      <c r="AB336" t="inlineStr"/>
      <c r="AC336" t="inlineStr"/>
      <c r="AD336" t="inlineStr">
        <is>
          <t>לא נמצא בסריקת המפיצים</t>
        </is>
      </c>
      <c r="AE336" t="inlineStr">
        <is>
          <t>סריקת אתרי מפיצים</t>
        </is>
      </c>
      <c r="AG336" t="inlineStr"/>
      <c r="AH336" t="inlineStr"/>
      <c r="AJ336" t="inlineStr"/>
      <c r="AP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Y337" t="inlineStr">
        <is>
          <t>unknown</t>
        </is>
      </c>
      <c r="Z337" t="inlineStr"/>
      <c r="AA337" t="inlineStr"/>
      <c r="AB337" t="inlineStr"/>
      <c r="AC337" t="inlineStr"/>
      <c r="AD337" t="inlineStr">
        <is>
          <t>לא נמצא בסריקת המפיצים</t>
        </is>
      </c>
      <c r="AE337" t="inlineStr">
        <is>
          <t>סריקת אתרי מפיצים</t>
        </is>
      </c>
      <c r="AG337" t="inlineStr"/>
      <c r="AH337" t="inlineStr"/>
      <c r="AJ337" t="inlineStr">
        <is>
          <t>(714) 744-8361</t>
        </is>
      </c>
      <c r="AK337" t="inlineStr">
        <is>
          <t>sales@cleanbags.com</t>
        </is>
      </c>
      <c r="AM337" t="inlineStr">
        <is>
          <t>https://www.cleanroomfilm.com/contact-us</t>
        </is>
      </c>
      <c r="AN337" t="inlineStr">
        <is>
          <t>https://www.cleanroomfilm.com/contact-us</t>
        </is>
      </c>
      <c r="AP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Y338" t="inlineStr">
        <is>
          <t>unknown</t>
        </is>
      </c>
      <c r="Z338" t="inlineStr"/>
      <c r="AA338" t="inlineStr"/>
      <c r="AB338" t="inlineStr"/>
      <c r="AC338" t="inlineStr"/>
      <c r="AD338" t="inlineStr">
        <is>
          <t>לא נמצא בסריקת המפיצים</t>
        </is>
      </c>
      <c r="AE338" t="inlineStr">
        <is>
          <t>סריקת אתרי מפיצים</t>
        </is>
      </c>
      <c r="AG338" t="inlineStr"/>
      <c r="AH338" t="inlineStr"/>
      <c r="AJ338" t="inlineStr"/>
      <c r="AP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Y339" t="inlineStr">
        <is>
          <t>unknown</t>
        </is>
      </c>
      <c r="Z339" t="inlineStr"/>
      <c r="AA339" t="inlineStr"/>
      <c r="AB339" t="inlineStr"/>
      <c r="AC339" t="inlineStr"/>
      <c r="AD339" t="inlineStr">
        <is>
          <t>לא נמצא בסריקת המפיצים</t>
        </is>
      </c>
      <c r="AE339" t="inlineStr">
        <is>
          <t>סריקת אתרי מפיצים</t>
        </is>
      </c>
      <c r="AG339" t="inlineStr"/>
      <c r="AH339" t="inlineStr"/>
      <c r="AJ339" t="inlineStr"/>
      <c r="AP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Y340" t="inlineStr">
        <is>
          <t>unknown</t>
        </is>
      </c>
      <c r="Z340" t="inlineStr"/>
      <c r="AA340" t="inlineStr"/>
      <c r="AB340" t="inlineStr"/>
      <c r="AC340" t="inlineStr"/>
      <c r="AD340" t="inlineStr">
        <is>
          <t>לא נמצא בסריקת המפיצים</t>
        </is>
      </c>
      <c r="AE340" t="inlineStr">
        <is>
          <t>סריקת אתרי מפיצים</t>
        </is>
      </c>
      <c r="AG340" t="inlineStr"/>
      <c r="AH340" t="inlineStr"/>
      <c r="AJ340" t="inlineStr">
        <is>
          <t>+1 (818) 322-3411</t>
        </is>
      </c>
      <c r="AM340" t="inlineStr">
        <is>
          <t>https://clearlineapps.com/contacts/</t>
        </is>
      </c>
      <c r="AN340" t="inlineStr">
        <is>
          <t>https://clearlineapps.com/contacts/</t>
        </is>
      </c>
      <c r="AP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Y341" t="inlineStr">
        <is>
          <t>unknown</t>
        </is>
      </c>
      <c r="Z341" t="inlineStr"/>
      <c r="AA341" t="inlineStr"/>
      <c r="AB341" t="inlineStr"/>
      <c r="AC341" t="inlineStr"/>
      <c r="AD341" t="inlineStr">
        <is>
          <t>לא נמצא בסריקת המפיצים</t>
        </is>
      </c>
      <c r="AE341" t="inlineStr">
        <is>
          <t>סריקת אתרי מפיצים</t>
        </is>
      </c>
      <c r="AG341" t="inlineStr"/>
      <c r="AH341" t="inlineStr"/>
      <c r="AJ341" t="inlineStr"/>
      <c r="AP341" t="inlineStr">
        <is>
          <t>https://www.dutscher.com/search?initialFilters=brand:Cleaver+Scientific</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Y342" t="inlineStr">
        <is>
          <t>unknown</t>
        </is>
      </c>
      <c r="Z342" t="inlineStr"/>
      <c r="AA342" t="inlineStr"/>
      <c r="AB342" t="inlineStr"/>
      <c r="AC342" t="inlineStr"/>
      <c r="AD342" t="inlineStr">
        <is>
          <t>לא נמצא בסריקת המפיצים</t>
        </is>
      </c>
      <c r="AE342" t="inlineStr">
        <is>
          <t>סריקת אתרי מפיצים</t>
        </is>
      </c>
      <c r="AG342" t="inlineStr"/>
      <c r="AH342" t="inlineStr"/>
      <c r="AJ342" t="inlineStr">
        <is>
          <t>+775 622 9713</t>
        </is>
      </c>
      <c r="AK342" t="inlineStr">
        <is>
          <t>info@clickbio.com</t>
        </is>
      </c>
      <c r="AM342" t="inlineStr">
        <is>
          <t>https://click-bio.com/pages/contact-us</t>
        </is>
      </c>
      <c r="AN342" t="inlineStr">
        <is>
          <t>https://click-bio.com/pages/contact-us</t>
        </is>
      </c>
      <c r="AP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c r="Y343" t="inlineStr">
        <is>
          <t>unknown</t>
        </is>
      </c>
      <c r="Z343" t="inlineStr"/>
      <c r="AA343" t="inlineStr"/>
      <c r="AB343" t="inlineStr"/>
      <c r="AC343" t="inlineStr"/>
      <c r="AD343" t="inlineStr">
        <is>
          <t>לא נמצא בסריקת המפיצים</t>
        </is>
      </c>
      <c r="AE343" t="inlineStr">
        <is>
          <t>סריקת אתרי מפיצים</t>
        </is>
      </c>
      <c r="AG343" t="inlineStr"/>
      <c r="AH343" t="inlineStr"/>
      <c r="AJ343" t="inlineStr">
        <is>
          <t>800-292-2200</t>
        </is>
      </c>
      <c r="AM343" t="inlineStr">
        <is>
          <t>https://www.clorox.com/contact-us/</t>
        </is>
      </c>
      <c r="AN343" t="inlineStr">
        <is>
          <t>https://www.clorox.com/contact-us/</t>
        </is>
      </c>
      <c r="AP343" t="inlineStr">
        <is>
          <t>https://www.thomassci.com/browse-by/suppliers/clorox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Y344" t="inlineStr">
        <is>
          <t>unknown</t>
        </is>
      </c>
      <c r="Z344" t="inlineStr"/>
      <c r="AA344" t="inlineStr"/>
      <c r="AB344" t="inlineStr"/>
      <c r="AC344" t="inlineStr"/>
      <c r="AD344" t="inlineStr">
        <is>
          <t>לא נמצא בסריקת המפיצים</t>
        </is>
      </c>
      <c r="AE344" t="inlineStr">
        <is>
          <t>סריקת אתרי מפיצים</t>
        </is>
      </c>
      <c r="AG344" t="inlineStr"/>
      <c r="AH344" t="inlineStr"/>
      <c r="AJ344" t="inlineStr">
        <is>
          <t>777 777 777</t>
        </is>
      </c>
      <c r="AM344" t="inlineStr">
        <is>
          <t>https://codigel.com/content/7-sav-assistance</t>
        </is>
      </c>
      <c r="AN344" t="inlineStr">
        <is>
          <t>https://codigel.com/content/7-sav-assistance</t>
        </is>
      </c>
      <c r="AP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K345" t="inlineStr">
        <is>
          <t>Franklin</t>
        </is>
      </c>
      <c r="Y345" t="inlineStr">
        <is>
          <t>unknown</t>
        </is>
      </c>
      <c r="Z345" t="inlineStr"/>
      <c r="AA345" t="inlineStr"/>
      <c r="AB345" t="inlineStr"/>
      <c r="AC345" t="inlineStr"/>
      <c r="AD345" t="inlineStr">
        <is>
          <t>לא נמצא בסריקת המפיצים</t>
        </is>
      </c>
      <c r="AE345" t="inlineStr">
        <is>
          <t>סריקת אתרי מפיצים</t>
        </is>
      </c>
      <c r="AG345" t="inlineStr"/>
      <c r="AH345" t="inlineStr"/>
      <c r="AJ345" t="inlineStr">
        <is>
          <t>3708566</t>
        </is>
      </c>
      <c r="AK345" t="inlineStr">
        <is>
          <t>orders@coldchaintech.com</t>
        </is>
      </c>
      <c r="AL345" t="inlineStr">
        <is>
          <t>Franklin</t>
        </is>
      </c>
      <c r="AM345" t="inlineStr">
        <is>
          <t>https://www.coldchaintech.com/contact-us</t>
        </is>
      </c>
      <c r="AN345" t="inlineStr">
        <is>
          <t>https://www.coldchaintech.com/contact-us</t>
        </is>
      </c>
      <c r="AO345" t="inlineStr">
        <is>
          <t>Q140305457</t>
        </is>
      </c>
      <c r="AP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medical and environmental products company</t>
        </is>
      </c>
      <c r="P346" t="n">
        <v>2000</v>
      </c>
      <c r="Q346" t="n">
        <v>2024</v>
      </c>
      <c r="R346" t="inlineStr">
        <is>
          <t>estimate</t>
        </is>
      </c>
      <c r="S346" t="inlineStr">
        <is>
          <t>prior</t>
        </is>
      </c>
      <c r="T346" t="n">
        <v>400</v>
      </c>
      <c r="U346" t="inlineStr">
        <is>
          <t>approx. USD 400 million (third-party directory estimate)</t>
        </is>
      </c>
      <c r="V346" t="inlineStr">
        <is>
          <t>n/a (directory estimate seen Oct 2026)</t>
        </is>
      </c>
      <c r="W346" t="inlineStr">
        <is>
          <t>estimate</t>
        </is>
      </c>
      <c r="X346" t="inlineStr">
        <is>
          <t>prior</t>
        </is>
      </c>
      <c r="Y346" t="inlineStr">
        <is>
          <t>estimate</t>
        </is>
      </c>
      <c r="Z346" t="inlineStr">
        <is>
          <t>Jenway spectrophotometers</t>
        </is>
      </c>
      <c r="AA346" t="inlineStr">
        <is>
          <t>Environmental Express HotBlock</t>
        </is>
      </c>
      <c r="AB346" t="inlineStr">
        <is>
          <t>Stuart / Techne benchtop equipment</t>
        </is>
      </c>
      <c r="AC346" t="inlineStr">
        <is>
          <t>prior</t>
        </is>
      </c>
      <c r="AD346" t="inlineStr">
        <is>
          <t>מפיץ/נציג בישראל</t>
        </is>
      </c>
      <c r="AE346" t="inlineStr">
        <is>
          <t>אומת</t>
        </is>
      </c>
      <c r="AF346" t="n">
        <v>2026</v>
      </c>
      <c r="AG346" t="inlineStr">
        <is>
          <t>Medent Scientific Instruments</t>
        </is>
      </c>
      <c r="AH346" t="inlineStr">
        <is>
          <t>Medent Scientific Instruments: +972 72-395-0508 (sales); +972 8-683-6306 (service) info@medent.co.il</t>
        </is>
      </c>
      <c r="AI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346" t="inlineStr">
        <is>
          <t>+1 800-323-4340</t>
        </is>
      </c>
      <c r="AK346" t="inlineStr">
        <is>
          <t>sales@antylia.com</t>
        </is>
      </c>
      <c r="AL346" t="inlineStr">
        <is>
          <t>625 East Bunker Court, Vernon Hills, IL 60061, USA</t>
        </is>
      </c>
      <c r="AN346" t="inlineStr">
        <is>
          <t>https://www.thomasnet.com/company/cole-parmer-1148924/profile</t>
        </is>
      </c>
      <c r="AO346" t="inlineStr">
        <is>
          <t>Q5142613</t>
        </is>
      </c>
      <c r="AP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Y347" t="inlineStr">
        <is>
          <t>unknown</t>
        </is>
      </c>
      <c r="Z347" t="inlineStr"/>
      <c r="AA347" t="inlineStr"/>
      <c r="AB347" t="inlineStr"/>
      <c r="AC347" t="inlineStr"/>
      <c r="AD347" t="inlineStr">
        <is>
          <t>לא נמצא בסריקת המפיצים</t>
        </is>
      </c>
      <c r="AE347" t="inlineStr">
        <is>
          <t>סריקת אתרי מפיצים</t>
        </is>
      </c>
      <c r="AG347" t="inlineStr"/>
      <c r="AH347" t="inlineStr"/>
      <c r="AJ347" t="inlineStr"/>
      <c r="AP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Y348" t="inlineStr">
        <is>
          <t>unknown</t>
        </is>
      </c>
      <c r="Z348" t="inlineStr"/>
      <c r="AA348" t="inlineStr"/>
      <c r="AB348" t="inlineStr"/>
      <c r="AC348" t="inlineStr"/>
      <c r="AD348" t="inlineStr">
        <is>
          <t>לא נמצא בסריקת המפיצים</t>
        </is>
      </c>
      <c r="AE348" t="inlineStr">
        <is>
          <t>סריקת אתרי מפיצים</t>
        </is>
      </c>
      <c r="AG348" t="inlineStr"/>
      <c r="AH348" t="inlineStr"/>
      <c r="AJ348" t="inlineStr">
        <is>
          <t>888-265-2436</t>
        </is>
      </c>
      <c r="AK348" t="inlineStr">
        <is>
          <t>info@columbuschemical.com</t>
        </is>
      </c>
      <c r="AM348" t="inlineStr">
        <is>
          <t>https://www.columbuschemical.com/contact/?request=Quote</t>
        </is>
      </c>
      <c r="AN348" t="inlineStr">
        <is>
          <t>https://www.columbuschemical.com/contact/?request=Quote</t>
        </is>
      </c>
      <c r="AP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Y349" t="inlineStr">
        <is>
          <t>unknown</t>
        </is>
      </c>
      <c r="Z349" t="inlineStr"/>
      <c r="AA349" t="inlineStr"/>
      <c r="AB349" t="inlineStr"/>
      <c r="AC349" t="inlineStr"/>
      <c r="AD349" t="inlineStr">
        <is>
          <t>לא נמצא בסריקת המפיצים</t>
        </is>
      </c>
      <c r="AE349" t="inlineStr">
        <is>
          <t>סריקת אתרי מפיצים</t>
        </is>
      </c>
      <c r="AG349" t="inlineStr"/>
      <c r="AH349" t="inlineStr"/>
      <c r="AJ349" t="inlineStr">
        <is>
          <t>1-877-525-6257</t>
        </is>
      </c>
      <c r="AM349" t="inlineStr">
        <is>
          <t>https://www.combi-blocks.com/others/contact.htm</t>
        </is>
      </c>
      <c r="AN349" t="inlineStr">
        <is>
          <t>https://www.combi-blocks.com/others/contact.htm</t>
        </is>
      </c>
      <c r="AP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Y350" t="inlineStr">
        <is>
          <t>unknown</t>
        </is>
      </c>
      <c r="Z350" t="inlineStr"/>
      <c r="AA350" t="inlineStr"/>
      <c r="AB350" t="inlineStr"/>
      <c r="AC350" t="inlineStr"/>
      <c r="AD350" t="inlineStr">
        <is>
          <t>לא נמצא בסריקת המפיצים</t>
        </is>
      </c>
      <c r="AE350" t="inlineStr">
        <is>
          <t>סריקת אתרי מפיצים</t>
        </is>
      </c>
      <c r="AG350" t="inlineStr"/>
      <c r="AH350" t="inlineStr"/>
      <c r="AJ350" t="inlineStr">
        <is>
          <t>800-444-4237</t>
        </is>
      </c>
      <c r="AK350" t="inlineStr">
        <is>
          <t>info@cepsorbents.com</t>
        </is>
      </c>
      <c r="AM350" t="inlineStr">
        <is>
          <t>https://cepsorbents.com/contact-us/</t>
        </is>
      </c>
      <c r="AN350" t="inlineStr">
        <is>
          <t>https://cepsorbents.com/contact-us/</t>
        </is>
      </c>
      <c r="AP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Y351" t="inlineStr">
        <is>
          <t>unknown</t>
        </is>
      </c>
      <c r="Z351" t="inlineStr"/>
      <c r="AA351" t="inlineStr"/>
      <c r="AB351" t="inlineStr"/>
      <c r="AC351" t="inlineStr"/>
      <c r="AD351" t="inlineStr">
        <is>
          <t>לא נמצא בסריקת המפיצים</t>
        </is>
      </c>
      <c r="AE351" t="inlineStr">
        <is>
          <t>סריקת אתרי מפיצים</t>
        </is>
      </c>
      <c r="AG351" t="inlineStr"/>
      <c r="AH351" t="inlineStr"/>
      <c r="AJ351" t="inlineStr"/>
      <c r="AP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Y352" t="inlineStr">
        <is>
          <t>unknown</t>
        </is>
      </c>
      <c r="Z352" t="inlineStr"/>
      <c r="AA352" t="inlineStr"/>
      <c r="AB352" t="inlineStr"/>
      <c r="AC352" t="inlineStr"/>
      <c r="AD352" t="inlineStr">
        <is>
          <t>לא נמצא בסריקת המפיצים</t>
        </is>
      </c>
      <c r="AE352" t="inlineStr">
        <is>
          <t>סריקת אתרי מפיצים</t>
        </is>
      </c>
      <c r="AG352" t="inlineStr"/>
      <c r="AH352" t="inlineStr"/>
      <c r="AJ352" t="inlineStr"/>
      <c r="AP352" t="inlineStr">
        <is>
          <t>https://www.dutscher.com/search?initialFilters=brand:Conda</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Y353" t="inlineStr">
        <is>
          <t>unknown</t>
        </is>
      </c>
      <c r="Z353" t="inlineStr"/>
      <c r="AA353" t="inlineStr"/>
      <c r="AB353" t="inlineStr"/>
      <c r="AC353" t="inlineStr"/>
      <c r="AD353" t="inlineStr">
        <is>
          <t>לא נמצא בסריקת המפיצים</t>
        </is>
      </c>
      <c r="AE353" t="inlineStr">
        <is>
          <t>סריקת אתרי מפיצים</t>
        </is>
      </c>
      <c r="AG353" t="inlineStr"/>
      <c r="AH353" t="inlineStr"/>
      <c r="AJ353" t="inlineStr">
        <is>
          <t>978-682-8482</t>
        </is>
      </c>
      <c r="AN353" t="inlineStr">
        <is>
          <t>https://conlonproducts.net/catalog/</t>
        </is>
      </c>
      <c r="AP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Y354" t="inlineStr">
        <is>
          <t>unknown</t>
        </is>
      </c>
      <c r="Z354" t="inlineStr"/>
      <c r="AA354" t="inlineStr"/>
      <c r="AB354" t="inlineStr"/>
      <c r="AC354" t="inlineStr"/>
      <c r="AD354" t="inlineStr">
        <is>
          <t>לא נמצא בסריקת המפיצים</t>
        </is>
      </c>
      <c r="AE354" t="inlineStr">
        <is>
          <t>סריקת אתרי מפיצים</t>
        </is>
      </c>
      <c r="AG354" t="inlineStr"/>
      <c r="AH354" t="inlineStr"/>
      <c r="AJ354" t="inlineStr"/>
      <c r="AP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Y355" t="inlineStr">
        <is>
          <t>unknown</t>
        </is>
      </c>
      <c r="Z355" t="inlineStr"/>
      <c r="AA355" t="inlineStr"/>
      <c r="AB355" t="inlineStr"/>
      <c r="AC355" t="inlineStr"/>
      <c r="AD355" t="inlineStr">
        <is>
          <t>לא נמצא בסריקת המפיצים</t>
        </is>
      </c>
      <c r="AE355" t="inlineStr">
        <is>
          <t>סריקת אתרי מפיצים</t>
        </is>
      </c>
      <c r="AG355" t="inlineStr"/>
      <c r="AH355" t="inlineStr"/>
      <c r="AJ355" t="inlineStr">
        <is>
          <t>(800) 362-1000</t>
        </is>
      </c>
      <c r="AM355" t="inlineStr">
        <is>
          <t>https://www.consolidatedplastics.com/pages/contact-us</t>
        </is>
      </c>
      <c r="AN355" t="inlineStr">
        <is>
          <t>https://www.consolidatedplastics.com/pages/contact-us</t>
        </is>
      </c>
      <c r="AP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Y356" t="inlineStr">
        <is>
          <t>unknown</t>
        </is>
      </c>
      <c r="Z356" t="inlineStr"/>
      <c r="AA356" t="inlineStr"/>
      <c r="AB356" t="inlineStr"/>
      <c r="AC356" t="inlineStr"/>
      <c r="AD356" t="inlineStr">
        <is>
          <t>לא נמצא בסריקת המפיצים</t>
        </is>
      </c>
      <c r="AE356" t="inlineStr">
        <is>
          <t>סריקת אתרי מפיצים</t>
        </is>
      </c>
      <c r="AG356" t="inlineStr"/>
      <c r="AH356" t="inlineStr"/>
      <c r="AJ356" t="inlineStr"/>
      <c r="AP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Y357" t="inlineStr">
        <is>
          <t>unknown</t>
        </is>
      </c>
      <c r="Z357" t="inlineStr"/>
      <c r="AA357" t="inlineStr"/>
      <c r="AB357" t="inlineStr"/>
      <c r="AC357" t="inlineStr"/>
      <c r="AD357" t="inlineStr">
        <is>
          <t>לא נמצא בסריקת המפיצים</t>
        </is>
      </c>
      <c r="AE357" t="inlineStr">
        <is>
          <t>סריקת אתרי מפיצים</t>
        </is>
      </c>
      <c r="AG357" t="inlineStr"/>
      <c r="AH357" t="inlineStr"/>
      <c r="AJ357" t="inlineStr"/>
      <c r="AP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Y358" t="inlineStr">
        <is>
          <t>unknown</t>
        </is>
      </c>
      <c r="Z358" t="inlineStr"/>
      <c r="AA358" t="inlineStr"/>
      <c r="AB358" t="inlineStr"/>
      <c r="AC358" t="inlineStr"/>
      <c r="AD358" t="inlineStr">
        <is>
          <t>לא נמצא בסריקת המפיצים</t>
        </is>
      </c>
      <c r="AE358" t="inlineStr">
        <is>
          <t>סריקת אתרי מפיצים</t>
        </is>
      </c>
      <c r="AG358" t="inlineStr"/>
      <c r="AH358" t="inlineStr"/>
      <c r="AJ358" t="inlineStr"/>
      <c r="AP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Y359" t="inlineStr">
        <is>
          <t>unknown</t>
        </is>
      </c>
      <c r="Z359" t="inlineStr"/>
      <c r="AA359" t="inlineStr"/>
      <c r="AB359" t="inlineStr"/>
      <c r="AC359" t="inlineStr"/>
      <c r="AD359" t="inlineStr">
        <is>
          <t>לא נמצא בחיפוש ראשוני</t>
        </is>
      </c>
      <c r="AE359" t="inlineStr">
        <is>
          <t>חיפוש חלקי</t>
        </is>
      </c>
      <c r="AG359" t="inlineStr"/>
      <c r="AH359" t="inlineStr"/>
      <c r="AI359" t="inlineStr">
        <is>
          <t>Results cover Copan's global deals (bioMerieux exclusive worldwide for certain swabs, 2007; Beckman Coulter amendment for 21 markets; Thermo Fisher US-only for WASP) and US/AU resellers; no Israeli distributor named.</t>
        </is>
      </c>
      <c r="AJ359" t="inlineStr">
        <is>
          <t>(800) 216 - 4016</t>
        </is>
      </c>
      <c r="AM359" t="inlineStr">
        <is>
          <t>https://www.copanusa.com/about/contact/</t>
        </is>
      </c>
      <c r="AN359" t="inlineStr">
        <is>
          <t>https://www.copanusa.com/about/contact/</t>
        </is>
      </c>
      <c r="AP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Y360" t="inlineStr">
        <is>
          <t>unknown</t>
        </is>
      </c>
      <c r="Z360" t="inlineStr"/>
      <c r="AA360" t="inlineStr"/>
      <c r="AB360" t="inlineStr"/>
      <c r="AC360" t="inlineStr"/>
      <c r="AD360" t="inlineStr">
        <is>
          <t>לא נמצא בסריקת המפיצים</t>
        </is>
      </c>
      <c r="AE360" t="inlineStr">
        <is>
          <t>סריקת אתרי מפיצים</t>
        </is>
      </c>
      <c r="AG360" t="inlineStr"/>
      <c r="AH360" t="inlineStr"/>
      <c r="AJ360" t="inlineStr"/>
      <c r="AP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Y361" t="inlineStr">
        <is>
          <t>unknown</t>
        </is>
      </c>
      <c r="Z361" t="inlineStr"/>
      <c r="AA361" t="inlineStr"/>
      <c r="AB361" t="inlineStr"/>
      <c r="AC361" t="inlineStr"/>
      <c r="AD361" t="inlineStr">
        <is>
          <t>לא נמצא בסריקת המפיצים</t>
        </is>
      </c>
      <c r="AE361" t="inlineStr">
        <is>
          <t>סריקת אתרי מפיצים</t>
        </is>
      </c>
      <c r="AG361" t="inlineStr"/>
      <c r="AH361" t="inlineStr"/>
      <c r="AJ361" t="inlineStr"/>
      <c r="AP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Y362" t="inlineStr">
        <is>
          <t>unknown</t>
        </is>
      </c>
      <c r="Z362" t="inlineStr"/>
      <c r="AA362" t="inlineStr"/>
      <c r="AB362" t="inlineStr"/>
      <c r="AC362" t="inlineStr"/>
      <c r="AD362" t="inlineStr">
        <is>
          <t>לא נמצא בסריקת המפיצים</t>
        </is>
      </c>
      <c r="AE362" t="inlineStr">
        <is>
          <t>סריקת אתרי מפיצים</t>
        </is>
      </c>
      <c r="AG362" t="inlineStr"/>
      <c r="AH362" t="inlineStr"/>
      <c r="AJ362" t="inlineStr"/>
      <c r="AP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P363" t="n">
        <v>67200</v>
      </c>
      <c r="Q363" t="n">
        <v>2025</v>
      </c>
      <c r="R363" t="inlineStr">
        <is>
          <t>parent</t>
        </is>
      </c>
      <c r="S363" t="inlineStr">
        <is>
          <t>prior</t>
        </is>
      </c>
      <c r="T363" t="n">
        <v>972</v>
      </c>
      <c r="U363" t="inlineStr">
        <is>
          <t>USD 972 million</t>
        </is>
      </c>
      <c r="V363" t="inlineStr">
        <is>
          <t>FY2025</t>
        </is>
      </c>
      <c r="W363" t="inlineStr">
        <is>
          <t>segment</t>
        </is>
      </c>
      <c r="X363" t="inlineStr">
        <is>
          <t>prior</t>
        </is>
      </c>
      <c r="Y363" t="inlineStr">
        <is>
          <t>reported</t>
        </is>
      </c>
      <c r="Z363" t="inlineStr">
        <is>
          <t>Falcon</t>
        </is>
      </c>
      <c r="AA363" t="inlineStr">
        <is>
          <t>Corning Matrigel Matrix</t>
        </is>
      </c>
      <c r="AB363" t="inlineStr">
        <is>
          <t>Axygen</t>
        </is>
      </c>
      <c r="AC363" t="inlineStr">
        <is>
          <t>prior</t>
        </is>
      </c>
      <c r="AD363" t="inlineStr">
        <is>
          <t>מפיץ/נציג בישראל</t>
        </is>
      </c>
      <c r="AE363" t="inlineStr">
        <is>
          <t>אומת</t>
        </is>
      </c>
      <c r="AF363" t="n">
        <v>2026</v>
      </c>
      <c r="AG363" t="inlineStr">
        <is>
          <t>Getter Group (Getter Bio-Med)</t>
        </is>
      </c>
      <c r="AH363" t="inlineStr">
        <is>
          <t>Getter Group (Getter Bio-Med): +972 3-576-1555 (Getter Group switchboard)</t>
        </is>
      </c>
      <c r="AI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J363" t="inlineStr">
        <is>
          <t>+1 978-442-2200</t>
        </is>
      </c>
      <c r="AK363" t="inlineStr">
        <is>
          <t>CLSCustServ@corning.com</t>
        </is>
      </c>
      <c r="AL363" t="inlineStr">
        <is>
          <t>One Riverfront Plaza, Corning, NY 14831, USA</t>
        </is>
      </c>
      <c r="AM363" t="inlineStr">
        <is>
          <t>https://www.corning.com/emea/en/products/life-sciences/support-main.html</t>
        </is>
      </c>
      <c r="AN363" t="inlineStr">
        <is>
          <t>https://www.corning.com/emea/en/products/life-sciences/support-main.html</t>
        </is>
      </c>
      <c r="AP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t>
        </is>
      </c>
    </row>
    <row r="364">
      <c r="A364" t="n">
        <v>363</v>
      </c>
      <c r="B364" t="inlineStr">
        <is>
          <t>Covidien</t>
        </is>
      </c>
      <c r="C364" t="inlineStr">
        <is>
          <t>T</t>
        </is>
      </c>
      <c r="E364" t="inlineStr">
        <is>
          <t>https://www.thomassci.com/browse-by/suppliers/covidien</t>
        </is>
      </c>
      <c r="F364" t="inlineStr"/>
      <c r="J364" t="inlineStr"/>
      <c r="Y364" t="inlineStr">
        <is>
          <t>unknown</t>
        </is>
      </c>
      <c r="Z364" t="inlineStr"/>
      <c r="AA364" t="inlineStr"/>
      <c r="AB364" t="inlineStr"/>
      <c r="AC364" t="inlineStr"/>
      <c r="AD364" t="inlineStr">
        <is>
          <t>לא נמצא בסריקת המפיצים</t>
        </is>
      </c>
      <c r="AE364" t="inlineStr">
        <is>
          <t>סריקת אתרי מפיצים</t>
        </is>
      </c>
      <c r="AG364" t="inlineStr"/>
      <c r="AH364" t="inlineStr"/>
      <c r="AJ364" t="inlineStr"/>
      <c r="AP364" t="inlineStr">
        <is>
          <t>https://www.thomassci.com/browse-by/suppliers/covidien</t>
        </is>
      </c>
    </row>
    <row r="365">
      <c r="A365" t="n">
        <v>364</v>
      </c>
      <c r="B365" t="inlineStr">
        <is>
          <t>Cowie</t>
        </is>
      </c>
      <c r="C365" t="inlineStr">
        <is>
          <t>D</t>
        </is>
      </c>
      <c r="D365" t="inlineStr">
        <is>
          <t>https://www.dutscher.com/search?initialFilters=brand:Cowie</t>
        </is>
      </c>
      <c r="F365" t="inlineStr"/>
      <c r="J365" t="inlineStr"/>
      <c r="Y365" t="inlineStr">
        <is>
          <t>unknown</t>
        </is>
      </c>
      <c r="Z365" t="inlineStr"/>
      <c r="AA365" t="inlineStr"/>
      <c r="AB365" t="inlineStr"/>
      <c r="AC365" t="inlineStr"/>
      <c r="AD365" t="inlineStr">
        <is>
          <t>לא נמצא בסריקת המפיצים</t>
        </is>
      </c>
      <c r="AE365" t="inlineStr">
        <is>
          <t>סריקת אתרי מפיצים</t>
        </is>
      </c>
      <c r="AG365" t="inlineStr"/>
      <c r="AH365" t="inlineStr"/>
      <c r="AJ365" t="inlineStr"/>
      <c r="AP365" t="inlineStr">
        <is>
          <t>https://www.dutscher.com/search?initialFilters=brand:Cowie</t>
        </is>
      </c>
    </row>
    <row r="366">
      <c r="A366" t="n">
        <v>365</v>
      </c>
      <c r="B366" t="inlineStr">
        <is>
          <t>CoWin Biosciences</t>
        </is>
      </c>
      <c r="C366" t="inlineStr">
        <is>
          <t>Q</t>
        </is>
      </c>
      <c r="F366" t="inlineStr">
        <is>
          <t>yes</t>
        </is>
      </c>
      <c r="J366" t="inlineStr"/>
      <c r="Y366" t="inlineStr">
        <is>
          <t>unknown</t>
        </is>
      </c>
      <c r="Z366" t="inlineStr"/>
      <c r="AA366" t="inlineStr"/>
      <c r="AB366" t="inlineStr"/>
      <c r="AC366" t="inlineStr"/>
      <c r="AD366" t="inlineStr">
        <is>
          <t>לא נמצא בסריקת המפיצים</t>
        </is>
      </c>
      <c r="AE366" t="inlineStr">
        <is>
          <t>סריקת אתרי מפיצים</t>
        </is>
      </c>
      <c r="AG366" t="inlineStr"/>
      <c r="AH366" t="inlineStr"/>
      <c r="AJ366" t="inlineStr"/>
      <c r="AP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Y367" t="inlineStr">
        <is>
          <t>unknown</t>
        </is>
      </c>
      <c r="Z367" t="inlineStr"/>
      <c r="AA367" t="inlineStr"/>
      <c r="AB367" t="inlineStr"/>
      <c r="AC367" t="inlineStr"/>
      <c r="AD367" t="inlineStr">
        <is>
          <t>לא נמצא בסריקת המפיצים</t>
        </is>
      </c>
      <c r="AE367" t="inlineStr">
        <is>
          <t>סריקת אתרי מפיצים</t>
        </is>
      </c>
      <c r="AG367" t="inlineStr"/>
      <c r="AH367" t="inlineStr"/>
      <c r="AJ367" t="inlineStr">
        <is>
          <t>(888) 322-5722</t>
        </is>
      </c>
      <c r="AM367" t="inlineStr">
        <is>
          <t>https://www.cplabsafety.com/contact-us/</t>
        </is>
      </c>
      <c r="AN367" t="inlineStr">
        <is>
          <t>https://www.cplabsafety.com/contact-us/</t>
        </is>
      </c>
      <c r="AP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clearbit_verified</t>
        </is>
      </c>
      <c r="J368" t="inlineStr"/>
      <c r="Y368" t="inlineStr">
        <is>
          <t>unknown</t>
        </is>
      </c>
      <c r="Z368" t="inlineStr"/>
      <c r="AA368" t="inlineStr"/>
      <c r="AB368" t="inlineStr"/>
      <c r="AC368" t="inlineStr"/>
      <c r="AD368" t="inlineStr">
        <is>
          <t>לא נמצא בסריקת המפיצים</t>
        </is>
      </c>
      <c r="AE368" t="inlineStr">
        <is>
          <t>סריקת אתרי מפיצים</t>
        </is>
      </c>
      <c r="AG368" t="inlineStr"/>
      <c r="AH368" t="inlineStr"/>
      <c r="AJ368" t="inlineStr">
        <is>
          <t>+1-518-500-4709</t>
        </is>
      </c>
      <c r="AK368" t="inlineStr">
        <is>
          <t>info@cpsserum.com</t>
        </is>
      </c>
      <c r="AM368" t="inlineStr">
        <is>
          <t>https://www.cpsserum.com/contact</t>
        </is>
      </c>
      <c r="AN368" t="inlineStr">
        <is>
          <t>https://www.cpsserum.com/contact</t>
        </is>
      </c>
      <c r="AP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Y369" t="inlineStr">
        <is>
          <t>unknown</t>
        </is>
      </c>
      <c r="Z369" t="inlineStr"/>
      <c r="AA369" t="inlineStr"/>
      <c r="AB369" t="inlineStr"/>
      <c r="AC369" t="inlineStr"/>
      <c r="AD369" t="inlineStr">
        <is>
          <t>לא נמצא בסריקת המפיצים</t>
        </is>
      </c>
      <c r="AE369" t="inlineStr">
        <is>
          <t>סריקת אתרי מפיצים</t>
        </is>
      </c>
      <c r="AG369" t="inlineStr"/>
      <c r="AH369" t="inlineStr"/>
      <c r="AJ369" t="inlineStr"/>
      <c r="AP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Y370" t="inlineStr">
        <is>
          <t>unknown</t>
        </is>
      </c>
      <c r="Z370" t="inlineStr"/>
      <c r="AA370" t="inlineStr"/>
      <c r="AB370" t="inlineStr"/>
      <c r="AC370" t="inlineStr"/>
      <c r="AD370" t="inlineStr">
        <is>
          <t>לא נמצא בסריקת המפיצים</t>
        </is>
      </c>
      <c r="AE370" t="inlineStr">
        <is>
          <t>סריקת אתרי מפיצים</t>
        </is>
      </c>
      <c r="AG370" t="inlineStr"/>
      <c r="AH370" t="inlineStr"/>
      <c r="AJ370" t="inlineStr"/>
      <c r="AP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Y371" t="inlineStr">
        <is>
          <t>unknown</t>
        </is>
      </c>
      <c r="Z371" t="inlineStr"/>
      <c r="AA371" t="inlineStr"/>
      <c r="AB371" t="inlineStr"/>
      <c r="AC371" t="inlineStr"/>
      <c r="AD371" t="inlineStr">
        <is>
          <t>לא נמצא בסריקת המפיצים</t>
        </is>
      </c>
      <c r="AE371" t="inlineStr">
        <is>
          <t>סריקת אתרי מפיצים</t>
        </is>
      </c>
      <c r="AG371" t="inlineStr"/>
      <c r="AH371" t="inlineStr"/>
      <c r="AJ371" t="inlineStr"/>
      <c r="AP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Y372" t="inlineStr">
        <is>
          <t>unknown</t>
        </is>
      </c>
      <c r="Z372" t="inlineStr"/>
      <c r="AA372" t="inlineStr"/>
      <c r="AB372" t="inlineStr"/>
      <c r="AC372" t="inlineStr"/>
      <c r="AD372" t="inlineStr">
        <is>
          <t>לא נמצא בסריקת המפיצים</t>
        </is>
      </c>
      <c r="AE372" t="inlineStr">
        <is>
          <t>סריקת אתרי מפיצים</t>
        </is>
      </c>
      <c r="AG372" t="inlineStr"/>
      <c r="AH372" t="inlineStr"/>
      <c r="AJ372" t="inlineStr">
        <is>
          <t>+923236115100</t>
        </is>
      </c>
      <c r="AK372" t="inlineStr">
        <is>
          <t>info@crosstex.com.pk</t>
        </is>
      </c>
      <c r="AM372" t="inlineStr">
        <is>
          <t>https://crosstex.com.pk/contact/</t>
        </is>
      </c>
      <c r="AN372" t="inlineStr">
        <is>
          <t>https://crosstex.com.pk/contact/</t>
        </is>
      </c>
      <c r="AP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Y373" t="inlineStr">
        <is>
          <t>unknown</t>
        </is>
      </c>
      <c r="Z373" t="inlineStr"/>
      <c r="AA373" t="inlineStr"/>
      <c r="AB373" t="inlineStr"/>
      <c r="AC373" t="inlineStr"/>
      <c r="AD373" t="inlineStr">
        <is>
          <t>לא נמצא בסריקת המפיצים</t>
        </is>
      </c>
      <c r="AE373" t="inlineStr">
        <is>
          <t>סריקת אתרי מפיצים</t>
        </is>
      </c>
      <c r="AG373" t="inlineStr"/>
      <c r="AH373" t="inlineStr"/>
      <c r="AJ373" t="inlineStr"/>
      <c r="AP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Y374" t="inlineStr">
        <is>
          <t>unknown</t>
        </is>
      </c>
      <c r="Z374" t="inlineStr"/>
      <c r="AA374" t="inlineStr"/>
      <c r="AB374" t="inlineStr"/>
      <c r="AC374" t="inlineStr"/>
      <c r="AD374" t="inlineStr">
        <is>
          <t>לא נמצא בסריקת המפיצים</t>
        </is>
      </c>
      <c r="AE374" t="inlineStr">
        <is>
          <t>סריקת אתרי מפיצים</t>
        </is>
      </c>
      <c r="AG374" t="inlineStr"/>
      <c r="AH374" t="inlineStr"/>
      <c r="AJ374" t="inlineStr"/>
      <c r="AP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Y375" t="inlineStr">
        <is>
          <t>unknown</t>
        </is>
      </c>
      <c r="Z375" t="inlineStr"/>
      <c r="AA375" t="inlineStr"/>
      <c r="AB375" t="inlineStr"/>
      <c r="AC375" t="inlineStr"/>
      <c r="AD375" t="inlineStr">
        <is>
          <t>לא נמצא בסריקת המפיצים</t>
        </is>
      </c>
      <c r="AE375" t="inlineStr">
        <is>
          <t>סריקת אתרי מפיצים</t>
        </is>
      </c>
      <c r="AG375" t="inlineStr"/>
      <c r="AH375" t="inlineStr"/>
      <c r="AJ375" t="inlineStr"/>
      <c r="AN375" t="inlineStr">
        <is>
          <t>https://cryopal.com/fr/accueil</t>
        </is>
      </c>
      <c r="AP375" t="inlineStr">
        <is>
          <t>https://www.dutscher.com/search?initialFilters=brand:Cryopal | https://cryopal.com/fr/accueil</t>
        </is>
      </c>
    </row>
    <row r="376">
      <c r="A376" t="n">
        <v>375</v>
      </c>
      <c r="B376" t="inlineStr">
        <is>
          <t>Cryoveritas</t>
        </is>
      </c>
      <c r="C376" t="inlineStr">
        <is>
          <t>T</t>
        </is>
      </c>
      <c r="E376" t="inlineStr">
        <is>
          <t>https://www.thomassci.com/browse-by/suppliers/cryoveritas</t>
        </is>
      </c>
      <c r="F376" t="inlineStr"/>
      <c r="J376" t="inlineStr"/>
      <c r="Y376" t="inlineStr">
        <is>
          <t>unknown</t>
        </is>
      </c>
      <c r="Z376" t="inlineStr"/>
      <c r="AA376" t="inlineStr"/>
      <c r="AB376" t="inlineStr"/>
      <c r="AC376" t="inlineStr"/>
      <c r="AD376" t="inlineStr">
        <is>
          <t>לא נמצא בסריקת המפיצים</t>
        </is>
      </c>
      <c r="AE376" t="inlineStr">
        <is>
          <t>סריקת אתרי מפיצים</t>
        </is>
      </c>
      <c r="AG376" t="inlineStr"/>
      <c r="AH376" t="inlineStr"/>
      <c r="AJ376" t="inlineStr"/>
      <c r="AP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Y377" t="inlineStr">
        <is>
          <t>unknown</t>
        </is>
      </c>
      <c r="Z377" t="inlineStr"/>
      <c r="AA377" t="inlineStr"/>
      <c r="AB377" t="inlineStr"/>
      <c r="AC377" t="inlineStr"/>
      <c r="AD377" t="inlineStr">
        <is>
          <t>לא נמצא בסריקת המפיצים</t>
        </is>
      </c>
      <c r="AE377" t="inlineStr">
        <is>
          <t>סריקת אתרי מפיצים</t>
        </is>
      </c>
      <c r="AG377" t="inlineStr"/>
      <c r="AH377" t="inlineStr"/>
      <c r="AJ377" t="inlineStr"/>
      <c r="AK377" t="inlineStr">
        <is>
          <t>sales@crystalchem.com</t>
        </is>
      </c>
      <c r="AM377" t="inlineStr">
        <is>
          <t>https://www.crystalchem.com/inquiries.html</t>
        </is>
      </c>
      <c r="AN377" t="inlineStr">
        <is>
          <t>https://www.crystalchem.com/inquiries.html</t>
        </is>
      </c>
      <c r="AP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Y378" t="inlineStr">
        <is>
          <t>unknown</t>
        </is>
      </c>
      <c r="Z378" t="inlineStr"/>
      <c r="AA378" t="inlineStr"/>
      <c r="AB378" t="inlineStr"/>
      <c r="AC378" t="inlineStr"/>
      <c r="AD378" t="inlineStr">
        <is>
          <t>לא נמצא בחיפוש ראשוני</t>
        </is>
      </c>
      <c r="AE378" t="inlineStr">
        <is>
          <t>חיפוש חלקי</t>
        </is>
      </c>
      <c r="AG378" t="inlineStr"/>
      <c r="AH378" t="inlineStr"/>
      <c r="AI378" t="inlineStr">
        <is>
          <t>No result connected Crystal Technologies (lab supplier) to an Israeli channel; only generic Israeli lab distributors (Rhenium, Agentek, Enco, S.L. Moran, Ornat) and an unrelated press release about A-Crystal Electronic Technology/Paradox Israel.</t>
        </is>
      </c>
      <c r="AJ378" t="inlineStr"/>
      <c r="AN378" t="inlineStr">
        <is>
          <t>https://www.crystaltech.com/</t>
        </is>
      </c>
      <c r="AP378" t="inlineStr">
        <is>
          <t>https://www.quartzy.com/suppliers | https://www.thomassci.com/browse-by/suppliers/crystal-technologies | https://www.crystaltech.com/</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Y379" t="inlineStr">
        <is>
          <t>unknown</t>
        </is>
      </c>
      <c r="Z379" t="inlineStr"/>
      <c r="AA379" t="inlineStr"/>
      <c r="AB379" t="inlineStr"/>
      <c r="AC379" t="inlineStr"/>
      <c r="AD379" t="inlineStr">
        <is>
          <t>לא נמצא בחיפוש ראשוני</t>
        </is>
      </c>
      <c r="AE379" t="inlineStr">
        <is>
          <t>חיפוש חלקי</t>
        </is>
      </c>
      <c r="AG379" t="inlineStr"/>
      <c r="AH379" t="inlineStr"/>
      <c r="AI379" t="inlineStr">
        <is>
          <t>Only a GlobalData profile of Crystalgen (Commack, NY); Israeli distributors in results (Enco, Agentek) not linked to Crystalgen.</t>
        </is>
      </c>
      <c r="AJ379" t="inlineStr">
        <is>
          <t>(888) 510-1782</t>
        </is>
      </c>
      <c r="AK379" t="inlineStr">
        <is>
          <t>sales@crystalgen.com</t>
        </is>
      </c>
      <c r="AM379" t="inlineStr">
        <is>
          <t>https://crystalgen.com/contact</t>
        </is>
      </c>
      <c r="AN379" t="inlineStr">
        <is>
          <t>https://crystalgen.com/contact</t>
        </is>
      </c>
      <c r="AP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Y380" t="inlineStr">
        <is>
          <t>unknown</t>
        </is>
      </c>
      <c r="Z380" t="inlineStr"/>
      <c r="AA380" t="inlineStr"/>
      <c r="AB380" t="inlineStr"/>
      <c r="AC380" t="inlineStr"/>
      <c r="AD380" t="inlineStr">
        <is>
          <t>לא נמצא בסריקת המפיצים</t>
        </is>
      </c>
      <c r="AE380" t="inlineStr">
        <is>
          <t>סריקת אתרי מפיצים</t>
        </is>
      </c>
      <c r="AG380" t="inlineStr"/>
      <c r="AH380" t="inlineStr"/>
      <c r="AJ380" t="inlineStr"/>
      <c r="AP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Y381" t="inlineStr">
        <is>
          <t>unknown</t>
        </is>
      </c>
      <c r="Z381" t="inlineStr"/>
      <c r="AA381" t="inlineStr"/>
      <c r="AB381" t="inlineStr"/>
      <c r="AC381" t="inlineStr"/>
      <c r="AD381" t="inlineStr">
        <is>
          <t>לא נמצא בסריקת המפיצים</t>
        </is>
      </c>
      <c r="AE381" t="inlineStr">
        <is>
          <t>סריקת אתרי מפיצים</t>
        </is>
      </c>
      <c r="AG381" t="inlineStr"/>
      <c r="AH381" t="inlineStr"/>
      <c r="AJ381" t="inlineStr">
        <is>
          <t>800.755.7575</t>
        </is>
      </c>
      <c r="AK381" t="inlineStr">
        <is>
          <t>sales@ctint.org</t>
        </is>
      </c>
      <c r="AM381" t="inlineStr">
        <is>
          <t>https://ctint.org/contact/</t>
        </is>
      </c>
      <c r="AN381" t="inlineStr">
        <is>
          <t>https://ctint.org/contact/</t>
        </is>
      </c>
      <c r="AP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Y382" t="inlineStr">
        <is>
          <t>unknown</t>
        </is>
      </c>
      <c r="Z382" t="inlineStr"/>
      <c r="AA382" t="inlineStr"/>
      <c r="AB382" t="inlineStr"/>
      <c r="AC382" t="inlineStr"/>
      <c r="AD382" t="inlineStr">
        <is>
          <t>לא נמצא בסריקת המפיצים</t>
        </is>
      </c>
      <c r="AE382" t="inlineStr">
        <is>
          <t>סריקת אתרי מפיצים</t>
        </is>
      </c>
      <c r="AG382" t="inlineStr"/>
      <c r="AH382" t="inlineStr"/>
      <c r="AJ382" t="inlineStr">
        <is>
          <t>+1 (215) 391 0300</t>
        </is>
      </c>
      <c r="AK382" t="inlineStr">
        <is>
          <t>office@ctibiotech.com</t>
        </is>
      </c>
      <c r="AM382" t="inlineStr">
        <is>
          <t>https://ctibiotech.com/contact</t>
        </is>
      </c>
      <c r="AN382" t="inlineStr">
        <is>
          <t>https://ctibiotech.com/contact</t>
        </is>
      </c>
      <c r="AP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Y383" t="inlineStr">
        <is>
          <t>unknown</t>
        </is>
      </c>
      <c r="Z383" t="inlineStr"/>
      <c r="AA383" t="inlineStr"/>
      <c r="AB383" t="inlineStr"/>
      <c r="AC383" t="inlineStr"/>
      <c r="AD383" t="inlineStr">
        <is>
          <t>לא נמצא בסריקת המפיצים</t>
        </is>
      </c>
      <c r="AE383" t="inlineStr">
        <is>
          <t>סריקת אתרי מפיצים</t>
        </is>
      </c>
      <c r="AG383" t="inlineStr"/>
      <c r="AH383" t="inlineStr"/>
      <c r="AJ383" t="inlineStr"/>
      <c r="AP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Y384" t="inlineStr">
        <is>
          <t>unknown</t>
        </is>
      </c>
      <c r="Z384" t="inlineStr"/>
      <c r="AA384" t="inlineStr"/>
      <c r="AB384" t="inlineStr"/>
      <c r="AC384" t="inlineStr"/>
      <c r="AD384" t="inlineStr">
        <is>
          <t>מפיץ/נציג בישראל</t>
        </is>
      </c>
      <c r="AE384" t="inlineStr">
        <is>
          <t>סריקת אתרי מפיצים</t>
        </is>
      </c>
      <c r="AF384" t="n">
        <v>2026</v>
      </c>
      <c r="AG384" t="inlineStr">
        <is>
          <t>Tivan Biotech</t>
        </is>
      </c>
      <c r="AH384" t="inlineStr">
        <is>
          <t>Tivan Biotech: 077-4701591 customerservice@tivanbiotech.com</t>
        </is>
      </c>
      <c r="AJ384" t="inlineStr">
        <is>
          <t>06108-3666</t>
        </is>
      </c>
      <c r="AK384" t="inlineStr">
        <is>
          <t>info@cube-biotech.com</t>
        </is>
      </c>
      <c r="AM384" t="inlineStr">
        <is>
          <t>https://cube-biotech.com/contact/</t>
        </is>
      </c>
      <c r="AN384" t="inlineStr">
        <is>
          <t>https://cube-biotech.com/contact/</t>
        </is>
      </c>
      <c r="AP384" t="inlineStr">
        <is>
          <t>https://www.quartzy.com/suppliers | https://tivanbiotech.com/manufacturers | https://cube-biotech.com/contact/</t>
        </is>
      </c>
    </row>
    <row r="385">
      <c r="A385" t="n">
        <v>384</v>
      </c>
      <c r="B385" t="inlineStr">
        <is>
          <t>Curiosis Inc.</t>
        </is>
      </c>
      <c r="C385" t="inlineStr">
        <is>
          <t>T</t>
        </is>
      </c>
      <c r="E385" t="inlineStr">
        <is>
          <t>https://www.thomassci.com/browse-by/suppliers/curiosis-inc-</t>
        </is>
      </c>
      <c r="F385" t="inlineStr"/>
      <c r="J385" t="inlineStr"/>
      <c r="Y385" t="inlineStr">
        <is>
          <t>unknown</t>
        </is>
      </c>
      <c r="Z385" t="inlineStr"/>
      <c r="AA385" t="inlineStr"/>
      <c r="AB385" t="inlineStr"/>
      <c r="AC385" t="inlineStr"/>
      <c r="AD385" t="inlineStr">
        <is>
          <t>לא נמצא בסריקת המפיצים</t>
        </is>
      </c>
      <c r="AE385" t="inlineStr">
        <is>
          <t>סריקת אתרי מפיצים</t>
        </is>
      </c>
      <c r="AG385" t="inlineStr"/>
      <c r="AH385" t="inlineStr"/>
      <c r="AJ385" t="inlineStr"/>
      <c r="AP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Y386" t="inlineStr">
        <is>
          <t>unknown</t>
        </is>
      </c>
      <c r="Z386" t="inlineStr"/>
      <c r="AA386" t="inlineStr"/>
      <c r="AB386" t="inlineStr"/>
      <c r="AC386" t="inlineStr"/>
      <c r="AD386" t="inlineStr">
        <is>
          <t>לא נמצא בסריקת המפיצים</t>
        </is>
      </c>
      <c r="AE386" t="inlineStr">
        <is>
          <t>סריקת אתרי מפיצים</t>
        </is>
      </c>
      <c r="AG386" t="inlineStr"/>
      <c r="AH386" t="inlineStr"/>
      <c r="AJ386" t="inlineStr"/>
      <c r="AP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Y387" t="inlineStr">
        <is>
          <t>unknown</t>
        </is>
      </c>
      <c r="Z387" t="inlineStr"/>
      <c r="AA387" t="inlineStr"/>
      <c r="AB387" t="inlineStr"/>
      <c r="AC387" t="inlineStr"/>
      <c r="AD387" t="inlineStr">
        <is>
          <t>לא נמצא בסריקת המפיצים</t>
        </is>
      </c>
      <c r="AE387" t="inlineStr">
        <is>
          <t>סריקת אתרי מפיצים</t>
        </is>
      </c>
      <c r="AG387" t="inlineStr"/>
      <c r="AH387" t="inlineStr"/>
      <c r="AJ387" t="inlineStr">
        <is>
          <t>+442035144624</t>
        </is>
      </c>
      <c r="AN387" t="inlineStr">
        <is>
          <t>https://www.curtec.com/</t>
        </is>
      </c>
      <c r="AP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Y388" t="inlineStr">
        <is>
          <t>unknown</t>
        </is>
      </c>
      <c r="Z388" t="inlineStr"/>
      <c r="AA388" t="inlineStr"/>
      <c r="AB388" t="inlineStr"/>
      <c r="AC388" t="inlineStr"/>
      <c r="AD388" t="inlineStr">
        <is>
          <t>לא נמצא בסריקת המפיצים</t>
        </is>
      </c>
      <c r="AE388" t="inlineStr">
        <is>
          <t>סריקת אתרי מפיצים</t>
        </is>
      </c>
      <c r="AG388" t="inlineStr"/>
      <c r="AH388" t="inlineStr"/>
      <c r="AJ388" t="inlineStr">
        <is>
          <t>+1.586.331.2600</t>
        </is>
      </c>
      <c r="AM388" t="inlineStr">
        <is>
          <t>https://custombiogenics.com/contact/</t>
        </is>
      </c>
      <c r="AN388" t="inlineStr">
        <is>
          <t>https://custombiogenics.com/contact/</t>
        </is>
      </c>
      <c r="AP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P389" t="n">
        <v>16000</v>
      </c>
      <c r="Q389" t="n">
        <v>2025</v>
      </c>
      <c r="R389" t="inlineStr">
        <is>
          <t>estimate</t>
        </is>
      </c>
      <c r="S389" t="inlineStr">
        <is>
          <t>prior</t>
        </is>
      </c>
      <c r="T389" t="n">
        <v>7300</v>
      </c>
      <c r="U389" t="inlineStr">
        <is>
          <t>USD 7.3 billion (Danaher Biotechnology segment)</t>
        </is>
      </c>
      <c r="V389" t="inlineStr">
        <is>
          <t>FY2025</t>
        </is>
      </c>
      <c r="W389" t="inlineStr">
        <is>
          <t>segment</t>
        </is>
      </c>
      <c r="X389" t="inlineStr">
        <is>
          <t>prior</t>
        </is>
      </c>
      <c r="Y389" t="inlineStr">
        <is>
          <t>mixed</t>
        </is>
      </c>
      <c r="Z389" t="inlineStr">
        <is>
          <t>AKTA</t>
        </is>
      </c>
      <c r="AA389" t="inlineStr">
        <is>
          <t>MabSelect / Capto resins</t>
        </is>
      </c>
      <c r="AB389" t="inlineStr">
        <is>
          <t>Biacore</t>
        </is>
      </c>
      <c r="AC389" t="inlineStr">
        <is>
          <t>prior</t>
        </is>
      </c>
      <c r="AD389" t="inlineStr">
        <is>
          <t>מפיץ/נציג בישראל</t>
        </is>
      </c>
      <c r="AE389" t="inlineStr">
        <is>
          <t>אומת</t>
        </is>
      </c>
      <c r="AF389" t="n">
        <v>2026</v>
      </c>
      <c r="AG389" t="inlineStr">
        <is>
          <t>Danyel Biotech; Lifegene Ltd.</t>
        </is>
      </c>
      <c r="AH389" t="inlineStr">
        <is>
          <t>Danyel Biotech: 1-800-711-911 (also +972 8-936-6066); Lifegene Ltd.: +972 8-644-4314 info@lifegene.co.il</t>
        </is>
      </c>
      <c r="AI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J389" t="inlineStr">
        <is>
          <t>+1 800-526-3593</t>
        </is>
      </c>
      <c r="AL389" t="inlineStr">
        <is>
          <t>100 Results Way, Marlborough, MA, USA</t>
        </is>
      </c>
      <c r="AN389" t="inlineStr">
        <is>
          <t>https://www.gulfcoastconference.com/exhibitorDetails.php?eid=3143</t>
        </is>
      </c>
      <c r="AP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https://www.cytivalifesciences.com/en/us/</t>
        </is>
      </c>
    </row>
    <row r="390">
      <c r="A390" t="n">
        <v>389</v>
      </c>
      <c r="B390" t="inlineStr">
        <is>
          <t>D&amp;N</t>
        </is>
      </c>
      <c r="C390" t="inlineStr">
        <is>
          <t>D</t>
        </is>
      </c>
      <c r="D390" t="inlineStr">
        <is>
          <t>https://www.dutscher.com/search?initialFilters=brand:D%26N</t>
        </is>
      </c>
      <c r="F390" t="inlineStr"/>
      <c r="J390" t="inlineStr"/>
      <c r="Y390" t="inlineStr">
        <is>
          <t>unknown</t>
        </is>
      </c>
      <c r="Z390" t="inlineStr"/>
      <c r="AA390" t="inlineStr"/>
      <c r="AB390" t="inlineStr"/>
      <c r="AC390" t="inlineStr"/>
      <c r="AD390" t="inlineStr">
        <is>
          <t>לא נמצא בסריקת המפיצים</t>
        </is>
      </c>
      <c r="AE390" t="inlineStr">
        <is>
          <t>סריקת אתרי מפיצים</t>
        </is>
      </c>
      <c r="AG390" t="inlineStr"/>
      <c r="AH390" t="inlineStr"/>
      <c r="AJ390" t="inlineStr"/>
      <c r="AP390" t="inlineStr">
        <is>
          <t>https://www.dutscher.com/search?initialFilters=brand:D%26N</t>
        </is>
      </c>
    </row>
    <row r="391">
      <c r="A391" t="n">
        <v>390</v>
      </c>
      <c r="B391" t="inlineStr">
        <is>
          <t>Daicel Arbor Biosciences</t>
        </is>
      </c>
      <c r="C391" t="inlineStr">
        <is>
          <t>Q</t>
        </is>
      </c>
      <c r="F391" t="inlineStr">
        <is>
          <t>yes</t>
        </is>
      </c>
      <c r="J391" t="inlineStr"/>
      <c r="Y391" t="inlineStr">
        <is>
          <t>unknown</t>
        </is>
      </c>
      <c r="Z391" t="inlineStr"/>
      <c r="AA391" t="inlineStr"/>
      <c r="AB391" t="inlineStr"/>
      <c r="AC391" t="inlineStr"/>
      <c r="AD391" t="inlineStr">
        <is>
          <t>לא נמצא בסריקת המפיצים</t>
        </is>
      </c>
      <c r="AE391" t="inlineStr">
        <is>
          <t>סריקת אתרי מפיצים</t>
        </is>
      </c>
      <c r="AG391" t="inlineStr"/>
      <c r="AH391" t="inlineStr"/>
      <c r="AJ391" t="inlineStr"/>
      <c r="AP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Y392" t="inlineStr">
        <is>
          <t>unknown</t>
        </is>
      </c>
      <c r="Z392" t="inlineStr"/>
      <c r="AA392" t="inlineStr"/>
      <c r="AB392" t="inlineStr"/>
      <c r="AC392" t="inlineStr"/>
      <c r="AD392" t="inlineStr">
        <is>
          <t>לא נמצא בסריקת המפיצים</t>
        </is>
      </c>
      <c r="AE392" t="inlineStr">
        <is>
          <t>סריקת אתרי מפיצים</t>
        </is>
      </c>
      <c r="AG392" t="inlineStr"/>
      <c r="AH392" t="inlineStr"/>
      <c r="AJ392" t="inlineStr"/>
      <c r="AP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Y393" t="inlineStr">
        <is>
          <t>unknown</t>
        </is>
      </c>
      <c r="Z393" t="inlineStr"/>
      <c r="AA393" t="inlineStr"/>
      <c r="AB393" t="inlineStr"/>
      <c r="AC393" t="inlineStr"/>
      <c r="AD393" t="inlineStr">
        <is>
          <t>לא נמצא בחיפוש ראשוני</t>
        </is>
      </c>
      <c r="AE393" t="inlineStr">
        <is>
          <t>חיפוש חלקי</t>
        </is>
      </c>
      <c r="AG393" t="inlineStr"/>
      <c r="AH393" t="inlineStr"/>
      <c r="AI393" t="inlineStr">
        <is>
          <t>Results describe Decon Labs (US cleaning/disinfection products, 'one of North America's leading suppliers'); Israeli distributor pages (Enco, Agentek, Rhenium) do not mention Decon.</t>
        </is>
      </c>
      <c r="AJ393" t="inlineStr">
        <is>
          <t>(800) 332-6647</t>
        </is>
      </c>
      <c r="AM393" t="inlineStr">
        <is>
          <t>https://deconlabs.com/contact/</t>
        </is>
      </c>
      <c r="AN393" t="inlineStr">
        <is>
          <t>https://deconlabs.com/contact/</t>
        </is>
      </c>
      <c r="AP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Y394" t="inlineStr">
        <is>
          <t>unknown</t>
        </is>
      </c>
      <c r="Z394" t="inlineStr"/>
      <c r="AA394" t="inlineStr"/>
      <c r="AB394" t="inlineStr"/>
      <c r="AC394" t="inlineStr"/>
      <c r="AD394" t="inlineStr">
        <is>
          <t>לא נמצא בסריקת המפיצים</t>
        </is>
      </c>
      <c r="AE394" t="inlineStr">
        <is>
          <t>סריקת אתרי מפיצים</t>
        </is>
      </c>
      <c r="AG394" t="inlineStr"/>
      <c r="AH394" t="inlineStr"/>
      <c r="AJ394" t="inlineStr"/>
      <c r="AN394" t="inlineStr">
        <is>
          <t>https://decongel.com/</t>
        </is>
      </c>
      <c r="AP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Y395" t="inlineStr">
        <is>
          <t>unknown</t>
        </is>
      </c>
      <c r="Z395" t="inlineStr"/>
      <c r="AA395" t="inlineStr"/>
      <c r="AB395" t="inlineStr"/>
      <c r="AC395" t="inlineStr"/>
      <c r="AD395" t="inlineStr">
        <is>
          <t>לא נמצא בסריקת המפיצים</t>
        </is>
      </c>
      <c r="AE395" t="inlineStr">
        <is>
          <t>סריקת אתרי מפיצים</t>
        </is>
      </c>
      <c r="AG395" t="inlineStr"/>
      <c r="AH395" t="inlineStr"/>
      <c r="AJ395" t="inlineStr">
        <is>
          <t>+18004483835</t>
        </is>
      </c>
      <c r="AN395" t="inlineStr">
        <is>
          <t>https://www.defelsko.com/</t>
        </is>
      </c>
      <c r="AP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clearbit_verified</t>
        </is>
      </c>
      <c r="J396" t="inlineStr"/>
      <c r="Y396" t="inlineStr">
        <is>
          <t>unknown</t>
        </is>
      </c>
      <c r="Z396" t="inlineStr"/>
      <c r="AA396" t="inlineStr"/>
      <c r="AB396" t="inlineStr"/>
      <c r="AC396" t="inlineStr"/>
      <c r="AD396" t="inlineStr">
        <is>
          <t>לא נמצא בסריקת המפיצים</t>
        </is>
      </c>
      <c r="AE396" t="inlineStr">
        <is>
          <t>סריקת אתרי מפיצים</t>
        </is>
      </c>
      <c r="AG396" t="inlineStr"/>
      <c r="AH396" t="inlineStr"/>
      <c r="AJ396" t="inlineStr">
        <is>
          <t>1-929-333-4633</t>
        </is>
      </c>
      <c r="AK396" t="inlineStr">
        <is>
          <t>info@definedbioscience.com</t>
        </is>
      </c>
      <c r="AM396" t="inlineStr">
        <is>
          <t>https://definedbioscience.com/pages/contact</t>
        </is>
      </c>
      <c r="AN396" t="inlineStr">
        <is>
          <t>https://definedbioscience.com/pages/contact</t>
        </is>
      </c>
      <c r="AP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Y397" t="inlineStr">
        <is>
          <t>unknown</t>
        </is>
      </c>
      <c r="Z397" t="inlineStr"/>
      <c r="AA397" t="inlineStr"/>
      <c r="AB397" t="inlineStr"/>
      <c r="AC397" t="inlineStr"/>
      <c r="AD397" t="inlineStr">
        <is>
          <t>לא נמצא בסריקת המפיצים</t>
        </is>
      </c>
      <c r="AE397" t="inlineStr">
        <is>
          <t>סריקת אתרי מפיצים</t>
        </is>
      </c>
      <c r="AG397" t="inlineStr"/>
      <c r="AH397" t="inlineStr"/>
      <c r="AJ397" t="inlineStr"/>
      <c r="AK397" t="inlineStr">
        <is>
          <t>info@denominator.com</t>
        </is>
      </c>
      <c r="AM397" t="inlineStr">
        <is>
          <t>https://www.denominator.com/contact?source=main-page</t>
        </is>
      </c>
      <c r="AN397" t="inlineStr">
        <is>
          <t>https://www.denominator.com/contact?source=main-page</t>
        </is>
      </c>
      <c r="AP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Y398" t="inlineStr">
        <is>
          <t>unknown</t>
        </is>
      </c>
      <c r="Z398" t="inlineStr"/>
      <c r="AA398" t="inlineStr"/>
      <c r="AB398" t="inlineStr"/>
      <c r="AC398" t="inlineStr"/>
      <c r="AD398" t="inlineStr">
        <is>
          <t>לא נמצא בסריקת המפיצים</t>
        </is>
      </c>
      <c r="AE398" t="inlineStr">
        <is>
          <t>סריקת אתרי מפיצים</t>
        </is>
      </c>
      <c r="AG398" t="inlineStr"/>
      <c r="AH398" t="inlineStr"/>
      <c r="AJ398" t="inlineStr"/>
      <c r="AP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c r="Y399" t="inlineStr">
        <is>
          <t>unknown</t>
        </is>
      </c>
      <c r="Z399" t="inlineStr"/>
      <c r="AA399" t="inlineStr"/>
      <c r="AB399" t="inlineStr"/>
      <c r="AC399" t="inlineStr"/>
      <c r="AD399" t="inlineStr">
        <is>
          <t>לא נמצא בסריקת המפיצים</t>
        </is>
      </c>
      <c r="AE399" t="inlineStr">
        <is>
          <t>סריקת אתרי מפיצים</t>
        </is>
      </c>
      <c r="AG399" t="inlineStr"/>
      <c r="AH399" t="inlineStr"/>
      <c r="AJ399" t="inlineStr"/>
      <c r="AP399" t="inlineStr">
        <is>
          <t>https://www.thomassci.com/browse-by/suppliers/desco</t>
        </is>
      </c>
    </row>
    <row r="400">
      <c r="A400" t="n">
        <v>399</v>
      </c>
      <c r="B400" t="inlineStr">
        <is>
          <t>Diba</t>
        </is>
      </c>
      <c r="C400" t="inlineStr">
        <is>
          <t>T</t>
        </is>
      </c>
      <c r="E400" t="inlineStr">
        <is>
          <t>https://www.thomassci.com/browse-by/suppliers/diba</t>
        </is>
      </c>
      <c r="F400" t="inlineStr"/>
      <c r="J400" t="inlineStr"/>
      <c r="Y400" t="inlineStr">
        <is>
          <t>unknown</t>
        </is>
      </c>
      <c r="Z400" t="inlineStr"/>
      <c r="AA400" t="inlineStr"/>
      <c r="AB400" t="inlineStr"/>
      <c r="AC400" t="inlineStr"/>
      <c r="AD400" t="inlineStr">
        <is>
          <t>לא נמצא בסריקת המפיצים</t>
        </is>
      </c>
      <c r="AE400" t="inlineStr">
        <is>
          <t>סריקת אתרי מפיצים</t>
        </is>
      </c>
      <c r="AG400" t="inlineStr"/>
      <c r="AH400" t="inlineStr"/>
      <c r="AJ400" t="inlineStr"/>
      <c r="AP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Y401" t="inlineStr">
        <is>
          <t>unknown</t>
        </is>
      </c>
      <c r="Z401" t="inlineStr"/>
      <c r="AA401" t="inlineStr"/>
      <c r="AB401" t="inlineStr"/>
      <c r="AC401" t="inlineStr"/>
      <c r="AD401" t="inlineStr">
        <is>
          <t>לא נמצא בסריקת המפיצים</t>
        </is>
      </c>
      <c r="AE401" t="inlineStr">
        <is>
          <t>סריקת אתרי מפיצים</t>
        </is>
      </c>
      <c r="AG401" t="inlineStr"/>
      <c r="AH401" t="inlineStr"/>
      <c r="AJ401" t="inlineStr"/>
      <c r="AP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Y402" t="inlineStr">
        <is>
          <t>unknown</t>
        </is>
      </c>
      <c r="Z402" t="inlineStr"/>
      <c r="AA402" t="inlineStr"/>
      <c r="AB402" t="inlineStr"/>
      <c r="AC402" t="inlineStr"/>
      <c r="AD402" t="inlineStr">
        <is>
          <t>לא נמצא בסריקת המפיצים</t>
        </is>
      </c>
      <c r="AE402" t="inlineStr">
        <is>
          <t>סריקת אתרי מפיצים</t>
        </is>
      </c>
      <c r="AG402" t="inlineStr"/>
      <c r="AH402" t="inlineStr"/>
      <c r="AJ402" t="inlineStr"/>
      <c r="AP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Y403" t="inlineStr">
        <is>
          <t>unknown</t>
        </is>
      </c>
      <c r="Z403" t="inlineStr"/>
      <c r="AA403" t="inlineStr"/>
      <c r="AB403" t="inlineStr"/>
      <c r="AC403" t="inlineStr"/>
      <c r="AD403" t="inlineStr">
        <is>
          <t>לא נמצא בסריקת המפיצים</t>
        </is>
      </c>
      <c r="AE403" t="inlineStr">
        <is>
          <t>סריקת אתרי מפיצים</t>
        </is>
      </c>
      <c r="AG403" t="inlineStr"/>
      <c r="AH403" t="inlineStr"/>
      <c r="AJ403" t="inlineStr"/>
      <c r="AP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Y404" t="inlineStr">
        <is>
          <t>unknown</t>
        </is>
      </c>
      <c r="Z404" t="inlineStr"/>
      <c r="AA404" t="inlineStr"/>
      <c r="AB404" t="inlineStr"/>
      <c r="AC404" t="inlineStr"/>
      <c r="AD404" t="inlineStr">
        <is>
          <t>לא נמצא בסריקת המפיצים</t>
        </is>
      </c>
      <c r="AE404" t="inlineStr">
        <is>
          <t>סריקת אתרי מפיצים</t>
        </is>
      </c>
      <c r="AG404" t="inlineStr"/>
      <c r="AH404" t="inlineStr"/>
      <c r="AJ404" t="inlineStr"/>
      <c r="AP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O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Y405" t="inlineStr">
        <is>
          <t>unknown</t>
        </is>
      </c>
      <c r="Z405" t="inlineStr"/>
      <c r="AA405" t="inlineStr"/>
      <c r="AB405" t="inlineStr"/>
      <c r="AC405" t="inlineStr"/>
      <c r="AD405" t="inlineStr">
        <is>
          <t>לא נמצא בחיפוש ראשוני</t>
        </is>
      </c>
      <c r="AE405" t="inlineStr">
        <is>
          <t>חיפוש חלקי</t>
        </is>
      </c>
      <c r="AG405" t="inlineStr"/>
      <c r="AH405" t="inlineStr"/>
      <c r="AI405" t="inlineStr">
        <is>
          <t>No Israel link in results (company profiles only); unrelated Israeli distributors Eldan and Agentek surfaced.</t>
        </is>
      </c>
      <c r="AJ405" t="inlineStr">
        <is>
          <t>+1 (866) 838-2798</t>
        </is>
      </c>
      <c r="AK405" t="inlineStr">
        <is>
          <t>info@dls.com</t>
        </is>
      </c>
      <c r="AM405" t="inlineStr">
        <is>
          <t>https://dls.com/contact-us/</t>
        </is>
      </c>
      <c r="AN405" t="inlineStr">
        <is>
          <t>https://dls.com/contact-us/</t>
        </is>
      </c>
      <c r="AP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clearbit_verified</t>
        </is>
      </c>
      <c r="J406" t="inlineStr"/>
      <c r="Y406" t="inlineStr">
        <is>
          <t>unknown</t>
        </is>
      </c>
      <c r="Z406" t="inlineStr"/>
      <c r="AA406" t="inlineStr"/>
      <c r="AB406" t="inlineStr"/>
      <c r="AC406" t="inlineStr"/>
      <c r="AD406" t="inlineStr">
        <is>
          <t>לא נמצא בסריקת המפיצים</t>
        </is>
      </c>
      <c r="AE406" t="inlineStr">
        <is>
          <t>סריקת אתרי מפיצים</t>
        </is>
      </c>
      <c r="AG406" t="inlineStr"/>
      <c r="AH406" t="inlineStr"/>
      <c r="AJ406" t="inlineStr"/>
      <c r="AK406" t="inlineStr">
        <is>
          <t>info@divbio.com</t>
        </is>
      </c>
      <c r="AM406" t="inlineStr">
        <is>
          <t>https://www.divbio.com/contact-us</t>
        </is>
      </c>
      <c r="AN406" t="inlineStr">
        <is>
          <t>https://www.divbio.com/contact-us</t>
        </is>
      </c>
      <c r="AP406" t="inlineStr">
        <is>
          <t>https://www.thomassci.com/browse-by/suppliers/diversified-biotech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Y407" t="inlineStr">
        <is>
          <t>unknown</t>
        </is>
      </c>
      <c r="Z407" t="inlineStr"/>
      <c r="AA407" t="inlineStr"/>
      <c r="AB407" t="inlineStr"/>
      <c r="AC407" t="inlineStr"/>
      <c r="AD407" t="inlineStr">
        <is>
          <t>לא נמצא בסריקת המפיצים</t>
        </is>
      </c>
      <c r="AE407" t="inlineStr">
        <is>
          <t>סריקת אתרי מפיצים</t>
        </is>
      </c>
      <c r="AG407" t="inlineStr"/>
      <c r="AH407" t="inlineStr"/>
      <c r="AJ407" t="inlineStr"/>
      <c r="AN407" t="inlineStr">
        <is>
          <t>https://www.dlabsci.com/</t>
        </is>
      </c>
      <c r="AP407" t="inlineStr">
        <is>
          <t>https://www.thomassci.com/browse-by/suppliers/dlab-scientific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Y408" t="inlineStr">
        <is>
          <t>unknown</t>
        </is>
      </c>
      <c r="Z408" t="inlineStr"/>
      <c r="AA408" t="inlineStr"/>
      <c r="AB408" t="inlineStr"/>
      <c r="AC408" t="inlineStr"/>
      <c r="AD408" t="inlineStr">
        <is>
          <t>לא נמצא בסריקת המפיצים</t>
        </is>
      </c>
      <c r="AE408" t="inlineStr">
        <is>
          <t>סריקת אתרי מפיצים</t>
        </is>
      </c>
      <c r="AG408" t="inlineStr"/>
      <c r="AH408" t="inlineStr"/>
      <c r="AJ408" t="inlineStr">
        <is>
          <t>+1-301-987-2667</t>
        </is>
      </c>
      <c r="AK408" t="inlineStr">
        <is>
          <t>info@dojindo.cn</t>
        </is>
      </c>
      <c r="AM408" t="inlineStr">
        <is>
          <t>https://www.dojindo.com/contents/inquiry.html</t>
        </is>
      </c>
      <c r="AN408" t="inlineStr">
        <is>
          <t>https://www.dojindo.com/contents/inquiry.html</t>
        </is>
      </c>
      <c r="AP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Y409" t="inlineStr">
        <is>
          <t>unknown</t>
        </is>
      </c>
      <c r="Z409" t="inlineStr"/>
      <c r="AA409" t="inlineStr"/>
      <c r="AB409" t="inlineStr"/>
      <c r="AC409" t="inlineStr"/>
      <c r="AD409" t="inlineStr">
        <is>
          <t>לא נמצא בסריקת המפיצים</t>
        </is>
      </c>
      <c r="AE409" t="inlineStr">
        <is>
          <t>סריקת אתרי מפיצים</t>
        </is>
      </c>
      <c r="AG409" t="inlineStr"/>
      <c r="AH409" t="inlineStr"/>
      <c r="AJ409" t="inlineStr">
        <is>
          <t>800-257-3872</t>
        </is>
      </c>
      <c r="AM409" t="inlineStr">
        <is>
          <t>https://dolan-jenner.com/pages/contact-us</t>
        </is>
      </c>
      <c r="AN409" t="inlineStr">
        <is>
          <t>https://dolan-jenner.com/pages/contact-us</t>
        </is>
      </c>
      <c r="AP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Y410" t="inlineStr">
        <is>
          <t>unknown</t>
        </is>
      </c>
      <c r="Z410" t="inlineStr"/>
      <c r="AA410" t="inlineStr"/>
      <c r="AB410" t="inlineStr"/>
      <c r="AC410" t="inlineStr"/>
      <c r="AD410" t="inlineStr">
        <is>
          <t>לא נמצא בסריקת המפיצים</t>
        </is>
      </c>
      <c r="AE410" t="inlineStr">
        <is>
          <t>סריקת אתרי מפיצים</t>
        </is>
      </c>
      <c r="AG410" t="inlineStr"/>
      <c r="AH410" t="inlineStr"/>
      <c r="AJ410" t="inlineStr">
        <is>
          <t>+351 919 270 294</t>
        </is>
      </c>
      <c r="AM410" t="inlineStr">
        <is>
          <t>https://www.drweigert.com/com/contacts-distribution/dr-weigert-international-contact/subsidiaries</t>
        </is>
      </c>
      <c r="AN410" t="inlineStr">
        <is>
          <t>https://www.drweigert.com/com/contacts-distribution/dr-weigert-international-contact/subsidiaries</t>
        </is>
      </c>
      <c r="AP410" t="inlineStr">
        <is>
          <t>https://www.thomassci.com/browse-by/suppliers/dr-weigert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Y411" t="inlineStr">
        <is>
          <t>unknown</t>
        </is>
      </c>
      <c r="Z411" t="inlineStr"/>
      <c r="AA411" t="inlineStr"/>
      <c r="AB411" t="inlineStr"/>
      <c r="AC411" t="inlineStr"/>
      <c r="AD411" t="inlineStr">
        <is>
          <t>לא נמצא בסריקת המפיצים</t>
        </is>
      </c>
      <c r="AE411" t="inlineStr">
        <is>
          <t>סריקת אתרי מפיצים</t>
        </is>
      </c>
      <c r="AG411" t="inlineStr"/>
      <c r="AH411" t="inlineStr"/>
      <c r="AJ411" t="inlineStr"/>
      <c r="AP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Y412" t="inlineStr">
        <is>
          <t>unknown</t>
        </is>
      </c>
      <c r="Z412" t="inlineStr"/>
      <c r="AA412" t="inlineStr"/>
      <c r="AB412" t="inlineStr"/>
      <c r="AC412" t="inlineStr"/>
      <c r="AD412" t="inlineStr">
        <is>
          <t>לא נמצא בסריקת המפיצים</t>
        </is>
      </c>
      <c r="AE412" t="inlineStr">
        <is>
          <t>סריקת אתרי מפיצים</t>
        </is>
      </c>
      <c r="AG412" t="inlineStr"/>
      <c r="AH412" t="inlineStr"/>
      <c r="AJ412" t="inlineStr"/>
      <c r="AP412" t="inlineStr">
        <is>
          <t>https://www.thomassci.com/browse-by/suppliers/drucker-diagnostics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Y413" t="inlineStr">
        <is>
          <t>unknown</t>
        </is>
      </c>
      <c r="Z413" t="inlineStr"/>
      <c r="AA413" t="inlineStr"/>
      <c r="AB413" t="inlineStr"/>
      <c r="AC413" t="inlineStr"/>
      <c r="AD413" t="inlineStr">
        <is>
          <t>לא נמצא בחיפוש ראשוני</t>
        </is>
      </c>
      <c r="AE413" t="inlineStr">
        <is>
          <t>חיפוש חלקי</t>
        </is>
      </c>
      <c r="AG413" t="inlineStr"/>
      <c r="AH413" t="inlineStr"/>
      <c r="AI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J413" t="inlineStr">
        <is>
          <t>+18005237480</t>
        </is>
      </c>
      <c r="AK413" t="inlineStr">
        <is>
          <t>info@drummondsci.com</t>
        </is>
      </c>
      <c r="AM413" t="inlineStr">
        <is>
          <t>https://drummondsci.com/contact/</t>
        </is>
      </c>
      <c r="AN413" t="inlineStr">
        <is>
          <t>https://drummondsci.com/contact/</t>
        </is>
      </c>
      <c r="AP413" t="inlineStr">
        <is>
          <t>https://www.dutscher.com/search?initialFilters=brand:Drummond | https://www.thomassci.com/browse-by/suppliers/drummond | https://drummondsci.com/contact/</t>
        </is>
      </c>
    </row>
    <row r="414">
      <c r="A414" t="n">
        <v>413</v>
      </c>
      <c r="B414" t="inlineStr">
        <is>
          <t>Drummond Scientific</t>
        </is>
      </c>
      <c r="C414" t="inlineStr">
        <is>
          <t>Q</t>
        </is>
      </c>
      <c r="F414" t="inlineStr">
        <is>
          <t>yes</t>
        </is>
      </c>
      <c r="H414" t="inlineStr">
        <is>
          <t>https://drummondsci.com</t>
        </is>
      </c>
      <c r="I414" t="inlineStr">
        <is>
          <t>clearbit_verified</t>
        </is>
      </c>
      <c r="J414" t="inlineStr"/>
      <c r="Y414" t="inlineStr">
        <is>
          <t>unknown</t>
        </is>
      </c>
      <c r="Z414" t="inlineStr"/>
      <c r="AA414" t="inlineStr"/>
      <c r="AB414" t="inlineStr"/>
      <c r="AC414" t="inlineStr"/>
      <c r="AD414" t="inlineStr">
        <is>
          <t>לא נמצא בסריקת המפיצים</t>
        </is>
      </c>
      <c r="AE414" t="inlineStr">
        <is>
          <t>סריקת אתרי מפיצים</t>
        </is>
      </c>
      <c r="AG414" t="inlineStr"/>
      <c r="AH414" t="inlineStr"/>
      <c r="AJ414" t="inlineStr">
        <is>
          <t>+18005237480</t>
        </is>
      </c>
      <c r="AK414" t="inlineStr">
        <is>
          <t>info@drummondsci.com</t>
        </is>
      </c>
      <c r="AM414" t="inlineStr">
        <is>
          <t>https://drummondsci.com/contact/</t>
        </is>
      </c>
      <c r="AN414" t="inlineStr">
        <is>
          <t>https://drummondsci.com/contact/</t>
        </is>
      </c>
      <c r="AP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Y415" t="inlineStr">
        <is>
          <t>unknown</t>
        </is>
      </c>
      <c r="Z415" t="inlineStr"/>
      <c r="AA415" t="inlineStr"/>
      <c r="AB415" t="inlineStr"/>
      <c r="AC415" t="inlineStr"/>
      <c r="AD415" t="inlineStr">
        <is>
          <t>לא נמצא בסריקת המפיצים</t>
        </is>
      </c>
      <c r="AE415" t="inlineStr">
        <is>
          <t>סריקת אתרי מפיצים</t>
        </is>
      </c>
      <c r="AG415" t="inlineStr"/>
      <c r="AH415" t="inlineStr"/>
      <c r="AJ415" t="inlineStr">
        <is>
          <t>847.260.5370</t>
        </is>
      </c>
      <c r="AK415" t="inlineStr">
        <is>
          <t>info@dualmfg.com</t>
        </is>
      </c>
      <c r="AM415" t="inlineStr">
        <is>
          <t>https://dualmfg.com/contactus-2</t>
        </is>
      </c>
      <c r="AN415" t="inlineStr">
        <is>
          <t>https://dualmfg.com/contactus-2</t>
        </is>
      </c>
      <c r="AP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Y416" t="inlineStr">
        <is>
          <t>unknown</t>
        </is>
      </c>
      <c r="Z416" t="inlineStr"/>
      <c r="AA416" t="inlineStr"/>
      <c r="AB416" t="inlineStr"/>
      <c r="AC416" t="inlineStr"/>
      <c r="AD416" t="inlineStr">
        <is>
          <t>לא נמצא בסריקת המפיצים</t>
        </is>
      </c>
      <c r="AE416" t="inlineStr">
        <is>
          <t>סריקת אתרי מפיצים</t>
        </is>
      </c>
      <c r="AG416" t="inlineStr"/>
      <c r="AH416" t="inlineStr"/>
      <c r="AJ416" t="inlineStr"/>
      <c r="AP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Y417" t="inlineStr">
        <is>
          <t>unknown</t>
        </is>
      </c>
      <c r="Z417" t="inlineStr"/>
      <c r="AA417" t="inlineStr"/>
      <c r="AB417" t="inlineStr"/>
      <c r="AC417" t="inlineStr"/>
      <c r="AD417" t="inlineStr">
        <is>
          <t>לא נמצא בחיפוש ראשוני</t>
        </is>
      </c>
      <c r="AE417" t="inlineStr">
        <is>
          <t>חיפוש חלקי</t>
        </is>
      </c>
      <c r="AG417" t="inlineStr"/>
      <c r="AH417" t="inlineStr"/>
      <c r="AI417" t="inlineStr">
        <is>
          <t>DuPont Tyvek contact directory and converter/distributor lists appeared but no Israel entry visible; only Brazil/Mexico (IIMAK) and US deals named.</t>
        </is>
      </c>
      <c r="AJ417" t="inlineStr"/>
      <c r="AP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Y418" t="inlineStr">
        <is>
          <t>unknown</t>
        </is>
      </c>
      <c r="Z418" t="inlineStr"/>
      <c r="AA418" t="inlineStr"/>
      <c r="AB418" t="inlineStr"/>
      <c r="AC418" t="inlineStr"/>
      <c r="AD418" t="inlineStr">
        <is>
          <t>לא נמצא בסריקת המפיצים</t>
        </is>
      </c>
      <c r="AE418" t="inlineStr">
        <is>
          <t>סריקת אתרי מפיצים</t>
        </is>
      </c>
      <c r="AG418" t="inlineStr"/>
      <c r="AH418" t="inlineStr"/>
      <c r="AJ418" t="inlineStr">
        <is>
          <t>800-551-2355</t>
        </is>
      </c>
      <c r="AM418" t="inlineStr">
        <is>
          <t>https://duracell.com/contact</t>
        </is>
      </c>
      <c r="AN418" t="inlineStr">
        <is>
          <t>https://duracell.com/contact</t>
        </is>
      </c>
      <c r="AP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P419" t="n">
        <v>1800</v>
      </c>
      <c r="Q419" t="n">
        <v>2025</v>
      </c>
      <c r="R419" t="inlineStr">
        <is>
          <t>company</t>
        </is>
      </c>
      <c r="S419" t="inlineStr">
        <is>
          <t>prior</t>
        </is>
      </c>
      <c r="T419" t="n">
        <v>106</v>
      </c>
      <c r="U419" t="inlineStr">
        <is>
          <t>USD 105.7 million</t>
        </is>
      </c>
      <c r="V419" t="inlineStr">
        <is>
          <t>FY2023</t>
        </is>
      </c>
      <c r="W419" t="inlineStr">
        <is>
          <t>estimate</t>
        </is>
      </c>
      <c r="X419" t="inlineStr">
        <is>
          <t>prior</t>
        </is>
      </c>
      <c r="Y419" t="inlineStr">
        <is>
          <t>mixed</t>
        </is>
      </c>
      <c r="Z419" t="inlineStr">
        <is>
          <t>DURAN laboratory glass bottles</t>
        </is>
      </c>
      <c r="AA419" t="inlineStr">
        <is>
          <t>WHEATON vials &amp; serum bottles</t>
        </is>
      </c>
      <c r="AB419" t="inlineStr">
        <is>
          <t>KIMBLE KIMAX glassware</t>
        </is>
      </c>
      <c r="AC419" t="inlineStr">
        <is>
          <t>prior</t>
        </is>
      </c>
      <c r="AD419" t="inlineStr">
        <is>
          <t>מפיץ/נציג בישראל</t>
        </is>
      </c>
      <c r="AE419" t="inlineStr">
        <is>
          <t>חיפוש חלקי</t>
        </is>
      </c>
      <c r="AF419" t="n">
        <v>2026</v>
      </c>
      <c r="AG419" t="inlineStr">
        <is>
          <t>Danyel Biotech Ltd. (Gamida for Life group)</t>
        </is>
      </c>
      <c r="AH419" t="inlineStr">
        <is>
          <t>Danyel Biotech Ltd. (Gamida for Life group): 1-800-711-911 (also +972 8-936-6066)</t>
        </is>
      </c>
      <c r="AI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19" t="inlineStr">
        <is>
          <t>+49 9342 802-0</t>
        </is>
      </c>
      <c r="AL419" t="inlineStr">
        <is>
          <t>Otto-Schott-Str. 21, 97877 Wertheim, Germany</t>
        </is>
      </c>
      <c r="AM419" t="inlineStr">
        <is>
          <t>https://www.dwk.com/request-a-quote</t>
        </is>
      </c>
      <c r="AN419" t="inlineStr">
        <is>
          <t>https://dwk.com/na/locations/wertheim-germany</t>
        </is>
      </c>
      <c r="AP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Y420" t="inlineStr">
        <is>
          <t>unknown</t>
        </is>
      </c>
      <c r="Z420" t="inlineStr"/>
      <c r="AA420" t="inlineStr"/>
      <c r="AB420" t="inlineStr"/>
      <c r="AC420" t="inlineStr"/>
      <c r="AD420" t="inlineStr">
        <is>
          <t>לא נמצא בסריקת המפיצים</t>
        </is>
      </c>
      <c r="AE420" t="inlineStr">
        <is>
          <t>סריקת אתרי מפיצים</t>
        </is>
      </c>
      <c r="AG420" t="inlineStr"/>
      <c r="AH420" t="inlineStr"/>
      <c r="AJ420" t="inlineStr">
        <is>
          <t>630-443-9772</t>
        </is>
      </c>
      <c r="AM420" t="inlineStr">
        <is>
          <t>https://www.duratherm.com/contact-us/</t>
        </is>
      </c>
      <c r="AN420" t="inlineStr">
        <is>
          <t>https://www.duratherm.com/contact-us/</t>
        </is>
      </c>
      <c r="AP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Y421" t="inlineStr">
        <is>
          <t>unknown</t>
        </is>
      </c>
      <c r="Z421" t="inlineStr"/>
      <c r="AA421" t="inlineStr"/>
      <c r="AB421" t="inlineStr"/>
      <c r="AC421" t="inlineStr"/>
      <c r="AD421" t="inlineStr">
        <is>
          <t>לא נמצא בסריקת המפיצים</t>
        </is>
      </c>
      <c r="AE421" t="inlineStr">
        <is>
          <t>סריקת אתרי מפיצים</t>
        </is>
      </c>
      <c r="AG421" t="inlineStr"/>
      <c r="AH421" t="inlineStr"/>
      <c r="AJ421" t="inlineStr">
        <is>
          <t>800243-3774</t>
        </is>
      </c>
      <c r="AK421" t="inlineStr">
        <is>
          <t>info@durhammfg.com</t>
        </is>
      </c>
      <c r="AM421" t="inlineStr">
        <is>
          <t>https://www.durhammfg.com/contact-us/</t>
        </is>
      </c>
      <c r="AN421" t="inlineStr">
        <is>
          <t>https://www.durhammfg.com/contact-us/</t>
        </is>
      </c>
      <c r="AP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Y422" t="inlineStr">
        <is>
          <t>unknown</t>
        </is>
      </c>
      <c r="Z422" t="inlineStr"/>
      <c r="AA422" t="inlineStr"/>
      <c r="AB422" t="inlineStr"/>
      <c r="AC422" t="inlineStr"/>
      <c r="AD422" t="inlineStr">
        <is>
          <t>לא נמצא בסריקת המפיצים</t>
        </is>
      </c>
      <c r="AE422" t="inlineStr">
        <is>
          <t>סריקת אתרי מפיצים</t>
        </is>
      </c>
      <c r="AG422" t="inlineStr"/>
      <c r="AH422" t="inlineStr"/>
      <c r="AJ422" t="inlineStr"/>
      <c r="AP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P423" t="n">
        <v>1800</v>
      </c>
      <c r="Q423" t="n">
        <v>2025</v>
      </c>
      <c r="R423" t="inlineStr">
        <is>
          <t>company</t>
        </is>
      </c>
      <c r="S423" t="inlineStr">
        <is>
          <t>prior</t>
        </is>
      </c>
      <c r="T423" t="n">
        <v>106</v>
      </c>
      <c r="U423" t="inlineStr">
        <is>
          <t>USD 105.7 million</t>
        </is>
      </c>
      <c r="V423" t="inlineStr">
        <is>
          <t>FY2023</t>
        </is>
      </c>
      <c r="W423" t="inlineStr">
        <is>
          <t>estimate</t>
        </is>
      </c>
      <c r="X423" t="inlineStr">
        <is>
          <t>prior</t>
        </is>
      </c>
      <c r="Y423" t="inlineStr">
        <is>
          <t>mixed</t>
        </is>
      </c>
      <c r="Z423" t="inlineStr">
        <is>
          <t>DURAN laboratory glass bottles</t>
        </is>
      </c>
      <c r="AA423" t="inlineStr">
        <is>
          <t>WHEATON vials &amp; serum bottles</t>
        </is>
      </c>
      <c r="AB423" t="inlineStr">
        <is>
          <t>KIMBLE KIMAX glassware</t>
        </is>
      </c>
      <c r="AC423" t="inlineStr">
        <is>
          <t>prior</t>
        </is>
      </c>
      <c r="AD423" t="inlineStr">
        <is>
          <t>מפיץ/נציג בישראל</t>
        </is>
      </c>
      <c r="AE423" t="inlineStr">
        <is>
          <t>חיפוש חלקי</t>
        </is>
      </c>
      <c r="AF423" t="n">
        <v>2026</v>
      </c>
      <c r="AG423" t="inlineStr">
        <is>
          <t>Danyel Biotech Ltd. (Gamida for Life group)</t>
        </is>
      </c>
      <c r="AH423" t="inlineStr">
        <is>
          <t>Danyel Biotech Ltd. (Gamida for Life group): 1-800-711-911 (also +972 8-936-6066)</t>
        </is>
      </c>
      <c r="AI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423" t="inlineStr">
        <is>
          <t>+49 9342 802-0</t>
        </is>
      </c>
      <c r="AL423" t="inlineStr">
        <is>
          <t>Otto-Schott-Str. 21, 97877 Wertheim, Germany</t>
        </is>
      </c>
      <c r="AM423" t="inlineStr">
        <is>
          <t>https://www.dwk.com/request-a-quote</t>
        </is>
      </c>
      <c r="AN423" t="inlineStr">
        <is>
          <t>https://dwk.com/na/locations/wertheim-germany</t>
        </is>
      </c>
      <c r="AP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Y424" t="inlineStr">
        <is>
          <t>unknown</t>
        </is>
      </c>
      <c r="Z424" t="inlineStr"/>
      <c r="AA424" t="inlineStr"/>
      <c r="AB424" t="inlineStr"/>
      <c r="AC424" t="inlineStr"/>
      <c r="AD424" t="inlineStr">
        <is>
          <t>לא נמצא בסריקת המפיצים</t>
        </is>
      </c>
      <c r="AE424" t="inlineStr">
        <is>
          <t>סריקת אתרי מפיצים</t>
        </is>
      </c>
      <c r="AG424" t="inlineStr"/>
      <c r="AH424" t="inlineStr"/>
      <c r="AJ424" t="inlineStr"/>
      <c r="AP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Y425" t="inlineStr">
        <is>
          <t>unknown</t>
        </is>
      </c>
      <c r="Z425" t="inlineStr"/>
      <c r="AA425" t="inlineStr"/>
      <c r="AB425" t="inlineStr"/>
      <c r="AC425" t="inlineStr"/>
      <c r="AD425" t="inlineStr">
        <is>
          <t>לא נמצא בחיפוש ראשוני</t>
        </is>
      </c>
      <c r="AE425" t="inlineStr">
        <is>
          <t>חיפוש חלקי</t>
        </is>
      </c>
      <c r="AG425" t="inlineStr"/>
      <c r="AH425" t="inlineStr"/>
      <c r="AI425" t="inlineStr">
        <is>
          <t>No result mentions Dynalon; 'DYN Diagnostics' (Caesarea, Roche IVD representative) and Eldan hits are unrelated name/industry matches.</t>
        </is>
      </c>
      <c r="AJ425" t="inlineStr"/>
      <c r="AP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Y426" t="inlineStr">
        <is>
          <t>unknown</t>
        </is>
      </c>
      <c r="Z426" t="inlineStr"/>
      <c r="AA426" t="inlineStr"/>
      <c r="AB426" t="inlineStr"/>
      <c r="AC426" t="inlineStr"/>
      <c r="AD426" t="inlineStr">
        <is>
          <t>לא נמצא בסריקת המפיצים</t>
        </is>
      </c>
      <c r="AE426" t="inlineStr">
        <is>
          <t>סריקת אתרי מפיצים</t>
        </is>
      </c>
      <c r="AG426" t="inlineStr"/>
      <c r="AH426" t="inlineStr"/>
      <c r="AJ426" t="inlineStr"/>
      <c r="AP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Y427" t="inlineStr">
        <is>
          <t>unknown</t>
        </is>
      </c>
      <c r="Z427" t="inlineStr"/>
      <c r="AA427" t="inlineStr"/>
      <c r="AB427" t="inlineStr"/>
      <c r="AC427" t="inlineStr"/>
      <c r="AD427" t="inlineStr">
        <is>
          <t>לא נמצא בסריקת המפיצים</t>
        </is>
      </c>
      <c r="AE427" t="inlineStr">
        <is>
          <t>סריקת אתרי מפיצים</t>
        </is>
      </c>
      <c r="AG427" t="inlineStr"/>
      <c r="AH427" t="inlineStr"/>
      <c r="AJ427" t="inlineStr"/>
      <c r="AK427" t="inlineStr">
        <is>
          <t>info@dynamo411.com</t>
        </is>
      </c>
      <c r="AM427" t="inlineStr">
        <is>
          <t>https://dynamo411.com/contact.php</t>
        </is>
      </c>
      <c r="AN427" t="inlineStr">
        <is>
          <t>https://dynamo411.com/contact.php</t>
        </is>
      </c>
      <c r="AP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Y428" t="inlineStr">
        <is>
          <t>unknown</t>
        </is>
      </c>
      <c r="Z428" t="inlineStr"/>
      <c r="AA428" t="inlineStr"/>
      <c r="AB428" t="inlineStr"/>
      <c r="AC428" t="inlineStr"/>
      <c r="AD428" t="inlineStr">
        <is>
          <t>לא נמצא בסריקת המפיצים</t>
        </is>
      </c>
      <c r="AE428" t="inlineStr">
        <is>
          <t>סריקת אתרי מפיצים</t>
        </is>
      </c>
      <c r="AG428" t="inlineStr"/>
      <c r="AH428" t="inlineStr"/>
      <c r="AJ428" t="inlineStr"/>
      <c r="AN428" t="inlineStr">
        <is>
          <t>https://dynarex.com/</t>
        </is>
      </c>
      <c r="AP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Y429" t="inlineStr">
        <is>
          <t>unknown</t>
        </is>
      </c>
      <c r="Z429" t="inlineStr"/>
      <c r="AA429" t="inlineStr"/>
      <c r="AB429" t="inlineStr"/>
      <c r="AC429" t="inlineStr"/>
      <c r="AD429" t="inlineStr">
        <is>
          <t>לא נמצא בסריקת המפיצים</t>
        </is>
      </c>
      <c r="AE429" t="inlineStr">
        <is>
          <t>סריקת אתרי מפיצים</t>
        </is>
      </c>
      <c r="AG429" t="inlineStr"/>
      <c r="AH429" t="inlineStr"/>
      <c r="AJ429" t="inlineStr">
        <is>
          <t>+9313722688</t>
        </is>
      </c>
      <c r="AK429" t="inlineStr">
        <is>
          <t>info@ecomseating.com</t>
        </is>
      </c>
      <c r="AM429" t="inlineStr">
        <is>
          <t>https://ecomseating.com/contact/</t>
        </is>
      </c>
      <c r="AN429" t="inlineStr">
        <is>
          <t>https://ecomseating.com/contact/</t>
        </is>
      </c>
      <c r="AP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Y430" t="inlineStr">
        <is>
          <t>unknown</t>
        </is>
      </c>
      <c r="Z430" t="inlineStr"/>
      <c r="AA430" t="inlineStr"/>
      <c r="AB430" t="inlineStr"/>
      <c r="AC430" t="inlineStr"/>
      <c r="AD430" t="inlineStr">
        <is>
          <t>לא נמצא בסריקת המפיצים</t>
        </is>
      </c>
      <c r="AE430" t="inlineStr">
        <is>
          <t>סריקת אתרי מפיצים</t>
        </is>
      </c>
      <c r="AG430" t="inlineStr"/>
      <c r="AH430" t="inlineStr"/>
      <c r="AJ430" t="inlineStr"/>
      <c r="AP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Y431" t="inlineStr">
        <is>
          <t>unknown</t>
        </is>
      </c>
      <c r="Z431" t="inlineStr"/>
      <c r="AA431" t="inlineStr"/>
      <c r="AB431" t="inlineStr"/>
      <c r="AC431" t="inlineStr"/>
      <c r="AD431" t="inlineStr">
        <is>
          <t>לא נמצא בסריקת המפיצים</t>
        </is>
      </c>
      <c r="AE431" t="inlineStr">
        <is>
          <t>סריקת אתרי מפיצים</t>
        </is>
      </c>
      <c r="AG431" t="inlineStr"/>
      <c r="AH431" t="inlineStr"/>
      <c r="AJ431" t="inlineStr">
        <is>
          <t>(617) 419-2019</t>
        </is>
      </c>
      <c r="AK431" t="inlineStr">
        <is>
          <t>info@eaglebio.com</t>
        </is>
      </c>
      <c r="AM431" t="inlineStr">
        <is>
          <t>https://eaglebio.com/contact/</t>
        </is>
      </c>
      <c r="AN431" t="inlineStr">
        <is>
          <t>https://eaglebio.com/contact/</t>
        </is>
      </c>
      <c r="AP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O432" t="inlineStr">
        <is>
          <t>defunct farm equipment company in Appleton, Wisconsin</t>
        </is>
      </c>
      <c r="Y432" t="inlineStr">
        <is>
          <t>unknown</t>
        </is>
      </c>
      <c r="Z432" t="inlineStr"/>
      <c r="AA432" t="inlineStr"/>
      <c r="AB432" t="inlineStr"/>
      <c r="AC432" t="inlineStr"/>
      <c r="AD432" t="inlineStr">
        <is>
          <t>לא נמצא בסריקת המפיצים</t>
        </is>
      </c>
      <c r="AE432" t="inlineStr">
        <is>
          <t>סריקת אתרי מפיצים</t>
        </is>
      </c>
      <c r="AG432" t="inlineStr"/>
      <c r="AH432" t="inlineStr"/>
      <c r="AJ432" t="inlineStr"/>
      <c r="AO432" t="inlineStr">
        <is>
          <t>Q5325159</t>
        </is>
      </c>
      <c r="AP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Y433" t="inlineStr">
        <is>
          <t>unknown</t>
        </is>
      </c>
      <c r="Z433" t="inlineStr"/>
      <c r="AA433" t="inlineStr"/>
      <c r="AB433" t="inlineStr"/>
      <c r="AC433" t="inlineStr"/>
      <c r="AD433" t="inlineStr">
        <is>
          <t>לא נמצא בסריקת המפיצים</t>
        </is>
      </c>
      <c r="AE433" t="inlineStr">
        <is>
          <t>סריקת אתרי מפיצים</t>
        </is>
      </c>
      <c r="AG433" t="inlineStr"/>
      <c r="AH433" t="inlineStr"/>
      <c r="AJ433" t="inlineStr"/>
      <c r="AP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Y434" t="inlineStr">
        <is>
          <t>unknown</t>
        </is>
      </c>
      <c r="Z434" t="inlineStr"/>
      <c r="AA434" t="inlineStr"/>
      <c r="AB434" t="inlineStr"/>
      <c r="AC434" t="inlineStr"/>
      <c r="AD434" t="inlineStr">
        <is>
          <t>לא נמצא בחיפוש ראשוני</t>
        </is>
      </c>
      <c r="AE434" t="inlineStr">
        <is>
          <t>חיפוש חלקי</t>
        </is>
      </c>
      <c r="AG434" t="inlineStr"/>
      <c r="AH434" t="inlineStr"/>
      <c r="AI434" t="inlineStr">
        <is>
          <t>No result mentions Eagle Thermoplastics; hits are Albis Distribution (polymer distributor opening a Tel Aviv subsidiary) and Eagle Plastics UK - unrelated.</t>
        </is>
      </c>
      <c r="AJ434" t="inlineStr"/>
      <c r="AP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Y435" t="inlineStr">
        <is>
          <t>unknown</t>
        </is>
      </c>
      <c r="Z435" t="inlineStr"/>
      <c r="AA435" t="inlineStr"/>
      <c r="AB435" t="inlineStr"/>
      <c r="AC435" t="inlineStr"/>
      <c r="AD435" t="inlineStr">
        <is>
          <t>לא נמצא בסריקת המפיצים</t>
        </is>
      </c>
      <c r="AE435" t="inlineStr">
        <is>
          <t>סריקת אתרי מפיצים</t>
        </is>
      </c>
      <c r="AG435" t="inlineStr"/>
      <c r="AH435" t="inlineStr"/>
      <c r="AJ435" t="inlineStr"/>
      <c r="AP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Y436" t="inlineStr">
        <is>
          <t>unknown</t>
        </is>
      </c>
      <c r="Z436" t="inlineStr"/>
      <c r="AA436" t="inlineStr"/>
      <c r="AB436" t="inlineStr"/>
      <c r="AC436" t="inlineStr"/>
      <c r="AD436" t="inlineStr">
        <is>
          <t>לא נמצא בסריקת המפיצים</t>
        </is>
      </c>
      <c r="AE436" t="inlineStr">
        <is>
          <t>סריקת אתרי מפיצים</t>
        </is>
      </c>
      <c r="AG436" t="inlineStr"/>
      <c r="AH436" t="inlineStr"/>
      <c r="AJ436" t="inlineStr">
        <is>
          <t>(800) 387-2648</t>
        </is>
      </c>
      <c r="AK436" t="inlineStr">
        <is>
          <t>info@ebf-inc.com</t>
        </is>
      </c>
      <c r="AM436" t="inlineStr">
        <is>
          <t>https://ebf-inc.com/contact/</t>
        </is>
      </c>
      <c r="AN436" t="inlineStr">
        <is>
          <t>https://ebf-inc.com/contact/</t>
        </is>
      </c>
      <c r="AP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Y437" t="inlineStr">
        <is>
          <t>unknown</t>
        </is>
      </c>
      <c r="Z437" t="inlineStr"/>
      <c r="AA437" t="inlineStr"/>
      <c r="AB437" t="inlineStr"/>
      <c r="AC437" t="inlineStr"/>
      <c r="AD437" t="inlineStr">
        <is>
          <t>לא נמצא בסריקת המפיצים</t>
        </is>
      </c>
      <c r="AE437" t="inlineStr">
        <is>
          <t>סריקת אתרי מפיצים</t>
        </is>
      </c>
      <c r="AG437" t="inlineStr"/>
      <c r="AH437" t="inlineStr"/>
      <c r="AJ437" t="inlineStr">
        <is>
          <t>1-800-422-2558</t>
        </is>
      </c>
      <c r="AK437" t="inlineStr">
        <is>
          <t>orders@eberbachlabtools.com</t>
        </is>
      </c>
      <c r="AM437" t="inlineStr">
        <is>
          <t>https://eberbachlabtools.com/pages/contact-us</t>
        </is>
      </c>
      <c r="AN437" t="inlineStr">
        <is>
          <t>https://eberbachlabtools.com/pages/contact-us</t>
        </is>
      </c>
      <c r="AP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clearbit_verified</t>
        </is>
      </c>
      <c r="J438" t="inlineStr"/>
      <c r="Y438" t="inlineStr">
        <is>
          <t>unknown</t>
        </is>
      </c>
      <c r="Z438" t="inlineStr"/>
      <c r="AA438" t="inlineStr"/>
      <c r="AB438" t="inlineStr"/>
      <c r="AC438" t="inlineStr"/>
      <c r="AD438" t="inlineStr">
        <is>
          <t>לא נמצא בסריקת המפיצים</t>
        </is>
      </c>
      <c r="AE438" t="inlineStr">
        <is>
          <t>סריקת אתרי מפיצים</t>
        </is>
      </c>
      <c r="AG438" t="inlineStr"/>
      <c r="AH438" t="inlineStr"/>
      <c r="AJ438" t="inlineStr">
        <is>
          <t>801.588.0455</t>
        </is>
      </c>
      <c r="AM438" t="inlineStr">
        <is>
          <t>https://www.echelon-inc.com/contact/</t>
        </is>
      </c>
      <c r="AN438" t="inlineStr">
        <is>
          <t>https://www.echelon-inc.com/contact/</t>
        </is>
      </c>
      <c r="AP438" t="inlineStr">
        <is>
          <t>https://www.quartzy.com/suppliers | https://www.echelon-inc.com/contact/</t>
        </is>
      </c>
    </row>
    <row r="439">
      <c r="A439" t="n">
        <v>438</v>
      </c>
      <c r="B439" t="inlineStr">
        <is>
          <t>ECM Biosciences</t>
        </is>
      </c>
      <c r="C439" t="inlineStr">
        <is>
          <t>Q</t>
        </is>
      </c>
      <c r="F439" t="inlineStr">
        <is>
          <t>yes</t>
        </is>
      </c>
      <c r="J439" t="inlineStr"/>
      <c r="Y439" t="inlineStr">
        <is>
          <t>unknown</t>
        </is>
      </c>
      <c r="Z439" t="inlineStr"/>
      <c r="AA439" t="inlineStr"/>
      <c r="AB439" t="inlineStr"/>
      <c r="AC439" t="inlineStr"/>
      <c r="AD439" t="inlineStr">
        <is>
          <t>לא נמצא בסריקת המפיצים</t>
        </is>
      </c>
      <c r="AE439" t="inlineStr">
        <is>
          <t>סריקת אתרי מפיצים</t>
        </is>
      </c>
      <c r="AG439" t="inlineStr"/>
      <c r="AH439" t="inlineStr"/>
      <c r="AJ439" t="inlineStr"/>
      <c r="AP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Y440" t="inlineStr">
        <is>
          <t>unknown</t>
        </is>
      </c>
      <c r="Z440" t="inlineStr"/>
      <c r="AA440" t="inlineStr"/>
      <c r="AB440" t="inlineStr"/>
      <c r="AC440" t="inlineStr"/>
      <c r="AD440" t="inlineStr">
        <is>
          <t>לא נמצא בסריקת המפיצים</t>
        </is>
      </c>
      <c r="AE440" t="inlineStr">
        <is>
          <t>סריקת אתרי מפיצים</t>
        </is>
      </c>
      <c r="AG440" t="inlineStr"/>
      <c r="AH440" t="inlineStr"/>
      <c r="AJ440" t="inlineStr"/>
      <c r="AP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Y441" t="inlineStr">
        <is>
          <t>unknown</t>
        </is>
      </c>
      <c r="Z441" t="inlineStr"/>
      <c r="AA441" t="inlineStr"/>
      <c r="AB441" t="inlineStr"/>
      <c r="AC441" t="inlineStr"/>
      <c r="AD441" t="inlineStr">
        <is>
          <t>לא נמצא בסריקת המפיצים</t>
        </is>
      </c>
      <c r="AE441" t="inlineStr">
        <is>
          <t>סריקת אתרי מפיצים</t>
        </is>
      </c>
      <c r="AG441" t="inlineStr"/>
      <c r="AH441" t="inlineStr"/>
      <c r="AJ441" t="inlineStr"/>
      <c r="AP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Y442" t="inlineStr">
        <is>
          <t>unknown</t>
        </is>
      </c>
      <c r="Z442" t="inlineStr"/>
      <c r="AA442" t="inlineStr"/>
      <c r="AB442" t="inlineStr"/>
      <c r="AC442" t="inlineStr"/>
      <c r="AD442" t="inlineStr">
        <is>
          <t>לא נמצא בסריקת המפיצים</t>
        </is>
      </c>
      <c r="AE442" t="inlineStr">
        <is>
          <t>סריקת אתרי מפיצים</t>
        </is>
      </c>
      <c r="AG442" t="inlineStr"/>
      <c r="AH442" t="inlineStr"/>
      <c r="AJ442" t="inlineStr"/>
      <c r="AP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Y443" t="inlineStr">
        <is>
          <t>unknown</t>
        </is>
      </c>
      <c r="Z443" t="inlineStr"/>
      <c r="AA443" t="inlineStr"/>
      <c r="AB443" t="inlineStr"/>
      <c r="AC443" t="inlineStr"/>
      <c r="AD443" t="inlineStr">
        <is>
          <t>לא נמצא בסריקת המפיצים</t>
        </is>
      </c>
      <c r="AE443" t="inlineStr">
        <is>
          <t>סריקת אתרי מפיצים</t>
        </is>
      </c>
      <c r="AG443" t="inlineStr"/>
      <c r="AH443" t="inlineStr"/>
      <c r="AJ443" t="inlineStr"/>
      <c r="AP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Y444" t="inlineStr">
        <is>
          <t>unknown</t>
        </is>
      </c>
      <c r="Z444" t="inlineStr"/>
      <c r="AA444" t="inlineStr"/>
      <c r="AB444" t="inlineStr"/>
      <c r="AC444" t="inlineStr"/>
      <c r="AD444" t="inlineStr">
        <is>
          <t>לא נמצא בסריקת המפיצים</t>
        </is>
      </c>
      <c r="AE444" t="inlineStr">
        <is>
          <t>סריקת אתרי מפיצים</t>
        </is>
      </c>
      <c r="AG444" t="inlineStr"/>
      <c r="AH444" t="inlineStr"/>
      <c r="AJ444" t="inlineStr"/>
      <c r="AP444" t="inlineStr">
        <is>
          <t>https://www.dutscher.com/search?initialFilters=brand:Edmund+Buehler</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Y445" t="inlineStr">
        <is>
          <t>unknown</t>
        </is>
      </c>
      <c r="Z445" t="inlineStr"/>
      <c r="AA445" t="inlineStr"/>
      <c r="AB445" t="inlineStr"/>
      <c r="AC445" t="inlineStr"/>
      <c r="AD445" t="inlineStr">
        <is>
          <t>לא נמצא בסריקת המפיצים</t>
        </is>
      </c>
      <c r="AE445" t="inlineStr">
        <is>
          <t>סריקת אתרי מפיצים</t>
        </is>
      </c>
      <c r="AG445" t="inlineStr"/>
      <c r="AH445" t="inlineStr"/>
      <c r="AJ445" t="inlineStr"/>
      <c r="AP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Y446" t="inlineStr">
        <is>
          <t>unknown</t>
        </is>
      </c>
      <c r="Z446" t="inlineStr"/>
      <c r="AA446" t="inlineStr"/>
      <c r="AB446" t="inlineStr"/>
      <c r="AC446" t="inlineStr"/>
      <c r="AD446" t="inlineStr">
        <is>
          <t>לא נמצא בסריקת המפיצים</t>
        </is>
      </c>
      <c r="AE446" t="inlineStr">
        <is>
          <t>סריקת אתרי מפיצים</t>
        </is>
      </c>
      <c r="AG446" t="inlineStr"/>
      <c r="AH446" t="inlineStr"/>
      <c r="AJ446" t="inlineStr"/>
      <c r="AP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Y447" t="inlineStr">
        <is>
          <t>unknown</t>
        </is>
      </c>
      <c r="Z447" t="inlineStr"/>
      <c r="AA447" t="inlineStr"/>
      <c r="AB447" t="inlineStr"/>
      <c r="AC447" t="inlineStr"/>
      <c r="AD447" t="inlineStr">
        <is>
          <t>לא נמצא בסריקת המפיצים</t>
        </is>
      </c>
      <c r="AE447" t="inlineStr">
        <is>
          <t>סריקת אתרי מפיצים</t>
        </is>
      </c>
      <c r="AG447" t="inlineStr"/>
      <c r="AH447" t="inlineStr"/>
      <c r="AJ447" t="inlineStr"/>
      <c r="AP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Y448" t="inlineStr">
        <is>
          <t>unknown</t>
        </is>
      </c>
      <c r="Z448" t="inlineStr"/>
      <c r="AA448" t="inlineStr"/>
      <c r="AB448" t="inlineStr"/>
      <c r="AC448" t="inlineStr"/>
      <c r="AD448" t="inlineStr">
        <is>
          <t>לא נמצא בחיפוש ראשוני</t>
        </is>
      </c>
      <c r="AE448" t="inlineStr">
        <is>
          <t>חיפוש חלקי</t>
        </is>
      </c>
      <c r="AG448" t="inlineStr"/>
      <c r="AH448" t="inlineStr"/>
      <c r="AI448" t="inlineStr">
        <is>
          <t>Eisco's sales page (eiscolabs.com/pages/sales) routes buyers to regional contacts (Asia/Middle East/Africa) and customer support; no Israeli distributor named. Biotium's Middle East list (Doron Scientific, Enco, New Biotechnology, Origolab) is unrelated.</t>
        </is>
      </c>
      <c r="AJ448" t="inlineStr">
        <is>
          <t>+1-585-563-7963</t>
        </is>
      </c>
      <c r="AK448" t="inlineStr">
        <is>
          <t>info@eiscolabs.com</t>
        </is>
      </c>
      <c r="AM448" t="inlineStr">
        <is>
          <t>https://www.eiscolabs.com/pages/sales</t>
        </is>
      </c>
      <c r="AN448" t="inlineStr">
        <is>
          <t>https://www.eiscolabs.com/pages/sales</t>
        </is>
      </c>
      <c r="AP448" t="inlineStr">
        <is>
          <t>https://www.quartzy.com/suppliers | https://www.thomassci.com/browse-by/suppliers/eisco | https://www.eiscolabs.com/pages/sales</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Y449" t="inlineStr">
        <is>
          <t>unknown</t>
        </is>
      </c>
      <c r="Z449" t="inlineStr"/>
      <c r="AA449" t="inlineStr"/>
      <c r="AB449" t="inlineStr"/>
      <c r="AC449" t="inlineStr"/>
      <c r="AD449" t="inlineStr">
        <is>
          <t>לא נמצא בסריקת המפיצים</t>
        </is>
      </c>
      <c r="AE449" t="inlineStr">
        <is>
          <t>סריקת אתרי מפיצים</t>
        </is>
      </c>
      <c r="AG449" t="inlineStr"/>
      <c r="AH449" t="inlineStr"/>
      <c r="AJ449" t="inlineStr">
        <is>
          <t>970-667-2728</t>
        </is>
      </c>
      <c r="AK449" t="inlineStr">
        <is>
          <t>sales@eldonjames.com</t>
        </is>
      </c>
      <c r="AM449" t="inlineStr">
        <is>
          <t>https://eldonjames.com/contact-us/</t>
        </is>
      </c>
      <c r="AN449" t="inlineStr">
        <is>
          <t>https://eldonjames.com/contact-us/</t>
        </is>
      </c>
      <c r="AP449" t="inlineStr">
        <is>
          <t>https://www.thomassci.com/browse-by/suppliers/eldon-james | https://eldonjames.com/contact-us/</t>
        </is>
      </c>
    </row>
    <row r="450">
      <c r="A450" t="n">
        <v>449</v>
      </c>
      <c r="B450" t="inlineStr">
        <is>
          <t>Electron Microscopy (EMS)</t>
        </is>
      </c>
      <c r="C450" t="inlineStr">
        <is>
          <t>Q</t>
        </is>
      </c>
      <c r="F450" t="inlineStr">
        <is>
          <t>yes</t>
        </is>
      </c>
      <c r="J450" t="inlineStr"/>
      <c r="Y450" t="inlineStr">
        <is>
          <t>unknown</t>
        </is>
      </c>
      <c r="Z450" t="inlineStr"/>
      <c r="AA450" t="inlineStr"/>
      <c r="AB450" t="inlineStr"/>
      <c r="AC450" t="inlineStr"/>
      <c r="AD450" t="inlineStr">
        <is>
          <t>לא נמצא בסריקת המפיצים</t>
        </is>
      </c>
      <c r="AE450" t="inlineStr">
        <is>
          <t>סריקת אתרי מפיצים</t>
        </is>
      </c>
      <c r="AG450" t="inlineStr"/>
      <c r="AH450" t="inlineStr"/>
      <c r="AJ450" t="inlineStr"/>
      <c r="AP450" t="inlineStr">
        <is>
          <t>https://www.quartzy.com/suppliers</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Y451" t="inlineStr">
        <is>
          <t>unknown</t>
        </is>
      </c>
      <c r="Z451" t="inlineStr"/>
      <c r="AA451" t="inlineStr"/>
      <c r="AB451" t="inlineStr"/>
      <c r="AC451" t="inlineStr"/>
      <c r="AD451" t="inlineStr">
        <is>
          <t>לא נמצא בסריקת המפיצים</t>
        </is>
      </c>
      <c r="AE451" t="inlineStr">
        <is>
          <t>סריקת אתרי מפיצים</t>
        </is>
      </c>
      <c r="AG451" t="inlineStr"/>
      <c r="AH451" t="inlineStr"/>
      <c r="AJ451" t="inlineStr"/>
      <c r="AP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P452" t="n">
        <v>2000</v>
      </c>
      <c r="Q452" t="n">
        <v>2024</v>
      </c>
      <c r="R452" t="inlineStr">
        <is>
          <t>estimate</t>
        </is>
      </c>
      <c r="S452" t="inlineStr">
        <is>
          <t>prior</t>
        </is>
      </c>
      <c r="T452" t="n">
        <v>400</v>
      </c>
      <c r="U452" t="inlineStr">
        <is>
          <t>approx. USD 400 million (third-party directory estimate)</t>
        </is>
      </c>
      <c r="V452" t="inlineStr">
        <is>
          <t>n/a (directory estimate seen Oct 2026)</t>
        </is>
      </c>
      <c r="W452" t="inlineStr">
        <is>
          <t>estimate</t>
        </is>
      </c>
      <c r="X452" t="inlineStr">
        <is>
          <t>prior</t>
        </is>
      </c>
      <c r="Y452" t="inlineStr">
        <is>
          <t>estimate</t>
        </is>
      </c>
      <c r="Z452" t="inlineStr">
        <is>
          <t>Jenway spectrophotometers</t>
        </is>
      </c>
      <c r="AA452" t="inlineStr">
        <is>
          <t>Environmental Express HotBlock</t>
        </is>
      </c>
      <c r="AB452" t="inlineStr">
        <is>
          <t>Stuart / Techne benchtop equipment</t>
        </is>
      </c>
      <c r="AC452" t="inlineStr">
        <is>
          <t>prior</t>
        </is>
      </c>
      <c r="AD452" t="inlineStr">
        <is>
          <t>מפיץ/נציג בישראל</t>
        </is>
      </c>
      <c r="AE452" t="inlineStr">
        <is>
          <t>אומת</t>
        </is>
      </c>
      <c r="AF452" t="n">
        <v>2026</v>
      </c>
      <c r="AG452" t="inlineStr">
        <is>
          <t>Medent Scientific Instruments</t>
        </is>
      </c>
      <c r="AH452" t="inlineStr">
        <is>
          <t>Medent Scientific Instruments: +972 72-395-0508 (sales); +972 8-683-6306 (service) info@medent.co.il</t>
        </is>
      </c>
      <c r="AI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452" t="inlineStr">
        <is>
          <t>+1 800-323-4340</t>
        </is>
      </c>
      <c r="AK452" t="inlineStr">
        <is>
          <t>sales@antylia.com</t>
        </is>
      </c>
      <c r="AL452" t="inlineStr">
        <is>
          <t>625 East Bunker Court, Vernon Hills, IL 60061, USA</t>
        </is>
      </c>
      <c r="AN452" t="inlineStr">
        <is>
          <t>https://www.thomasnet.com/company/cole-parmer-1148924/profile</t>
        </is>
      </c>
      <c r="AP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Y453" t="inlineStr">
        <is>
          <t>unknown</t>
        </is>
      </c>
      <c r="Z453" t="inlineStr"/>
      <c r="AA453" t="inlineStr"/>
      <c r="AB453" t="inlineStr"/>
      <c r="AC453" t="inlineStr"/>
      <c r="AD453" t="inlineStr">
        <is>
          <t>לא נמצא בסריקת המפיצים</t>
        </is>
      </c>
      <c r="AE453" t="inlineStr">
        <is>
          <t>סריקת אתרי מפיצים</t>
        </is>
      </c>
      <c r="AG453" t="inlineStr"/>
      <c r="AH453" t="inlineStr"/>
      <c r="AJ453" t="inlineStr"/>
      <c r="AP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Y454" t="inlineStr">
        <is>
          <t>unknown</t>
        </is>
      </c>
      <c r="Z454" t="inlineStr"/>
      <c r="AA454" t="inlineStr"/>
      <c r="AB454" t="inlineStr"/>
      <c r="AC454" t="inlineStr"/>
      <c r="AD454" t="inlineStr">
        <is>
          <t>לא נמצא בסריקת המפיצים</t>
        </is>
      </c>
      <c r="AE454" t="inlineStr">
        <is>
          <t>סריקת אתרי מפיצים</t>
        </is>
      </c>
      <c r="AG454" t="inlineStr"/>
      <c r="AH454" t="inlineStr"/>
      <c r="AJ454" t="inlineStr">
        <is>
          <t>877-205-2710</t>
        </is>
      </c>
      <c r="AM454" t="inlineStr">
        <is>
          <t>https://www.elkofiltering.com/store/pg/5-Contact-Us.aspx</t>
        </is>
      </c>
      <c r="AN454" t="inlineStr">
        <is>
          <t>https://www.elkofiltering.com/store/pg/5-Contact-Us.aspx</t>
        </is>
      </c>
      <c r="AP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Y455" t="inlineStr">
        <is>
          <t>unknown</t>
        </is>
      </c>
      <c r="Z455" t="inlineStr"/>
      <c r="AA455" t="inlineStr"/>
      <c r="AB455" t="inlineStr"/>
      <c r="AC455" t="inlineStr"/>
      <c r="AD455" t="inlineStr">
        <is>
          <t>לא נמצא בחיפוש ראשוני</t>
        </is>
      </c>
      <c r="AE455" t="inlineStr">
        <is>
          <t>חיפוש חלקי</t>
        </is>
      </c>
      <c r="AG455" t="inlineStr"/>
      <c r="AH455" t="inlineStr"/>
      <c r="AI455" t="inlineStr">
        <is>
          <t>Ellsworth's own list of countries where it has a presence (job-board page) does not include Israel; no Israeli distributor found.</t>
        </is>
      </c>
      <c r="AJ455" t="inlineStr">
        <is>
          <t>(877) 454-9224</t>
        </is>
      </c>
      <c r="AK455" t="inlineStr">
        <is>
          <t>info@ellsworth.com</t>
        </is>
      </c>
      <c r="AM455" t="inlineStr">
        <is>
          <t>https://www.ellsworth.com/contact-us/</t>
        </is>
      </c>
      <c r="AN455" t="inlineStr">
        <is>
          <t>https://www.ellsworth.com/contact-us/</t>
        </is>
      </c>
      <c r="AP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Y456" t="inlineStr">
        <is>
          <t>unknown</t>
        </is>
      </c>
      <c r="Z456" t="inlineStr"/>
      <c r="AA456" t="inlineStr"/>
      <c r="AB456" t="inlineStr"/>
      <c r="AC456" t="inlineStr"/>
      <c r="AD456" t="inlineStr">
        <is>
          <t>לא נמצא בחיפוש ראשוני</t>
        </is>
      </c>
      <c r="AE456" t="inlineStr">
        <is>
          <t>חיפוש חלקי</t>
        </is>
      </c>
      <c r="AG456" t="inlineStr"/>
      <c r="AH456" t="inlineStr"/>
      <c r="AI456" t="inlineStr">
        <is>
          <t>Elma Schmidbauer GmbH (Singen) sells in 80+ countries via distributors (DKSH, VWR listings); no Israel mention. Target website elmaz.com is wrong (elma-ultrasonic.com).</t>
        </is>
      </c>
      <c r="AJ456" t="inlineStr"/>
      <c r="AK456" t="inlineStr">
        <is>
          <t>sales@elma-ultrasonic.com</t>
        </is>
      </c>
      <c r="AM456" t="inlineStr">
        <is>
          <t>https://www.elma-ultrasonic.com/en/kontakt-beratung</t>
        </is>
      </c>
      <c r="AN456" t="inlineStr">
        <is>
          <t>https://www.elma-ultrasonic.com/en/kontakt-beratung</t>
        </is>
      </c>
      <c r="AP456" t="inlineStr">
        <is>
          <t>https://www.dutscher.com/search?initialFilters=brand:Elma | https://www.thomassci.com/browse-by/suppliers/elma | https://www.elma-ultrasonic.com/en/kontakt-beratung</t>
        </is>
      </c>
    </row>
    <row r="457">
      <c r="A457" t="n">
        <v>456</v>
      </c>
      <c r="B457" t="inlineStr">
        <is>
          <t>ELMI</t>
        </is>
      </c>
      <c r="C457" t="inlineStr">
        <is>
          <t>T</t>
        </is>
      </c>
      <c r="E457" t="inlineStr">
        <is>
          <t>https://www.thomassci.com/browse-by/suppliers/elmi</t>
        </is>
      </c>
      <c r="F457" t="inlineStr"/>
      <c r="J457" t="inlineStr"/>
      <c r="Y457" t="inlineStr">
        <is>
          <t>unknown</t>
        </is>
      </c>
      <c r="Z457" t="inlineStr"/>
      <c r="AA457" t="inlineStr"/>
      <c r="AB457" t="inlineStr"/>
      <c r="AC457" t="inlineStr"/>
      <c r="AD457" t="inlineStr">
        <is>
          <t>לא נמצא בסריקת המפיצים</t>
        </is>
      </c>
      <c r="AE457" t="inlineStr">
        <is>
          <t>סריקת אתרי מפיצים</t>
        </is>
      </c>
      <c r="AG457" t="inlineStr"/>
      <c r="AH457" t="inlineStr"/>
      <c r="AJ457" t="inlineStr"/>
      <c r="AP457" t="inlineStr">
        <is>
          <t>https://www.thomassci.com/browse-by/suppliers/elmi</t>
        </is>
      </c>
    </row>
    <row r="458">
      <c r="A458" t="n">
        <v>457</v>
      </c>
      <c r="B458" t="inlineStr">
        <is>
          <t>ELPRO</t>
        </is>
      </c>
      <c r="C458" t="inlineStr">
        <is>
          <t>T</t>
        </is>
      </c>
      <c r="E458" t="inlineStr">
        <is>
          <t>https://www.thomassci.com/browse-by/suppliers/elpro</t>
        </is>
      </c>
      <c r="F458" t="inlineStr"/>
      <c r="J458" t="inlineStr"/>
      <c r="Y458" t="inlineStr">
        <is>
          <t>unknown</t>
        </is>
      </c>
      <c r="Z458" t="inlineStr"/>
      <c r="AA458" t="inlineStr"/>
      <c r="AB458" t="inlineStr"/>
      <c r="AC458" t="inlineStr"/>
      <c r="AD458" t="inlineStr">
        <is>
          <t>לא נמצא בסריקת המפיצים</t>
        </is>
      </c>
      <c r="AE458" t="inlineStr">
        <is>
          <t>סריקת אתרי מפיצים</t>
        </is>
      </c>
      <c r="AG458" t="inlineStr"/>
      <c r="AH458" t="inlineStr"/>
      <c r="AJ458" t="inlineStr"/>
      <c r="AP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Y459" t="inlineStr">
        <is>
          <t>unknown</t>
        </is>
      </c>
      <c r="Z459" t="inlineStr"/>
      <c r="AA459" t="inlineStr"/>
      <c r="AB459" t="inlineStr"/>
      <c r="AC459" t="inlineStr"/>
      <c r="AD459" t="inlineStr">
        <is>
          <t>לא נמצא בסריקת המפיצים</t>
        </is>
      </c>
      <c r="AE459" t="inlineStr">
        <is>
          <t>סריקת אתרי מפיצים</t>
        </is>
      </c>
      <c r="AG459" t="inlineStr"/>
      <c r="AH459" t="inlineStr"/>
      <c r="AJ459" t="inlineStr">
        <is>
          <t>858-684-3190</t>
        </is>
      </c>
      <c r="AK459" t="inlineStr">
        <is>
          <t>info@embitec.com</t>
        </is>
      </c>
      <c r="AM459" t="inlineStr">
        <is>
          <t>https://embitec.com/contact/</t>
        </is>
      </c>
      <c r="AN459" t="inlineStr">
        <is>
          <t>https://embitec.com/contact/</t>
        </is>
      </c>
      <c r="AP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Y460" t="inlineStr">
        <is>
          <t>unknown</t>
        </is>
      </c>
      <c r="Z460" t="inlineStr"/>
      <c r="AA460" t="inlineStr"/>
      <c r="AB460" t="inlineStr"/>
      <c r="AC460" t="inlineStr"/>
      <c r="AD460" t="inlineStr">
        <is>
          <t>לא נמצא בסריקת המפיצים</t>
        </is>
      </c>
      <c r="AE460" t="inlineStr">
        <is>
          <t>סריקת אתרי מפיצים</t>
        </is>
      </c>
      <c r="AG460" t="inlineStr"/>
      <c r="AH460" t="inlineStr"/>
      <c r="AJ460" t="inlineStr"/>
      <c r="AP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Y461" t="inlineStr">
        <is>
          <t>unknown</t>
        </is>
      </c>
      <c r="Z461" t="inlineStr"/>
      <c r="AA461" t="inlineStr"/>
      <c r="AB461" t="inlineStr"/>
      <c r="AC461" t="inlineStr"/>
      <c r="AD461" t="inlineStr">
        <is>
          <t>לא נמצא בסריקת המפיצים</t>
        </is>
      </c>
      <c r="AE461" t="inlineStr">
        <is>
          <t>סריקת אתרי מפיצים</t>
        </is>
      </c>
      <c r="AG461" t="inlineStr"/>
      <c r="AH461" t="inlineStr"/>
      <c r="AJ461" t="inlineStr"/>
      <c r="AP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clearbit_verified</t>
        </is>
      </c>
      <c r="J462" t="inlineStr"/>
      <c r="Y462" t="inlineStr">
        <is>
          <t>unknown</t>
        </is>
      </c>
      <c r="Z462" t="inlineStr"/>
      <c r="AA462" t="inlineStr"/>
      <c r="AB462" t="inlineStr"/>
      <c r="AC462" t="inlineStr"/>
      <c r="AD462" t="inlineStr">
        <is>
          <t>לא נמצא בסריקת המפיצים</t>
        </is>
      </c>
      <c r="AE462" t="inlineStr">
        <is>
          <t>סריקת אתרי מפיצים</t>
        </is>
      </c>
      <c r="AG462" t="inlineStr"/>
      <c r="AH462" t="inlineStr"/>
      <c r="AJ462" t="inlineStr">
        <is>
          <t>1.800.338.9579</t>
        </is>
      </c>
      <c r="AK462" t="inlineStr">
        <is>
          <t>info@fortislife.com</t>
        </is>
      </c>
      <c r="AM462" t="inlineStr">
        <is>
          <t>https://www.fortislife.com/contact-us</t>
        </is>
      </c>
      <c r="AN462" t="inlineStr">
        <is>
          <t>https://www.fortislife.com/contact-us</t>
        </is>
      </c>
      <c r="AP462" t="inlineStr">
        <is>
          <t>https://www.quartzy.com/suppliers | https://www.fortislife.com/contact-us</t>
        </is>
      </c>
    </row>
    <row r="463">
      <c r="A463" t="n">
        <v>462</v>
      </c>
      <c r="B463" t="inlineStr">
        <is>
          <t>eNasco</t>
        </is>
      </c>
      <c r="C463" t="inlineStr">
        <is>
          <t>Q</t>
        </is>
      </c>
      <c r="F463" t="inlineStr">
        <is>
          <t>yes</t>
        </is>
      </c>
      <c r="J463" t="inlineStr"/>
      <c r="Y463" t="inlineStr">
        <is>
          <t>unknown</t>
        </is>
      </c>
      <c r="Z463" t="inlineStr"/>
      <c r="AA463" t="inlineStr"/>
      <c r="AB463" t="inlineStr"/>
      <c r="AC463" t="inlineStr"/>
      <c r="AD463" t="inlineStr">
        <is>
          <t>לא נמצא בסריקת המפיצים</t>
        </is>
      </c>
      <c r="AE463" t="inlineStr">
        <is>
          <t>סריקת אתרי מפיצים</t>
        </is>
      </c>
      <c r="AG463" t="inlineStr"/>
      <c r="AH463" t="inlineStr"/>
      <c r="AJ463" t="inlineStr"/>
      <c r="AP463" t="inlineStr">
        <is>
          <t>https://www.quartzy.com/suppliers</t>
        </is>
      </c>
    </row>
    <row r="464">
      <c r="A464" t="n">
        <v>463</v>
      </c>
      <c r="B464" t="inlineStr">
        <is>
          <t>Endecotts</t>
        </is>
      </c>
      <c r="C464" t="inlineStr">
        <is>
          <t>T</t>
        </is>
      </c>
      <c r="E464" t="inlineStr">
        <is>
          <t>https://www.thomassci.com/browse-by/suppliers/endecotts</t>
        </is>
      </c>
      <c r="F464" t="inlineStr"/>
      <c r="J464" t="inlineStr"/>
      <c r="Y464" t="inlineStr">
        <is>
          <t>unknown</t>
        </is>
      </c>
      <c r="Z464" t="inlineStr"/>
      <c r="AA464" t="inlineStr"/>
      <c r="AB464" t="inlineStr"/>
      <c r="AC464" t="inlineStr"/>
      <c r="AD464" t="inlineStr">
        <is>
          <t>לא נמצא בסריקת המפיצים</t>
        </is>
      </c>
      <c r="AE464" t="inlineStr">
        <is>
          <t>סריקת אתרי מפיצים</t>
        </is>
      </c>
      <c r="AG464" t="inlineStr"/>
      <c r="AH464" t="inlineStr"/>
      <c r="AJ464" t="inlineStr"/>
      <c r="AP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Y465" t="inlineStr">
        <is>
          <t>unknown</t>
        </is>
      </c>
      <c r="Z465" t="inlineStr"/>
      <c r="AA465" t="inlineStr"/>
      <c r="AB465" t="inlineStr"/>
      <c r="AC465" t="inlineStr"/>
      <c r="AD465" t="inlineStr">
        <is>
          <t>לא נמצא בחיפוש ראשוני</t>
        </is>
      </c>
      <c r="AE465" t="inlineStr">
        <is>
          <t>חיפוש חלקי</t>
        </is>
      </c>
      <c r="AG465" t="inlineStr"/>
      <c r="AH465" t="inlineStr"/>
      <c r="AI465" t="inlineStr">
        <is>
          <t>Results show Environmental Express (Charleston, SC) with distributors in NZ (John Morris Group) and via Core &amp; Main; Israeli hits (Chemitron, Veridis) are unrelated and do not mention the brand.</t>
        </is>
      </c>
      <c r="AJ465" t="inlineStr"/>
      <c r="AP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Y466" t="inlineStr">
        <is>
          <t>unknown</t>
        </is>
      </c>
      <c r="Z466" t="inlineStr"/>
      <c r="AA466" t="inlineStr"/>
      <c r="AB466" t="inlineStr"/>
      <c r="AC466" t="inlineStr"/>
      <c r="AD466" t="inlineStr">
        <is>
          <t>לא נמצא בסריקת המפיצים</t>
        </is>
      </c>
      <c r="AE466" t="inlineStr">
        <is>
          <t>סריקת אתרי מפיצים</t>
        </is>
      </c>
      <c r="AG466" t="inlineStr"/>
      <c r="AH466" t="inlineStr"/>
      <c r="AJ466" t="inlineStr">
        <is>
          <t>5106148312</t>
        </is>
      </c>
      <c r="AK466" t="inlineStr">
        <is>
          <t>orders@essvial.com</t>
        </is>
      </c>
      <c r="AM466" t="inlineStr">
        <is>
          <t>https://essvial.com/contact/</t>
        </is>
      </c>
      <c r="AN466" t="inlineStr">
        <is>
          <t>https://essvial.com/contact/</t>
        </is>
      </c>
      <c r="AP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Y467" t="inlineStr">
        <is>
          <t>unknown</t>
        </is>
      </c>
      <c r="Z467" t="inlineStr"/>
      <c r="AA467" t="inlineStr"/>
      <c r="AB467" t="inlineStr"/>
      <c r="AC467" t="inlineStr"/>
      <c r="AD467" t="inlineStr">
        <is>
          <t>לא נמצא בסריקת המפיצים</t>
        </is>
      </c>
      <c r="AE467" t="inlineStr">
        <is>
          <t>סריקת אתרי מפיצים</t>
        </is>
      </c>
      <c r="AG467" t="inlineStr"/>
      <c r="AH467" t="inlineStr"/>
      <c r="AJ467" t="inlineStr"/>
      <c r="AN467" t="inlineStr">
        <is>
          <t>https://www.enzo.com/</t>
        </is>
      </c>
      <c r="AP467" t="inlineStr">
        <is>
          <t>https://www.quartzy.com/suppliers | https://www.enzo.com/</t>
        </is>
      </c>
    </row>
    <row r="468">
      <c r="A468" t="n">
        <v>467</v>
      </c>
      <c r="B468" t="inlineStr">
        <is>
          <t>EP Scientific Products</t>
        </is>
      </c>
      <c r="C468" t="inlineStr">
        <is>
          <t>T</t>
        </is>
      </c>
      <c r="E468" t="inlineStr">
        <is>
          <t>https://www.thomassci.com/browse-by/suppliers/ep-scientific-products</t>
        </is>
      </c>
      <c r="F468" t="inlineStr"/>
      <c r="J468" t="inlineStr"/>
      <c r="Y468" t="inlineStr">
        <is>
          <t>unknown</t>
        </is>
      </c>
      <c r="Z468" t="inlineStr"/>
      <c r="AA468" t="inlineStr"/>
      <c r="AB468" t="inlineStr"/>
      <c r="AC468" t="inlineStr"/>
      <c r="AD468" t="inlineStr">
        <is>
          <t>לא נמצא בסריקת המפיצים</t>
        </is>
      </c>
      <c r="AE468" t="inlineStr">
        <is>
          <t>סריקת אתרי מפיצים</t>
        </is>
      </c>
      <c r="AG468" t="inlineStr"/>
      <c r="AH468" t="inlineStr"/>
      <c r="AJ468" t="inlineStr"/>
      <c r="AP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Y469" t="inlineStr">
        <is>
          <t>unknown</t>
        </is>
      </c>
      <c r="Z469" t="inlineStr"/>
      <c r="AA469" t="inlineStr"/>
      <c r="AB469" t="inlineStr"/>
      <c r="AC469" t="inlineStr"/>
      <c r="AD469" t="inlineStr">
        <is>
          <t>לא נמצא בסריקת המפיצים</t>
        </is>
      </c>
      <c r="AE469" t="inlineStr">
        <is>
          <t>סריקת אתרי מפיצים</t>
        </is>
      </c>
      <c r="AG469" t="inlineStr"/>
      <c r="AH469" t="inlineStr"/>
      <c r="AJ469" t="inlineStr">
        <is>
          <t>65 6221 2660</t>
        </is>
      </c>
      <c r="AK469" t="inlineStr">
        <is>
          <t>info@epic-med.com</t>
        </is>
      </c>
      <c r="AM469" t="inlineStr">
        <is>
          <t>https://www.epic-med.com/contact-us</t>
        </is>
      </c>
      <c r="AN469" t="inlineStr">
        <is>
          <t>https://www.epic-med.com/contact-us</t>
        </is>
      </c>
      <c r="AP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Y470" t="inlineStr">
        <is>
          <t>unknown</t>
        </is>
      </c>
      <c r="Z470" t="inlineStr"/>
      <c r="AA470" t="inlineStr"/>
      <c r="AB470" t="inlineStr"/>
      <c r="AC470" t="inlineStr"/>
      <c r="AD470" t="inlineStr">
        <is>
          <t>לא נמצא בסריקת המפיצים</t>
        </is>
      </c>
      <c r="AE470" t="inlineStr">
        <is>
          <t>סריקת אתרי מפיצים</t>
        </is>
      </c>
      <c r="AG470" t="inlineStr"/>
      <c r="AH470" t="inlineStr"/>
      <c r="AJ470" t="inlineStr">
        <is>
          <t>+18553742461</t>
        </is>
      </c>
      <c r="AK470" t="inlineStr">
        <is>
          <t>sales@epicypher.com</t>
        </is>
      </c>
      <c r="AM470" t="inlineStr">
        <is>
          <t>https://www.epicypher.com/contact-us/</t>
        </is>
      </c>
      <c r="AN470" t="inlineStr">
        <is>
          <t>https://www.epicypher.com/contact-us/</t>
        </is>
      </c>
      <c r="AP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P471" t="n">
        <v>4125</v>
      </c>
      <c r="Q471" t="n">
        <v>2025</v>
      </c>
      <c r="R471" t="inlineStr">
        <is>
          <t>company</t>
        </is>
      </c>
      <c r="S471" t="inlineStr">
        <is>
          <t>prior</t>
        </is>
      </c>
      <c r="T471" t="n">
        <v>1016</v>
      </c>
      <c r="U471" t="inlineStr">
        <is>
          <t>EUR 924 million</t>
        </is>
      </c>
      <c r="V471" t="inlineStr">
        <is>
          <t>FY2025</t>
        </is>
      </c>
      <c r="W471" t="inlineStr">
        <is>
          <t>company</t>
        </is>
      </c>
      <c r="X471" t="inlineStr">
        <is>
          <t>prior</t>
        </is>
      </c>
      <c r="Y471" t="inlineStr">
        <is>
          <t>reported</t>
        </is>
      </c>
      <c r="Z471" t="inlineStr">
        <is>
          <t>Eppendorf Research plus</t>
        </is>
      </c>
      <c r="AA471" t="inlineStr">
        <is>
          <t>Centrifuge 5430 / 5910 Ri</t>
        </is>
      </c>
      <c r="AB471" t="inlineStr">
        <is>
          <t>epMotion</t>
        </is>
      </c>
      <c r="AC471" t="inlineStr">
        <is>
          <t>prior</t>
        </is>
      </c>
      <c r="AD471" t="inlineStr">
        <is>
          <t>מפיץ/נציג בישראל</t>
        </is>
      </c>
      <c r="AE471" t="inlineStr">
        <is>
          <t>אומת</t>
        </is>
      </c>
      <c r="AF471" t="n">
        <v>2026</v>
      </c>
      <c r="AG471" t="inlineStr">
        <is>
          <t>Lumitron Ltd. (Comtel Technologies &amp; Engineering group)</t>
        </is>
      </c>
      <c r="AH471" t="inlineStr">
        <is>
          <t>Lumitron Ltd. (Comtel Technologies &amp; Engineering group): +972 52-525-6287</t>
        </is>
      </c>
      <c r="AI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J471" t="inlineStr">
        <is>
          <t>+49 40 53801-0</t>
        </is>
      </c>
      <c r="AK471" t="inlineStr">
        <is>
          <t>eppendorf@eppendorf.de</t>
        </is>
      </c>
      <c r="AL471" t="inlineStr">
        <is>
          <t>Barkhausenweg 1, 22339 Hamburg, Germany</t>
        </is>
      </c>
      <c r="AM471" t="inlineStr">
        <is>
          <t>https://www.eppendorf.com/us-en/company-careers/news-media/press-contact/</t>
        </is>
      </c>
      <c r="AN471" t="inlineStr">
        <is>
          <t>https://www.eppendorf.com/be-en/company-careers/legal/imprint/</t>
        </is>
      </c>
      <c r="AP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Y472" t="inlineStr">
        <is>
          <t>unknown</t>
        </is>
      </c>
      <c r="Z472" t="inlineStr"/>
      <c r="AA472" t="inlineStr"/>
      <c r="AB472" t="inlineStr"/>
      <c r="AC472" t="inlineStr"/>
      <c r="AD472" t="inlineStr">
        <is>
          <t>לא נמצא בחיפוש ראשוני</t>
        </is>
      </c>
      <c r="AE472" t="inlineStr">
        <is>
          <t>חיפוש חלקי</t>
        </is>
      </c>
      <c r="AG472" t="inlineStr"/>
      <c r="AH472" t="inlineStr"/>
      <c r="AI472" t="inlineStr">
        <is>
          <t>Only Epredia distribution deals for US/UK/Germany/Japan (Lunaphore LabSat, Paige, Aiforia, Medline); nothing for Israel.</t>
        </is>
      </c>
      <c r="AJ472" t="inlineStr"/>
      <c r="AP472" t="inlineStr">
        <is>
          <t>https://www.dutscher.com/search?initialFilters=brand:Epredia | https://www.thomassci.com/browse-by/suppliers/erie-scientific</t>
        </is>
      </c>
    </row>
    <row r="473">
      <c r="A473" t="n">
        <v>472</v>
      </c>
      <c r="B473" t="inlineStr">
        <is>
          <t>Equipment Presses</t>
        </is>
      </c>
      <c r="C473" t="inlineStr">
        <is>
          <t>T</t>
        </is>
      </c>
      <c r="E473" t="inlineStr">
        <is>
          <t>https://www.thomassci.com/browse-by/suppliers/equipment-presses</t>
        </is>
      </c>
      <c r="F473" t="inlineStr"/>
      <c r="J473" t="inlineStr"/>
      <c r="Y473" t="inlineStr">
        <is>
          <t>unknown</t>
        </is>
      </c>
      <c r="Z473" t="inlineStr"/>
      <c r="AA473" t="inlineStr"/>
      <c r="AB473" t="inlineStr"/>
      <c r="AC473" t="inlineStr"/>
      <c r="AD473" t="inlineStr">
        <is>
          <t>לא נמצא בסריקת המפיצים</t>
        </is>
      </c>
      <c r="AE473" t="inlineStr">
        <is>
          <t>סריקת אתרי מפיצים</t>
        </is>
      </c>
      <c r="AG473" t="inlineStr"/>
      <c r="AH473" t="inlineStr"/>
      <c r="AJ473" t="inlineStr"/>
      <c r="AP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Y474" t="inlineStr">
        <is>
          <t>unknown</t>
        </is>
      </c>
      <c r="Z474" t="inlineStr"/>
      <c r="AA474" t="inlineStr"/>
      <c r="AB474" t="inlineStr"/>
      <c r="AC474" t="inlineStr"/>
      <c r="AD474" t="inlineStr">
        <is>
          <t>לא נמצא בסריקת המפיצים</t>
        </is>
      </c>
      <c r="AE474" t="inlineStr">
        <is>
          <t>סריקת אתרי מפיצים</t>
        </is>
      </c>
      <c r="AG474" t="inlineStr"/>
      <c r="AH474" t="inlineStr"/>
      <c r="AJ474" t="inlineStr"/>
      <c r="AP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Y475" t="inlineStr">
        <is>
          <t>unknown</t>
        </is>
      </c>
      <c r="Z475" t="inlineStr"/>
      <c r="AA475" t="inlineStr"/>
      <c r="AB475" t="inlineStr"/>
      <c r="AC475" t="inlineStr"/>
      <c r="AD475" t="inlineStr">
        <is>
          <t>לא נמצא בסריקת המפיצים</t>
        </is>
      </c>
      <c r="AE475" t="inlineStr">
        <is>
          <t>סריקת אתרי מפיצים</t>
        </is>
      </c>
      <c r="AG475" t="inlineStr"/>
      <c r="AH475" t="inlineStr"/>
      <c r="AJ475" t="inlineStr"/>
      <c r="AP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Y476" t="inlineStr">
        <is>
          <t>unknown</t>
        </is>
      </c>
      <c r="Z476" t="inlineStr"/>
      <c r="AA476" t="inlineStr"/>
      <c r="AB476" t="inlineStr"/>
      <c r="AC476" t="inlineStr"/>
      <c r="AD476" t="inlineStr">
        <is>
          <t>לא נמצא בסריקת המפיצים</t>
        </is>
      </c>
      <c r="AE476" t="inlineStr">
        <is>
          <t>סריקת אתרי מפיצים</t>
        </is>
      </c>
      <c r="AG476" t="inlineStr"/>
      <c r="AH476" t="inlineStr"/>
      <c r="AJ476" t="inlineStr">
        <is>
          <t>800-225-8238</t>
        </is>
      </c>
      <c r="AK476" t="inlineStr">
        <is>
          <t>support@ergodyne.com</t>
        </is>
      </c>
      <c r="AM476" t="inlineStr">
        <is>
          <t>https://www.ergodyne.com/contact-us</t>
        </is>
      </c>
      <c r="AN476" t="inlineStr">
        <is>
          <t>https://www.ergodyne.com/contact-us</t>
        </is>
      </c>
      <c r="AP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Y477" t="inlineStr">
        <is>
          <t>unknown</t>
        </is>
      </c>
      <c r="Z477" t="inlineStr"/>
      <c r="AA477" t="inlineStr"/>
      <c r="AB477" t="inlineStr"/>
      <c r="AC477" t="inlineStr"/>
      <c r="AD477" t="inlineStr">
        <is>
          <t>לא נמצא בחיפוש ראשוני</t>
        </is>
      </c>
      <c r="AE477" t="inlineStr">
        <is>
          <t>חיפוש חלקי</t>
        </is>
      </c>
      <c r="AG477" t="inlineStr"/>
      <c r="AH477" t="inlineStr"/>
      <c r="AI477" t="inlineStr">
        <is>
          <t>Erlab reports a dealer network in 40+ countries, none named for Israel; the Nanomix 'eLab'/Biotron Ltd (2022) hit is an unrelated company; Eldan/Rhenium appeared with no link.</t>
        </is>
      </c>
      <c r="AJ477" t="inlineStr">
        <is>
          <t>(800) 964-4434</t>
        </is>
      </c>
      <c r="AM477" t="inlineStr">
        <is>
          <t>https://www.erlab.com/en/company/contact-quote-request/</t>
        </is>
      </c>
      <c r="AN477" t="inlineStr">
        <is>
          <t>https://www.erlab.com/en/company/contact-quote-request/</t>
        </is>
      </c>
      <c r="AP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P478" t="n">
        <v>1600</v>
      </c>
      <c r="Q478" t="n">
        <v>2025</v>
      </c>
      <c r="R478" t="inlineStr">
        <is>
          <t>company</t>
        </is>
      </c>
      <c r="S478" t="inlineStr">
        <is>
          <t>prior</t>
        </is>
      </c>
      <c r="T478" t="n">
        <v>115</v>
      </c>
      <c r="U478" t="inlineStr">
        <is>
          <t>USD ~115 million (aggregator estimate; RocketReach gives USD 18.5M)</t>
        </is>
      </c>
      <c r="V478" t="inlineStr">
        <is>
          <t>undated aggregator estimate (c. 2024)</t>
        </is>
      </c>
      <c r="W478" t="inlineStr">
        <is>
          <t>estimate</t>
        </is>
      </c>
      <c r="X478" t="inlineStr">
        <is>
          <t>prior</t>
        </is>
      </c>
      <c r="Y478" t="inlineStr">
        <is>
          <t>mixed</t>
        </is>
      </c>
      <c r="Z478" t="inlineStr">
        <is>
          <t>Airstream Class II (Gen 3)</t>
        </is>
      </c>
      <c r="AA478" t="inlineStr">
        <is>
          <t>CelCulture</t>
        </is>
      </c>
      <c r="AB478" t="inlineStr">
        <is>
          <t>Isoclean / Streamline isolators</t>
        </is>
      </c>
      <c r="AC478" t="inlineStr">
        <is>
          <t>prior</t>
        </is>
      </c>
      <c r="AD478" t="inlineStr">
        <is>
          <t>מפיץ/נציג בישראל</t>
        </is>
      </c>
      <c r="AE478" t="inlineStr">
        <is>
          <t>אומת</t>
        </is>
      </c>
      <c r="AF478" t="n">
        <v>2026</v>
      </c>
      <c r="AG478" t="inlineStr">
        <is>
          <t>Danyel Biotech</t>
        </is>
      </c>
      <c r="AH478" t="inlineStr">
        <is>
          <t>Danyel Biotech: 1-800-711-911 (also +972 8-936-6066)</t>
        </is>
      </c>
      <c r="AI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J478" t="inlineStr">
        <is>
          <t>+65 6542 0833</t>
        </is>
      </c>
      <c r="AK478" t="inlineStr">
        <is>
          <t>mail@escolifesciences.com</t>
        </is>
      </c>
      <c r="AL478" t="inlineStr">
        <is>
          <t>19 Changi South Street 1, Singapore 486777</t>
        </is>
      </c>
      <c r="AM478" t="inlineStr">
        <is>
          <t>https://www.escolifesciences.com/contact-us</t>
        </is>
      </c>
      <c r="AN478" t="inlineStr">
        <is>
          <t>https://careers.escolifesciences.com/about-us</t>
        </is>
      </c>
      <c r="AP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Y479" t="inlineStr">
        <is>
          <t>unknown</t>
        </is>
      </c>
      <c r="Z479" t="inlineStr"/>
      <c r="AA479" t="inlineStr"/>
      <c r="AB479" t="inlineStr"/>
      <c r="AC479" t="inlineStr"/>
      <c r="AD479" t="inlineStr">
        <is>
          <t>לא נמצא בסריקת המפיצים</t>
        </is>
      </c>
      <c r="AE479" t="inlineStr">
        <is>
          <t>סריקת אתרי מפיצים</t>
        </is>
      </c>
      <c r="AG479" t="inlineStr"/>
      <c r="AH479" t="inlineStr"/>
      <c r="AJ479" t="inlineStr"/>
      <c r="AP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Y480" t="inlineStr">
        <is>
          <t>unknown</t>
        </is>
      </c>
      <c r="Z480" t="inlineStr"/>
      <c r="AA480" t="inlineStr"/>
      <c r="AB480" t="inlineStr"/>
      <c r="AC480" t="inlineStr"/>
      <c r="AD480" t="inlineStr">
        <is>
          <t>לא נמצא בחיפוש ראשוני</t>
        </is>
      </c>
      <c r="AE480" t="inlineStr">
        <is>
          <t>חיפוש חלקי</t>
        </is>
      </c>
      <c r="AG480" t="inlineStr"/>
      <c r="AH480" t="inlineStr"/>
      <c r="AI480" t="inlineStr">
        <is>
          <t>Ethos Biosciences (Logan Township, NJ; Ott Group) distributes via sister companies; Israeli hits (Enco, Eldan, Tivan/OZ Biosciences release) do not mention Ethos.</t>
        </is>
      </c>
      <c r="AJ480" t="inlineStr">
        <is>
          <t>(856) 224-0900</t>
        </is>
      </c>
      <c r="AM480" t="inlineStr">
        <is>
          <t>https://www.ethosbiosciences.com/contact</t>
        </is>
      </c>
      <c r="AN480" t="inlineStr">
        <is>
          <t>https://www.ethosbiosciences.com/contact</t>
        </is>
      </c>
      <c r="AP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Y481" t="inlineStr">
        <is>
          <t>unknown</t>
        </is>
      </c>
      <c r="Z481" t="inlineStr"/>
      <c r="AA481" t="inlineStr"/>
      <c r="AB481" t="inlineStr"/>
      <c r="AC481" t="inlineStr"/>
      <c r="AD481" t="inlineStr">
        <is>
          <t>לא נמצא בסריקת המפיצים</t>
        </is>
      </c>
      <c r="AE481" t="inlineStr">
        <is>
          <t>סריקת אתרי מפיצים</t>
        </is>
      </c>
      <c r="AG481" t="inlineStr"/>
      <c r="AH481" t="inlineStr"/>
      <c r="AJ481" t="inlineStr"/>
      <c r="AP481" t="inlineStr">
        <is>
          <t>https://www.quartzy.com/suppliers</t>
        </is>
      </c>
    </row>
    <row r="482">
      <c r="A482" t="n">
        <v>481</v>
      </c>
      <c r="B482" t="inlineStr">
        <is>
          <t>Eurogentec</t>
        </is>
      </c>
      <c r="C482" t="inlineStr">
        <is>
          <t>Q</t>
        </is>
      </c>
      <c r="F482" t="inlineStr">
        <is>
          <t>yes</t>
        </is>
      </c>
      <c r="H482" t="inlineStr">
        <is>
          <t>https://eurogentec.com</t>
        </is>
      </c>
      <c r="I482" t="inlineStr">
        <is>
          <t>clearbit_verified</t>
        </is>
      </c>
      <c r="J482" t="inlineStr"/>
      <c r="Y482" t="inlineStr">
        <is>
          <t>unknown</t>
        </is>
      </c>
      <c r="Z482" t="inlineStr"/>
      <c r="AA482" t="inlineStr"/>
      <c r="AB482" t="inlineStr"/>
      <c r="AC482" t="inlineStr"/>
      <c r="AD482" t="inlineStr">
        <is>
          <t>לא נמצא בסריקת המפיצים</t>
        </is>
      </c>
      <c r="AE482" t="inlineStr">
        <is>
          <t>סריקת אתרי מפיצים</t>
        </is>
      </c>
      <c r="AG482" t="inlineStr"/>
      <c r="AH482" t="inlineStr"/>
      <c r="AJ482" t="inlineStr">
        <is>
          <t>003243727400</t>
        </is>
      </c>
      <c r="AK482" t="inlineStr">
        <is>
          <t>info@eurogentec.com</t>
        </is>
      </c>
      <c r="AM482" t="inlineStr">
        <is>
          <t>https://www.eurogentec.com/en/gmp-manufacturing-contact-form</t>
        </is>
      </c>
      <c r="AN482" t="inlineStr">
        <is>
          <t>https://www.eurogentec.com/en/gmp-manufacturing-contact-form</t>
        </is>
      </c>
      <c r="AP482" t="inlineStr">
        <is>
          <t>https://www.quartzy.com/suppliers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Y483" t="inlineStr">
        <is>
          <t>unknown</t>
        </is>
      </c>
      <c r="Z483" t="inlineStr"/>
      <c r="AA483" t="inlineStr"/>
      <c r="AB483" t="inlineStr"/>
      <c r="AC483" t="inlineStr"/>
      <c r="AD483" t="inlineStr">
        <is>
          <t>לא נמצא בסריקת המפיצים</t>
        </is>
      </c>
      <c r="AE483" t="inlineStr">
        <is>
          <t>סריקת אתרי מפיצים</t>
        </is>
      </c>
      <c r="AG483" t="inlineStr"/>
      <c r="AH483" t="inlineStr"/>
      <c r="AJ483" t="inlineStr"/>
      <c r="AK483" t="inlineStr">
        <is>
          <t>sales@eurx.com.pl</t>
        </is>
      </c>
      <c r="AM483" t="inlineStr">
        <is>
          <t>https://eurx.com.pl/contact/</t>
        </is>
      </c>
      <c r="AN483" t="inlineStr">
        <is>
          <t>https://eurx.com.pl/contact/</t>
        </is>
      </c>
      <c r="AP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Y484" t="inlineStr">
        <is>
          <t>unknown</t>
        </is>
      </c>
      <c r="Z484" t="inlineStr"/>
      <c r="AA484" t="inlineStr"/>
      <c r="AB484" t="inlineStr"/>
      <c r="AC484" t="inlineStr"/>
      <c r="AD484" t="inlineStr">
        <is>
          <t>לא נמצא בסריקת המפיצים</t>
        </is>
      </c>
      <c r="AE484" t="inlineStr">
        <is>
          <t>סריקת אתרי מפיצים</t>
        </is>
      </c>
      <c r="AG484" t="inlineStr"/>
      <c r="AH484" t="inlineStr"/>
      <c r="AJ484" t="inlineStr">
        <is>
          <t>800-466-7873</t>
        </is>
      </c>
      <c r="AK484" t="inlineStr">
        <is>
          <t>customerservice@evoqua.com</t>
        </is>
      </c>
      <c r="AM484" t="inlineStr">
        <is>
          <t>https://www.xylem.com/en-us/contact-us/</t>
        </is>
      </c>
      <c r="AN484" t="inlineStr">
        <is>
          <t>https://www.xylem.com/en-us/contact-us/</t>
        </is>
      </c>
      <c r="AP484" t="inlineStr">
        <is>
          <t>https://www.thomassci.com/browse-by/suppliers/evoqua-water-technologies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Y485" t="inlineStr">
        <is>
          <t>unknown</t>
        </is>
      </c>
      <c r="Z485" t="inlineStr"/>
      <c r="AA485" t="inlineStr"/>
      <c r="AB485" t="inlineStr"/>
      <c r="AC485" t="inlineStr"/>
      <c r="AD485" t="inlineStr">
        <is>
          <t>לא נמצא בסריקת המפיצים</t>
        </is>
      </c>
      <c r="AE485" t="inlineStr">
        <is>
          <t>סריקת אתרי מפיצים</t>
        </is>
      </c>
      <c r="AG485" t="inlineStr"/>
      <c r="AH485" t="inlineStr"/>
      <c r="AJ485" t="inlineStr">
        <is>
          <t>727-524-7732</t>
        </is>
      </c>
      <c r="AK485" t="inlineStr">
        <is>
          <t>info@exaxol.com</t>
        </is>
      </c>
      <c r="AM485" t="inlineStr">
        <is>
          <t>https://exaxol.com/pages/contact-us</t>
        </is>
      </c>
      <c r="AN485" t="inlineStr">
        <is>
          <t>https://exaxol.com/pages/contact-us</t>
        </is>
      </c>
      <c r="AP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Y486" t="inlineStr">
        <is>
          <t>unknown</t>
        </is>
      </c>
      <c r="Z486" t="inlineStr"/>
      <c r="AA486" t="inlineStr"/>
      <c r="AB486" t="inlineStr"/>
      <c r="AC486" t="inlineStr"/>
      <c r="AD486" t="inlineStr">
        <is>
          <t>לא נמצא בחיפוש ראשוני</t>
        </is>
      </c>
      <c r="AE486" t="inlineStr">
        <is>
          <t>חיפוש חלקי</t>
        </is>
      </c>
      <c r="AG486" t="inlineStr"/>
      <c r="AH486" t="inlineStr"/>
      <c r="AI486" t="inlineStr">
        <is>
          <t>Only company profiles (Victorville, CA) and a New Zealand distributor (Mediray); no Israeli entity connected.</t>
        </is>
      </c>
      <c r="AJ486" t="inlineStr">
        <is>
          <t>(760) 246-4545</t>
        </is>
      </c>
      <c r="AK486" t="inlineStr">
        <is>
          <t>info@excelscientific.com</t>
        </is>
      </c>
      <c r="AM486" t="inlineStr">
        <is>
          <t>https://excelscientific.com/contact/</t>
        </is>
      </c>
      <c r="AN486" t="inlineStr">
        <is>
          <t>https://excelscientific.com/contact/</t>
        </is>
      </c>
      <c r="AP486" t="inlineStr">
        <is>
          <t>https://www.quartzy.com/suppliers | https://www.thomassci.com/browse-by/suppliers/excel-scientific | https://excelscientific.com/contact/</t>
        </is>
      </c>
    </row>
    <row r="487">
      <c r="A487" t="n">
        <v>486</v>
      </c>
      <c r="B487" t="inlineStr">
        <is>
          <t>Excelta</t>
        </is>
      </c>
      <c r="C487" t="inlineStr">
        <is>
          <t>T</t>
        </is>
      </c>
      <c r="E487" t="inlineStr">
        <is>
          <t>https://www.thomassci.com/browse-by/suppliers/excelta</t>
        </is>
      </c>
      <c r="F487" t="inlineStr"/>
      <c r="J487" t="inlineStr"/>
      <c r="Y487" t="inlineStr">
        <is>
          <t>unknown</t>
        </is>
      </c>
      <c r="Z487" t="inlineStr"/>
      <c r="AA487" t="inlineStr"/>
      <c r="AB487" t="inlineStr"/>
      <c r="AC487" t="inlineStr"/>
      <c r="AD487" t="inlineStr">
        <is>
          <t>לא נמצא בסריקת המפיצים</t>
        </is>
      </c>
      <c r="AE487" t="inlineStr">
        <is>
          <t>סריקת אתרי מפיצים</t>
        </is>
      </c>
      <c r="AG487" t="inlineStr"/>
      <c r="AH487" t="inlineStr"/>
      <c r="AJ487" t="inlineStr"/>
      <c r="AP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Y488" t="inlineStr">
        <is>
          <t>unknown</t>
        </is>
      </c>
      <c r="Z488" t="inlineStr"/>
      <c r="AA488" t="inlineStr"/>
      <c r="AB488" t="inlineStr"/>
      <c r="AC488" t="inlineStr"/>
      <c r="AD488" t="inlineStr">
        <is>
          <t>לא נמצא בסריקת המפיצים</t>
        </is>
      </c>
      <c r="AE488" t="inlineStr">
        <is>
          <t>סריקת אתרי מפיצים</t>
        </is>
      </c>
      <c r="AG488" t="inlineStr"/>
      <c r="AH488" t="inlineStr"/>
      <c r="AJ488" t="inlineStr">
        <is>
          <t>1 514 222-3687</t>
        </is>
      </c>
      <c r="AM488" t="inlineStr">
        <is>
          <t>https://exelinternational.com/contact-us/</t>
        </is>
      </c>
      <c r="AN488" t="inlineStr">
        <is>
          <t>https://exelinternational.com/contact-us/</t>
        </is>
      </c>
      <c r="AP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Y489" t="inlineStr">
        <is>
          <t>unknown</t>
        </is>
      </c>
      <c r="Z489" t="inlineStr"/>
      <c r="AA489" t="inlineStr"/>
      <c r="AB489" t="inlineStr"/>
      <c r="AC489" t="inlineStr"/>
      <c r="AD489" t="inlineStr">
        <is>
          <t>לא נמצא בסריקת המפיצים</t>
        </is>
      </c>
      <c r="AE489" t="inlineStr">
        <is>
          <t>סריקת אתרי מפיצים</t>
        </is>
      </c>
      <c r="AG489" t="inlineStr"/>
      <c r="AH489" t="inlineStr"/>
      <c r="AJ489" t="inlineStr">
        <is>
          <t>024 7632 3223</t>
        </is>
      </c>
      <c r="AK489" t="inlineStr">
        <is>
          <t>info@exeteranalytical.co.uk</t>
        </is>
      </c>
      <c r="AM489" t="inlineStr">
        <is>
          <t>https://www.exeteranalytical.co.uk/contact-us</t>
        </is>
      </c>
      <c r="AN489" t="inlineStr">
        <is>
          <t>https://www.exeteranalytical.co.uk/contact-us</t>
        </is>
      </c>
      <c r="AP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O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Y490" t="inlineStr">
        <is>
          <t>unknown</t>
        </is>
      </c>
      <c r="Z490" t="inlineStr"/>
      <c r="AA490" t="inlineStr"/>
      <c r="AB490" t="inlineStr"/>
      <c r="AC490" t="inlineStr"/>
      <c r="AD490" t="inlineStr">
        <is>
          <t>לא נמצא בחיפוש ראשוני</t>
        </is>
      </c>
      <c r="AE490" t="inlineStr">
        <is>
          <t>חיפוש חלקי</t>
        </is>
      </c>
      <c r="AG490" t="inlineStr"/>
      <c r="AH490" t="inlineStr"/>
      <c r="AI490" t="inlineStr">
        <is>
          <t>Distributors named only for Australia/NZ (ATA Scientific) and UK/Ireland (Analytik); Israeli distributors Enco/Eldan appeared with no link to EXODUS Bio.</t>
        </is>
      </c>
      <c r="AJ490" t="inlineStr"/>
      <c r="AP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Y491" t="inlineStr">
        <is>
          <t>unknown</t>
        </is>
      </c>
      <c r="Z491" t="inlineStr"/>
      <c r="AA491" t="inlineStr"/>
      <c r="AB491" t="inlineStr"/>
      <c r="AC491" t="inlineStr"/>
      <c r="AD491" t="inlineStr">
        <is>
          <t>לא נמצא בסריקת המפיצים</t>
        </is>
      </c>
      <c r="AE491" t="inlineStr">
        <is>
          <t>סריקת אתרי מפיצים</t>
        </is>
      </c>
      <c r="AG491" t="inlineStr"/>
      <c r="AH491" t="inlineStr"/>
      <c r="AJ491" t="inlineStr">
        <is>
          <t>+5307472034</t>
        </is>
      </c>
      <c r="AK491" t="inlineStr">
        <is>
          <t>orders@expressionsystems.com</t>
        </is>
      </c>
      <c r="AM491" t="inlineStr">
        <is>
          <t>https://expressionsystems.com/contact/</t>
        </is>
      </c>
      <c r="AN491" t="inlineStr">
        <is>
          <t>https://expressionsystems.com/contact/</t>
        </is>
      </c>
      <c r="AP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Y492" t="inlineStr">
        <is>
          <t>unknown</t>
        </is>
      </c>
      <c r="Z492" t="inlineStr"/>
      <c r="AA492" t="inlineStr"/>
      <c r="AB492" t="inlineStr"/>
      <c r="AC492" t="inlineStr"/>
      <c r="AD492" t="inlineStr">
        <is>
          <t>לא נמצא בסריקת המפיצים</t>
        </is>
      </c>
      <c r="AE492" t="inlineStr">
        <is>
          <t>סריקת אתרי מפיצים</t>
        </is>
      </c>
      <c r="AG492" t="inlineStr"/>
      <c r="AH492" t="inlineStr"/>
      <c r="AJ492" t="inlineStr"/>
      <c r="AP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Y493" t="inlineStr">
        <is>
          <t>unknown</t>
        </is>
      </c>
      <c r="Z493" t="inlineStr"/>
      <c r="AA493" t="inlineStr"/>
      <c r="AB493" t="inlineStr"/>
      <c r="AC493" t="inlineStr"/>
      <c r="AD493" t="inlineStr">
        <is>
          <t>לא נמצא בסריקת המפיצים</t>
        </is>
      </c>
      <c r="AE493" t="inlineStr">
        <is>
          <t>סריקת אתרי מפיצים</t>
        </is>
      </c>
      <c r="AG493" t="inlineStr"/>
      <c r="AH493" t="inlineStr"/>
      <c r="AJ493" t="inlineStr"/>
      <c r="AP493" t="inlineStr">
        <is>
          <t>https://www.thomassci.com/browse-by/suppliers/eyesaline-by-pip-global-safety</t>
        </is>
      </c>
    </row>
    <row r="494">
      <c r="A494" t="n">
        <v>493</v>
      </c>
      <c r="B494" t="inlineStr">
        <is>
          <t>EZ Biosystems</t>
        </is>
      </c>
      <c r="C494" t="inlineStr">
        <is>
          <t>Q+Q+</t>
        </is>
      </c>
      <c r="F494" t="inlineStr">
        <is>
          <t>yes +new</t>
        </is>
      </c>
      <c r="J494" t="inlineStr"/>
      <c r="O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Y494" t="inlineStr">
        <is>
          <t>unknown</t>
        </is>
      </c>
      <c r="Z494" t="inlineStr"/>
      <c r="AA494" t="inlineStr"/>
      <c r="AB494" t="inlineStr"/>
      <c r="AC494" t="inlineStr"/>
      <c r="AD494" t="inlineStr">
        <is>
          <t>מפיץ/נציג בישראל</t>
        </is>
      </c>
      <c r="AE494" t="inlineStr">
        <is>
          <t>סריקת אתרי מפיצים</t>
        </is>
      </c>
      <c r="AF494" t="n">
        <v>2026</v>
      </c>
      <c r="AG494" t="inlineStr">
        <is>
          <t>Tivan Biotech</t>
        </is>
      </c>
      <c r="AH494" t="inlineStr">
        <is>
          <t>Tivan Biotech: 077-4701591 customerservice@tivanbiotech.com</t>
        </is>
      </c>
      <c r="AI494" t="inlineStr">
        <is>
          <t>No result mentions EZ Biosystems; hits concern other companies' Israeli distributors (Eldan for Element Biosciences, Tivan Biotech for OZ Biosciences, Eisenberg Bros for Fluidigm, Rhenium for Life Technologies).</t>
        </is>
      </c>
      <c r="AJ494" t="inlineStr"/>
      <c r="AP494" t="inlineStr">
        <is>
          <t>https://www.quartzy.com/suppliers | https://info.quartzy.com/new-suppliers | https://tivanbiotech.com/manufacturers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Y495" t="inlineStr">
        <is>
          <t>unknown</t>
        </is>
      </c>
      <c r="Z495" t="inlineStr"/>
      <c r="AA495" t="inlineStr"/>
      <c r="AB495" t="inlineStr"/>
      <c r="AC495" t="inlineStr"/>
      <c r="AD495" t="inlineStr">
        <is>
          <t>לא נמצא בסריקת המפיצים</t>
        </is>
      </c>
      <c r="AE495" t="inlineStr">
        <is>
          <t>סריקת אתרי מפיצים</t>
        </is>
      </c>
      <c r="AG495" t="inlineStr"/>
      <c r="AH495" t="inlineStr"/>
      <c r="AJ495" t="inlineStr"/>
      <c r="AP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Y496" t="inlineStr">
        <is>
          <t>unknown</t>
        </is>
      </c>
      <c r="Z496" t="inlineStr"/>
      <c r="AA496" t="inlineStr"/>
      <c r="AB496" t="inlineStr"/>
      <c r="AC496" t="inlineStr"/>
      <c r="AD496" t="inlineStr">
        <is>
          <t>לא נמצא בסריקת המפיצים</t>
        </is>
      </c>
      <c r="AE496" t="inlineStr">
        <is>
          <t>סריקת אתרי מפיצים</t>
        </is>
      </c>
      <c r="AG496" t="inlineStr"/>
      <c r="AH496" t="inlineStr"/>
      <c r="AJ496" t="inlineStr"/>
      <c r="AP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c r="Y497" t="inlineStr">
        <is>
          <t>unknown</t>
        </is>
      </c>
      <c r="Z497" t="inlineStr"/>
      <c r="AA497" t="inlineStr"/>
      <c r="AB497" t="inlineStr"/>
      <c r="AC497" t="inlineStr"/>
      <c r="AD497" t="inlineStr">
        <is>
          <t>לא נמצא בחיפוש ראשוני</t>
        </is>
      </c>
      <c r="AE497" t="inlineStr">
        <is>
          <t>חיפוש חלקי</t>
        </is>
      </c>
      <c r="AG497" t="inlineStr"/>
      <c r="AH497" t="inlineStr"/>
      <c r="AI497" t="inlineStr">
        <is>
          <t>Searched as Corning's Falcon labware brand: Corning APAC/NA distributor pages and Falcon product sheets surfaced; no Israel distributor listed in results.</t>
        </is>
      </c>
      <c r="AJ497" t="inlineStr"/>
      <c r="AP497" t="inlineStr">
        <is>
          <t>https://www.dutscher.com/search?initialFilters=brand:Falcon | https://www.thomassci.com/browse-by/suppliers/falcon</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Y498" t="inlineStr">
        <is>
          <t>unknown</t>
        </is>
      </c>
      <c r="Z498" t="inlineStr"/>
      <c r="AA498" t="inlineStr"/>
      <c r="AB498" t="inlineStr"/>
      <c r="AC498" t="inlineStr"/>
      <c r="AD498" t="inlineStr">
        <is>
          <t>לא נמצא בסריקת המפיצים</t>
        </is>
      </c>
      <c r="AE498" t="inlineStr">
        <is>
          <t>סריקת אתרי מפיצים</t>
        </is>
      </c>
      <c r="AG498" t="inlineStr"/>
      <c r="AH498" t="inlineStr"/>
      <c r="AJ498" t="inlineStr">
        <is>
          <t>888-491-5818</t>
        </is>
      </c>
      <c r="AM498" t="inlineStr">
        <is>
          <t>https://fashionsealhealthcare.com/contact-us/</t>
        </is>
      </c>
      <c r="AN498" t="inlineStr">
        <is>
          <t>https://fashionsealhealthcare.com/contact-us/</t>
        </is>
      </c>
      <c r="AP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Y499" t="inlineStr">
        <is>
          <t>unknown</t>
        </is>
      </c>
      <c r="Z499" t="inlineStr"/>
      <c r="AA499" t="inlineStr"/>
      <c r="AB499" t="inlineStr"/>
      <c r="AC499" t="inlineStr"/>
      <c r="AD499" t="inlineStr">
        <is>
          <t>לא נמצא בחיפוש ראשוני</t>
        </is>
      </c>
      <c r="AE499" t="inlineStr">
        <is>
          <t>חיפוש חלקי</t>
        </is>
      </c>
      <c r="AG499" t="inlineStr"/>
      <c r="AH499" t="inlineStr"/>
      <c r="AI499" t="inlineStr">
        <is>
          <t>Only a Cedarlane supplier page; the 'Neurotechnology' distributor page listing Israel is a different company; Eldan/AMI Technologies appeared with no link.</t>
        </is>
      </c>
      <c r="AJ499" t="inlineStr">
        <is>
          <t>+1 (301)-490-8878</t>
        </is>
      </c>
      <c r="AK499" t="inlineStr">
        <is>
          <t>info@fdneurotech.com</t>
        </is>
      </c>
      <c r="AM499" t="inlineStr">
        <is>
          <t>https://www.fdneurotech.com/contact-us</t>
        </is>
      </c>
      <c r="AN499" t="inlineStr">
        <is>
          <t>https://www.fdneurotech.com/contact-us</t>
        </is>
      </c>
      <c r="AP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Y500" t="inlineStr">
        <is>
          <t>unknown</t>
        </is>
      </c>
      <c r="Z500" t="inlineStr"/>
      <c r="AA500" t="inlineStr"/>
      <c r="AB500" t="inlineStr"/>
      <c r="AC500" t="inlineStr"/>
      <c r="AD500" t="inlineStr">
        <is>
          <t>לא נמצא בסריקת המפיצים</t>
        </is>
      </c>
      <c r="AE500" t="inlineStr">
        <is>
          <t>סריקת אתרי מפיצים</t>
        </is>
      </c>
      <c r="AG500" t="inlineStr"/>
      <c r="AH500" t="inlineStr"/>
      <c r="AJ500" t="inlineStr"/>
      <c r="AP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Y501" t="inlineStr">
        <is>
          <t>unknown</t>
        </is>
      </c>
      <c r="Z501" t="inlineStr"/>
      <c r="AA501" t="inlineStr"/>
      <c r="AB501" t="inlineStr"/>
      <c r="AC501" t="inlineStr"/>
      <c r="AD501" t="inlineStr">
        <is>
          <t>לא נמצא בסריקת המפיצים</t>
        </is>
      </c>
      <c r="AE501" t="inlineStr">
        <is>
          <t>סריקת אתרי מפיצים</t>
        </is>
      </c>
      <c r="AG501" t="inlineStr"/>
      <c r="AH501" t="inlineStr"/>
      <c r="AJ501" t="inlineStr">
        <is>
          <t>+1 (413) 598-8344</t>
        </is>
      </c>
      <c r="AM501" t="inlineStr">
        <is>
          <t>https://www.fgcleanwipes.com/contact-us/</t>
        </is>
      </c>
      <c r="AN501" t="inlineStr">
        <is>
          <t>https://www.fgcleanwipes.com/contact-us/</t>
        </is>
      </c>
      <c r="AP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O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Y502" t="inlineStr">
        <is>
          <t>unknown</t>
        </is>
      </c>
      <c r="Z502" t="inlineStr"/>
      <c r="AA502" t="inlineStr"/>
      <c r="AB502" t="inlineStr"/>
      <c r="AC502" t="inlineStr"/>
      <c r="AD502" t="inlineStr">
        <is>
          <t>לא נמצא בחיפוש ראשוני</t>
        </is>
      </c>
      <c r="AE502" t="inlineStr">
        <is>
          <t>חיפוש חלקי</t>
        </is>
      </c>
      <c r="AG502" t="inlineStr"/>
      <c r="AH502" t="inlineStr"/>
      <c r="AI502" t="inlineStr">
        <is>
          <t>No results about the company at all; only unrelated Israeli filtration/water pages.</t>
        </is>
      </c>
      <c r="AJ502" t="inlineStr"/>
      <c r="AP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Y503" t="inlineStr">
        <is>
          <t>unknown</t>
        </is>
      </c>
      <c r="Z503" t="inlineStr"/>
      <c r="AA503" t="inlineStr"/>
      <c r="AB503" t="inlineStr"/>
      <c r="AC503" t="inlineStr"/>
      <c r="AD503" t="inlineStr">
        <is>
          <t>מפיץ/נציג בישראל</t>
        </is>
      </c>
      <c r="AE503" t="inlineStr">
        <is>
          <t>סריקת אתרי מפיצים</t>
        </is>
      </c>
      <c r="AF503" t="n">
        <v>2026</v>
      </c>
      <c r="AG503" t="inlineStr">
        <is>
          <t>NBT</t>
        </is>
      </c>
      <c r="AH503" t="inlineStr">
        <is>
          <t>NBT:</t>
        </is>
      </c>
      <c r="AJ503" t="inlineStr">
        <is>
          <t>+1800-521-2109</t>
        </is>
      </c>
      <c r="AN503" t="inlineStr">
        <is>
          <t>https://finescience.com/</t>
        </is>
      </c>
      <c r="AP503" t="inlineStr">
        <is>
          <t>https://www.quartzy.com/suppliers | https://nbtltd.com/products-page | https://finescience.com/</t>
        </is>
      </c>
    </row>
    <row r="504">
      <c r="A504" t="n">
        <v>503</v>
      </c>
      <c r="B504" t="inlineStr">
        <is>
          <t>Finnpipette</t>
        </is>
      </c>
      <c r="C504" t="inlineStr">
        <is>
          <t>T</t>
        </is>
      </c>
      <c r="E504" t="inlineStr">
        <is>
          <t>https://www.thomassci.com/browse-by/suppliers/finnpipette</t>
        </is>
      </c>
      <c r="F504" t="inlineStr"/>
      <c r="J504" t="inlineStr"/>
      <c r="Y504" t="inlineStr">
        <is>
          <t>unknown</t>
        </is>
      </c>
      <c r="Z504" t="inlineStr"/>
      <c r="AA504" t="inlineStr"/>
      <c r="AB504" t="inlineStr"/>
      <c r="AC504" t="inlineStr"/>
      <c r="AD504" t="inlineStr">
        <is>
          <t>לא נמצא בסריקת המפיצים</t>
        </is>
      </c>
      <c r="AE504" t="inlineStr">
        <is>
          <t>סריקת אתרי מפיצים</t>
        </is>
      </c>
      <c r="AG504" t="inlineStr"/>
      <c r="AH504" t="inlineStr"/>
      <c r="AJ504" t="inlineStr"/>
      <c r="AP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Y505" t="inlineStr">
        <is>
          <t>unknown</t>
        </is>
      </c>
      <c r="Z505" t="inlineStr"/>
      <c r="AA505" t="inlineStr"/>
      <c r="AB505" t="inlineStr"/>
      <c r="AC505" t="inlineStr"/>
      <c r="AD505" t="inlineStr">
        <is>
          <t>לא נמצא בסריקת המפיצים</t>
        </is>
      </c>
      <c r="AE505" t="inlineStr">
        <is>
          <t>סריקת אתרי מפיצים</t>
        </is>
      </c>
      <c r="AG505" t="inlineStr"/>
      <c r="AH505" t="inlineStr"/>
      <c r="AJ505" t="inlineStr"/>
      <c r="AP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O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Y506" t="inlineStr">
        <is>
          <t>unknown</t>
        </is>
      </c>
      <c r="Z506" t="inlineStr"/>
      <c r="AA506" t="inlineStr"/>
      <c r="AB506" t="inlineStr"/>
      <c r="AC506" t="inlineStr"/>
      <c r="AD506" t="inlineStr">
        <is>
          <t>לא נמצא בחיפוש ראשוני</t>
        </is>
      </c>
      <c r="AE506" t="inlineStr">
        <is>
          <t>חיפוש חלקי</t>
        </is>
      </c>
      <c r="AG506" t="inlineStr"/>
      <c r="AH506" t="inlineStr"/>
      <c r="AI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J506" t="inlineStr">
        <is>
          <t>6309809780</t>
        </is>
      </c>
      <c r="AM506" t="inlineStr">
        <is>
          <t>https://fischertech.com/contact-us</t>
        </is>
      </c>
      <c r="AN506" t="inlineStr">
        <is>
          <t>https://fischertech.com/contact-us</t>
        </is>
      </c>
      <c r="AP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J507" t="inlineStr"/>
      <c r="Y507" t="inlineStr">
        <is>
          <t>unknown</t>
        </is>
      </c>
      <c r="Z507" t="inlineStr"/>
      <c r="AA507" t="inlineStr"/>
      <c r="AB507" t="inlineStr"/>
      <c r="AC507" t="inlineStr"/>
      <c r="AD507" t="inlineStr">
        <is>
          <t>לא נמצא בסריקת המפיצים</t>
        </is>
      </c>
      <c r="AE507" t="inlineStr">
        <is>
          <t>סריקת אתרי מפיצים</t>
        </is>
      </c>
      <c r="AG507" t="inlineStr"/>
      <c r="AH507" t="inlineStr"/>
      <c r="AJ507" t="inlineStr"/>
      <c r="AP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Y508" t="inlineStr">
        <is>
          <t>unknown</t>
        </is>
      </c>
      <c r="Z508" t="inlineStr"/>
      <c r="AA508" t="inlineStr"/>
      <c r="AB508" t="inlineStr"/>
      <c r="AC508" t="inlineStr"/>
      <c r="AD508" t="inlineStr">
        <is>
          <t>לא נמצא בסריקת המפיצים</t>
        </is>
      </c>
      <c r="AE508" t="inlineStr">
        <is>
          <t>סריקת אתרי מפיצים</t>
        </is>
      </c>
      <c r="AG508" t="inlineStr"/>
      <c r="AH508" t="inlineStr"/>
      <c r="AJ508" t="inlineStr"/>
      <c r="AP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clearbit_verified</t>
        </is>
      </c>
      <c r="J509" t="inlineStr"/>
      <c r="Y509" t="inlineStr">
        <is>
          <t>unknown</t>
        </is>
      </c>
      <c r="Z509" t="inlineStr"/>
      <c r="AA509" t="inlineStr"/>
      <c r="AB509" t="inlineStr"/>
      <c r="AC509" t="inlineStr"/>
      <c r="AD509" t="inlineStr">
        <is>
          <t>לא נמצא בסריקת המפיצים</t>
        </is>
      </c>
      <c r="AE509" t="inlineStr">
        <is>
          <t>סריקת אתרי מפיצים</t>
        </is>
      </c>
      <c r="AG509" t="inlineStr"/>
      <c r="AH509" t="inlineStr"/>
      <c r="AJ509" t="inlineStr"/>
      <c r="AK509" t="inlineStr">
        <is>
          <t>info@fluotics.com</t>
        </is>
      </c>
      <c r="AM509" t="inlineStr">
        <is>
          <t>https://www.fluotics.com/contact/</t>
        </is>
      </c>
      <c r="AN509" t="inlineStr">
        <is>
          <t>https://www.fluotics.com/contact/</t>
        </is>
      </c>
      <c r="AP509" t="inlineStr">
        <is>
          <t>https://www.quartzy.com/suppliers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Y510" t="inlineStr">
        <is>
          <t>unknown</t>
        </is>
      </c>
      <c r="Z510" t="inlineStr"/>
      <c r="AA510" t="inlineStr"/>
      <c r="AB510" t="inlineStr"/>
      <c r="AC510" t="inlineStr"/>
      <c r="AD510" t="inlineStr">
        <is>
          <t>לא נמצא בסריקת המפיצים</t>
        </is>
      </c>
      <c r="AE510" t="inlineStr">
        <is>
          <t>סריקת אתרי מפיצים</t>
        </is>
      </c>
      <c r="AG510" t="inlineStr"/>
      <c r="AH510" t="inlineStr"/>
      <c r="AJ510" t="inlineStr"/>
      <c r="AM510" t="inlineStr">
        <is>
          <t>https://foamtecintl.com/contact/</t>
        </is>
      </c>
      <c r="AN510" t="inlineStr">
        <is>
          <t>https://foamtecintl.com/contact/</t>
        </is>
      </c>
      <c r="AP510" t="inlineStr">
        <is>
          <t>https://www.thomassci.com/browse-by/suppliers/foamtec-international | https://foamtecintl.com/contact/</t>
        </is>
      </c>
    </row>
    <row r="511">
      <c r="A511" t="n">
        <v>510</v>
      </c>
      <c r="B511" t="inlineStr">
        <is>
          <t>Follett Scientific</t>
        </is>
      </c>
      <c r="C511" t="inlineStr">
        <is>
          <t>Q</t>
        </is>
      </c>
      <c r="F511" t="inlineStr">
        <is>
          <t>yes</t>
        </is>
      </c>
      <c r="J511" t="inlineStr"/>
      <c r="Y511" t="inlineStr">
        <is>
          <t>unknown</t>
        </is>
      </c>
      <c r="Z511" t="inlineStr"/>
      <c r="AA511" t="inlineStr"/>
      <c r="AB511" t="inlineStr"/>
      <c r="AC511" t="inlineStr"/>
      <c r="AD511" t="inlineStr">
        <is>
          <t>לא נמצא בסריקת המפיצים</t>
        </is>
      </c>
      <c r="AE511" t="inlineStr">
        <is>
          <t>סריקת אתרי מפיצים</t>
        </is>
      </c>
      <c r="AG511" t="inlineStr"/>
      <c r="AH511" t="inlineStr"/>
      <c r="AJ511" t="inlineStr"/>
      <c r="AP511" t="inlineStr">
        <is>
          <t>https://www.quartzy.com/suppliers</t>
        </is>
      </c>
    </row>
    <row r="512">
      <c r="A512" t="n">
        <v>511</v>
      </c>
      <c r="B512" t="inlineStr">
        <is>
          <t>Foxx</t>
        </is>
      </c>
      <c r="C512" t="inlineStr">
        <is>
          <t>D</t>
        </is>
      </c>
      <c r="D512" t="inlineStr">
        <is>
          <t>https://www.dutscher.com/search?initialFilters=brand:Foxx</t>
        </is>
      </c>
      <c r="F512" t="inlineStr"/>
      <c r="J512" t="inlineStr"/>
      <c r="Y512" t="inlineStr">
        <is>
          <t>unknown</t>
        </is>
      </c>
      <c r="Z512" t="inlineStr"/>
      <c r="AA512" t="inlineStr"/>
      <c r="AB512" t="inlineStr"/>
      <c r="AC512" t="inlineStr"/>
      <c r="AD512" t="inlineStr">
        <is>
          <t>לא נמצא בסריקת המפיצים</t>
        </is>
      </c>
      <c r="AE512" t="inlineStr">
        <is>
          <t>סריקת אתרי מפיצים</t>
        </is>
      </c>
      <c r="AG512" t="inlineStr"/>
      <c r="AH512" t="inlineStr"/>
      <c r="AJ512" t="inlineStr"/>
      <c r="AP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Y513" t="inlineStr">
        <is>
          <t>unknown</t>
        </is>
      </c>
      <c r="Z513" t="inlineStr"/>
      <c r="AA513" t="inlineStr"/>
      <c r="AB513" t="inlineStr"/>
      <c r="AC513" t="inlineStr"/>
      <c r="AD513" t="inlineStr">
        <is>
          <t>לא נמצא בחיפוש ראשוני</t>
        </is>
      </c>
      <c r="AE513" t="inlineStr">
        <is>
          <t>חיפוש חלקי</t>
        </is>
      </c>
      <c r="AG513" t="inlineStr"/>
      <c r="AH513" t="inlineStr"/>
      <c r="AI513" t="inlineStr">
        <is>
          <t>Foxx results cover its Netherlands EU distribution centre, North American master-distribution deals (Ami Polymer, Abdos, Borosil) and a Thomas Scientific agreement; no Israel mention.</t>
        </is>
      </c>
      <c r="AJ513" t="inlineStr">
        <is>
          <t>+1 617 320-1138</t>
        </is>
      </c>
      <c r="AK513" t="inlineStr">
        <is>
          <t>sales@foxxlifesciences.com</t>
        </is>
      </c>
      <c r="AM513" t="inlineStr">
        <is>
          <t>https://www.foxxlifesciences.com/pages/contact-us</t>
        </is>
      </c>
      <c r="AN513" t="inlineStr">
        <is>
          <t>https://www.foxxlifesciences.com/pages/contact-us</t>
        </is>
      </c>
      <c r="AP513" t="inlineStr">
        <is>
          <t>https://www.quartzy.com/suppliers | https://www.thomassci.com/browse-by/suppliers/foxx-life-sciences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is>
          <t>צרפת</t>
        </is>
      </c>
      <c r="Y514" t="inlineStr">
        <is>
          <t>unknown</t>
        </is>
      </c>
      <c r="Z514" t="inlineStr"/>
      <c r="AA514" t="inlineStr"/>
      <c r="AB514" t="inlineStr"/>
      <c r="AC514" t="inlineStr"/>
      <c r="AD514" t="inlineStr">
        <is>
          <t>לא נמצא בסריקת המפיצים</t>
        </is>
      </c>
      <c r="AE514" t="inlineStr">
        <is>
          <t>סריקת אתרי מפיצים</t>
        </is>
      </c>
      <c r="AG514" t="inlineStr"/>
      <c r="AH514" t="inlineStr"/>
      <c r="AJ514" t="inlineStr">
        <is>
          <t>03 3503 1711</t>
        </is>
      </c>
      <c r="AK514" t="inlineStr">
        <is>
          <t>info@korea.franklab.com</t>
        </is>
      </c>
      <c r="AN514" t="inlineStr">
        <is>
          <t>https://franklab.com/</t>
        </is>
      </c>
      <c r="AO514" t="inlineStr">
        <is>
          <t>Q126875135</t>
        </is>
      </c>
      <c r="AP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O515" t="inlineStr">
        <is>
          <t>Manufacturing company</t>
        </is>
      </c>
      <c r="Y515" t="inlineStr">
        <is>
          <t>unknown</t>
        </is>
      </c>
      <c r="Z515" t="inlineStr"/>
      <c r="AA515" t="inlineStr"/>
      <c r="AB515" t="inlineStr"/>
      <c r="AC515" t="inlineStr"/>
      <c r="AD515" t="inlineStr">
        <is>
          <t>לא נמצא בסריקת המפיצים</t>
        </is>
      </c>
      <c r="AE515" t="inlineStr">
        <is>
          <t>סריקת אתרי מפיצים</t>
        </is>
      </c>
      <c r="AG515" t="inlineStr"/>
      <c r="AH515" t="inlineStr"/>
      <c r="AJ515" t="inlineStr">
        <is>
          <t>+1 800-437-6897</t>
        </is>
      </c>
      <c r="AK515" t="inlineStr">
        <is>
          <t>sales@pioneerpump.com</t>
        </is>
      </c>
      <c r="AL515" t="inlineStr">
        <is>
          <t>Fort Wayne</t>
        </is>
      </c>
      <c r="AM515" t="inlineStr">
        <is>
          <t>https://www.franklin-electric.com/contacts/</t>
        </is>
      </c>
      <c r="AN515" t="inlineStr">
        <is>
          <t>https://www.franklin-electric.com/contacts/</t>
        </is>
      </c>
      <c r="AO515" t="inlineStr">
        <is>
          <t>Q5491478</t>
        </is>
      </c>
      <c r="AP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Y516" t="inlineStr">
        <is>
          <t>unknown</t>
        </is>
      </c>
      <c r="Z516" t="inlineStr"/>
      <c r="AA516" t="inlineStr"/>
      <c r="AB516" t="inlineStr"/>
      <c r="AC516" t="inlineStr"/>
      <c r="AD516" t="inlineStr">
        <is>
          <t>לא נמצא בסריקת המפיצים</t>
        </is>
      </c>
      <c r="AE516" t="inlineStr">
        <is>
          <t>סריקת אתרי מפיצים</t>
        </is>
      </c>
      <c r="AG516" t="inlineStr"/>
      <c r="AH516" t="inlineStr"/>
      <c r="AJ516" t="inlineStr"/>
      <c r="AM516" t="inlineStr">
        <is>
          <t>https://www.freudenbergmedical.com/about/contact-us</t>
        </is>
      </c>
      <c r="AN516" t="inlineStr">
        <is>
          <t>https://www.freudenbergmedical.com/about/contact-us</t>
        </is>
      </c>
      <c r="AP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clearbit_verified</t>
        </is>
      </c>
      <c r="J517" t="inlineStr"/>
      <c r="Y517" t="inlineStr">
        <is>
          <t>unknown</t>
        </is>
      </c>
      <c r="Z517" t="inlineStr"/>
      <c r="AA517" t="inlineStr"/>
      <c r="AB517" t="inlineStr"/>
      <c r="AC517" t="inlineStr"/>
      <c r="AD517" t="inlineStr">
        <is>
          <t>לא נמצא בסריקת המפיצים</t>
        </is>
      </c>
      <c r="AE517" t="inlineStr">
        <is>
          <t>סריקת אתרי מפיצים</t>
        </is>
      </c>
      <c r="AG517" t="inlineStr"/>
      <c r="AH517" t="inlineStr"/>
      <c r="AJ517" t="inlineStr"/>
      <c r="AM517" t="inlineStr">
        <is>
          <t>https://www.fritsch-international.com/contact/my-information-request-list/</t>
        </is>
      </c>
      <c r="AN517" t="inlineStr">
        <is>
          <t>https://www.fritsch-international.com/contact/my-information-request-list/</t>
        </is>
      </c>
      <c r="AP517" t="inlineStr">
        <is>
          <t>https://www.dutscher.com/search?initialFilters=brand:Fritsch | https://www.fritsch-international.com/contact/my-information-request-list/</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Y518" t="inlineStr">
        <is>
          <t>unknown</t>
        </is>
      </c>
      <c r="Z518" t="inlineStr"/>
      <c r="AA518" t="inlineStr"/>
      <c r="AB518" t="inlineStr"/>
      <c r="AC518" t="inlineStr"/>
      <c r="AD518" t="inlineStr">
        <is>
          <t>לא נמצא בחיפוש ראשוני</t>
        </is>
      </c>
      <c r="AE518" t="inlineStr">
        <is>
          <t>חיפוש חלקי</t>
        </is>
      </c>
      <c r="AG518" t="inlineStr"/>
      <c r="AH518" t="inlineStr"/>
      <c r="AI518" t="inlineStr">
        <is>
          <t>FroggaBio is itself a Canadian distributor (Concord, ON); no Israel channel found. BioLamina's distributor page lists Almog Diagnostic for Israel, which is unrelated to FroggaBio.</t>
        </is>
      </c>
      <c r="AJ518" t="inlineStr">
        <is>
          <t>1-877-318-7277</t>
        </is>
      </c>
      <c r="AK518" t="inlineStr">
        <is>
          <t>info@froggabio.com</t>
        </is>
      </c>
      <c r="AM518" t="inlineStr">
        <is>
          <t>https://www.froggabio.com/globalstoreview/contact/</t>
        </is>
      </c>
      <c r="AN518" t="inlineStr">
        <is>
          <t>https://www.froggabio.com/globalstoreview/contact/</t>
        </is>
      </c>
      <c r="AP518" t="inlineStr">
        <is>
          <t>https://www.quartzy.com/suppliers | https://www.thomassci.com/browse-by/suppliers/froggabio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Y519" t="inlineStr">
        <is>
          <t>unknown</t>
        </is>
      </c>
      <c r="Z519" t="inlineStr"/>
      <c r="AA519" t="inlineStr"/>
      <c r="AB519" t="inlineStr"/>
      <c r="AC519" t="inlineStr"/>
      <c r="AD519" t="inlineStr">
        <is>
          <t>לא נמצא בסריקת המפיצים</t>
        </is>
      </c>
      <c r="AE519" t="inlineStr">
        <is>
          <t>סריקת אתרי מפיצים</t>
        </is>
      </c>
      <c r="AG519" t="inlineStr"/>
      <c r="AH519" t="inlineStr"/>
      <c r="AJ519" t="inlineStr">
        <is>
          <t>+33(0)478047575</t>
        </is>
      </c>
      <c r="AM519" t="inlineStr">
        <is>
          <t>https://www.froilabo.com/contact/</t>
        </is>
      </c>
      <c r="AN519" t="inlineStr">
        <is>
          <t>https://www.froilabo.com/contact/</t>
        </is>
      </c>
      <c r="AP519" t="inlineStr">
        <is>
          <t>https://www.dutscher.com/search?initialFilters=brand:Froilabo | https://www.froilabo.com/contact/</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clearbit_verified</t>
        </is>
      </c>
      <c r="J520" t="inlineStr"/>
      <c r="Y520" t="inlineStr">
        <is>
          <t>unknown</t>
        </is>
      </c>
      <c r="Z520" t="inlineStr"/>
      <c r="AA520" t="inlineStr"/>
      <c r="AB520" t="inlineStr"/>
      <c r="AC520" t="inlineStr"/>
      <c r="AD520" t="inlineStr">
        <is>
          <t>לא נמצא בסריקת המפיצים</t>
        </is>
      </c>
      <c r="AE520" t="inlineStr">
        <is>
          <t>סריקת אתרי מפיצים</t>
        </is>
      </c>
      <c r="AG520" t="inlineStr"/>
      <c r="AH520" t="inlineStr"/>
      <c r="AJ520" t="inlineStr">
        <is>
          <t>(302) 266-6891</t>
        </is>
      </c>
      <c r="AM520" t="inlineStr">
        <is>
          <t>https://www.frontierscientific.com/contact/</t>
        </is>
      </c>
      <c r="AN520" t="inlineStr">
        <is>
          <t>https://www.frontierscientific.com/contact/</t>
        </is>
      </c>
      <c r="AP520" t="inlineStr">
        <is>
          <t>https://www.thomassci.com/browse-by/suppliers/frontier-scientific | https://www.frontierscientific.com/contact/</t>
        </is>
      </c>
    </row>
    <row r="521">
      <c r="A521" t="n">
        <v>520</v>
      </c>
      <c r="B521" t="inlineStr">
        <is>
          <t>Fruth Custom Plastics</t>
        </is>
      </c>
      <c r="C521" t="inlineStr">
        <is>
          <t>T</t>
        </is>
      </c>
      <c r="E521" t="inlineStr">
        <is>
          <t>https://www.thomassci.com/browse-by/suppliers/fruth-plastics</t>
        </is>
      </c>
      <c r="F521" t="inlineStr"/>
      <c r="J521" t="inlineStr"/>
      <c r="Y521" t="inlineStr">
        <is>
          <t>unknown</t>
        </is>
      </c>
      <c r="Z521" t="inlineStr"/>
      <c r="AA521" t="inlineStr"/>
      <c r="AB521" t="inlineStr"/>
      <c r="AC521" t="inlineStr"/>
      <c r="AD521" t="inlineStr">
        <is>
          <t>לא נמצא בסריקת המפיצים</t>
        </is>
      </c>
      <c r="AE521" t="inlineStr">
        <is>
          <t>סריקת אתרי מפיצים</t>
        </is>
      </c>
      <c r="AG521" t="inlineStr"/>
      <c r="AH521" t="inlineStr"/>
      <c r="AJ521" t="inlineStr"/>
      <c r="AP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Y522" t="inlineStr">
        <is>
          <t>unknown</t>
        </is>
      </c>
      <c r="Z522" t="inlineStr"/>
      <c r="AA522" t="inlineStr"/>
      <c r="AB522" t="inlineStr"/>
      <c r="AC522" t="inlineStr"/>
      <c r="AD522" t="inlineStr">
        <is>
          <t>לא נמצא בסריקת המפיצים</t>
        </is>
      </c>
      <c r="AE522" t="inlineStr">
        <is>
          <t>סריקת אתרי מפיצים</t>
        </is>
      </c>
      <c r="AG522" t="inlineStr"/>
      <c r="AH522" t="inlineStr"/>
      <c r="AJ522" t="inlineStr"/>
      <c r="AP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Y523" t="inlineStr">
        <is>
          <t>unknown</t>
        </is>
      </c>
      <c r="Z523" t="inlineStr"/>
      <c r="AA523" t="inlineStr"/>
      <c r="AB523" t="inlineStr"/>
      <c r="AC523" t="inlineStr"/>
      <c r="AD523" t="inlineStr">
        <is>
          <t>לא נמצא בסריקת המפיצים</t>
        </is>
      </c>
      <c r="AE523" t="inlineStr">
        <is>
          <t>סריקת אתרי מפיצים</t>
        </is>
      </c>
      <c r="AG523" t="inlineStr"/>
      <c r="AH523" t="inlineStr"/>
      <c r="AJ523" t="inlineStr">
        <is>
          <t>1-608-628-7772</t>
        </is>
      </c>
      <c r="AK523" t="inlineStr">
        <is>
          <t>contact@fugene.com</t>
        </is>
      </c>
      <c r="AM523" t="inlineStr">
        <is>
          <t>https://fugene.com/contact-us/</t>
        </is>
      </c>
      <c r="AN523" t="inlineStr">
        <is>
          <t>https://fugene.com/contact-us/</t>
        </is>
      </c>
      <c r="AP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Y524" t="inlineStr">
        <is>
          <t>unknown</t>
        </is>
      </c>
      <c r="Z524" t="inlineStr"/>
      <c r="AA524" t="inlineStr"/>
      <c r="AB524" t="inlineStr"/>
      <c r="AC524" t="inlineStr"/>
      <c r="AD524" t="inlineStr">
        <is>
          <t>לא נמצא בסריקת המפיצים</t>
        </is>
      </c>
      <c r="AE524" t="inlineStr">
        <is>
          <t>סריקת אתרי מפיצים</t>
        </is>
      </c>
      <c r="AG524" t="inlineStr"/>
      <c r="AH524" t="inlineStr"/>
      <c r="AJ524" t="inlineStr"/>
      <c r="AP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Y525" t="inlineStr">
        <is>
          <t>unknown</t>
        </is>
      </c>
      <c r="Z525" t="inlineStr"/>
      <c r="AA525" t="inlineStr"/>
      <c r="AB525" t="inlineStr"/>
      <c r="AC525" t="inlineStr"/>
      <c r="AD525" t="inlineStr">
        <is>
          <t>לא נמצא בסריקת המפיצים</t>
        </is>
      </c>
      <c r="AE525" t="inlineStr">
        <is>
          <t>סריקת אתרי מפיצים</t>
        </is>
      </c>
      <c r="AG525" t="inlineStr"/>
      <c r="AH525" t="inlineStr"/>
      <c r="AJ525" t="inlineStr">
        <is>
          <t>(800) 615-8699</t>
        </is>
      </c>
      <c r="AM525" t="inlineStr">
        <is>
          <t>https://orderfytertech.com/contact-us/</t>
        </is>
      </c>
      <c r="AN525" t="inlineStr">
        <is>
          <t>https://orderfytertech.com/contact-us/</t>
        </is>
      </c>
      <c r="AP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Y526" t="inlineStr">
        <is>
          <t>unknown</t>
        </is>
      </c>
      <c r="Z526" t="inlineStr"/>
      <c r="AA526" t="inlineStr"/>
      <c r="AB526" t="inlineStr"/>
      <c r="AC526" t="inlineStr"/>
      <c r="AD526" t="inlineStr">
        <is>
          <t>מפיץ/נציג בישראל</t>
        </is>
      </c>
      <c r="AE526" t="inlineStr">
        <is>
          <t>חיפוש חלקי</t>
        </is>
      </c>
      <c r="AF526" t="n">
        <v>2026</v>
      </c>
      <c r="AG526" t="inlineStr">
        <is>
          <t>Yair Technologies (Yair Tech)</t>
        </is>
      </c>
      <c r="AH526" t="inlineStr">
        <is>
          <t>Yair Technologies (Yair Tech):</t>
        </is>
      </c>
      <c r="AI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J526" t="inlineStr"/>
      <c r="AP526" t="inlineStr">
        <is>
          <t>https://www.quartzy.com/suppliers | https://www.thomassci.com/browse-by/suppliers/g-biosciences | https://www.yairtech.co.il/cat_product/g-biosciences/</t>
        </is>
      </c>
    </row>
    <row r="527">
      <c r="A527" t="n">
        <v>526</v>
      </c>
      <c r="B527" t="inlineStr">
        <is>
          <t>G C Fuller</t>
        </is>
      </c>
      <c r="C527" t="inlineStr">
        <is>
          <t>T</t>
        </is>
      </c>
      <c r="E527" t="inlineStr">
        <is>
          <t>https://www.thomassci.com/browse-by/suppliers/g-c-fuller</t>
        </is>
      </c>
      <c r="F527" t="inlineStr"/>
      <c r="J527" t="inlineStr"/>
      <c r="Y527" t="inlineStr">
        <is>
          <t>unknown</t>
        </is>
      </c>
      <c r="Z527" t="inlineStr"/>
      <c r="AA527" t="inlineStr"/>
      <c r="AB527" t="inlineStr"/>
      <c r="AC527" t="inlineStr"/>
      <c r="AD527" t="inlineStr">
        <is>
          <t>לא נמצא בסריקת המפיצים</t>
        </is>
      </c>
      <c r="AE527" t="inlineStr">
        <is>
          <t>סריקת אתרי מפיצים</t>
        </is>
      </c>
      <c r="AG527" t="inlineStr"/>
      <c r="AH527" t="inlineStr"/>
      <c r="AJ527" t="inlineStr"/>
      <c r="AP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Y528" t="inlineStr">
        <is>
          <t>unknown</t>
        </is>
      </c>
      <c r="Z528" t="inlineStr"/>
      <c r="AA528" t="inlineStr"/>
      <c r="AB528" t="inlineStr"/>
      <c r="AC528" t="inlineStr"/>
      <c r="AD528" t="inlineStr">
        <is>
          <t>לא נמצא בסריקת המפיצים</t>
        </is>
      </c>
      <c r="AE528" t="inlineStr">
        <is>
          <t>סריקת אתרי מפיצים</t>
        </is>
      </c>
      <c r="AG528" t="inlineStr"/>
      <c r="AH528" t="inlineStr"/>
      <c r="AJ528" t="inlineStr"/>
      <c r="AP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Y529" t="inlineStr">
        <is>
          <t>unknown</t>
        </is>
      </c>
      <c r="Z529" t="inlineStr"/>
      <c r="AA529" t="inlineStr"/>
      <c r="AB529" t="inlineStr"/>
      <c r="AC529" t="inlineStr"/>
      <c r="AD529" t="inlineStr">
        <is>
          <t>לא נמצא בחיפוש ראשוני</t>
        </is>
      </c>
      <c r="AE529" t="inlineStr">
        <is>
          <t>חיפוש חלקי</t>
        </is>
      </c>
      <c r="AG529" t="inlineStr"/>
      <c r="AH529" t="inlineStr"/>
      <c r="AI529" t="inlineStr">
        <is>
          <t>GA International / LabTAG (Laval, Quebec) says it ships worldwide; the only Israeli hits are unrelated label/sticker importers on chamber.org.il; no distributor named.</t>
        </is>
      </c>
      <c r="AJ529" t="inlineStr">
        <is>
          <t>+1-450-973-9420</t>
        </is>
      </c>
      <c r="AN529" t="inlineStr">
        <is>
          <t>https://www.ga-international.com/</t>
        </is>
      </c>
      <c r="AP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Y530" t="inlineStr">
        <is>
          <t>unknown</t>
        </is>
      </c>
      <c r="Z530" t="inlineStr"/>
      <c r="AA530" t="inlineStr"/>
      <c r="AB530" t="inlineStr"/>
      <c r="AC530" t="inlineStr"/>
      <c r="AD530" t="inlineStr">
        <is>
          <t>לא נמצא בסריקת המפיצים</t>
        </is>
      </c>
      <c r="AE530" t="inlineStr">
        <is>
          <t>סריקת אתרי מפיצים</t>
        </is>
      </c>
      <c r="AG530" t="inlineStr"/>
      <c r="AH530" t="inlineStr"/>
      <c r="AJ530" t="inlineStr">
        <is>
          <t>18008005954</t>
        </is>
      </c>
      <c r="AK530" t="inlineStr">
        <is>
          <t>sales@gagneinc.com</t>
        </is>
      </c>
      <c r="AM530" t="inlineStr">
        <is>
          <t>https://gagneinc.com/contact/</t>
        </is>
      </c>
      <c r="AN530" t="inlineStr">
        <is>
          <t>https://gagneinc.com/contact/</t>
        </is>
      </c>
      <c r="AP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c r="Y531" t="inlineStr">
        <is>
          <t>unknown</t>
        </is>
      </c>
      <c r="Z531" t="inlineStr"/>
      <c r="AA531" t="inlineStr"/>
      <c r="AB531" t="inlineStr"/>
      <c r="AC531" t="inlineStr"/>
      <c r="AD531" t="inlineStr">
        <is>
          <t>לא נמצא בסריקת המפיצים</t>
        </is>
      </c>
      <c r="AE531" t="inlineStr">
        <is>
          <t>סריקת אתרי מפיצים</t>
        </is>
      </c>
      <c r="AG531" t="inlineStr"/>
      <c r="AH531" t="inlineStr"/>
      <c r="AJ531" t="inlineStr">
        <is>
          <t>866-803-5397</t>
        </is>
      </c>
      <c r="AM531" t="inlineStr">
        <is>
          <t>https://www.gardnerbender.com/contact</t>
        </is>
      </c>
      <c r="AN531" t="inlineStr">
        <is>
          <t>https://www.gardnerbender.com/contact</t>
        </is>
      </c>
      <c r="AP531" t="inlineStr">
        <is>
          <t>https://www.thomassci.com/browse-by/suppliers/gardner-bender | https://www.gardnerbender.com/contact</t>
        </is>
      </c>
    </row>
    <row r="532">
      <c r="A532" t="n">
        <v>531</v>
      </c>
      <c r="B532" t="inlineStr">
        <is>
          <t>Gast</t>
        </is>
      </c>
      <c r="C532" t="inlineStr">
        <is>
          <t>T</t>
        </is>
      </c>
      <c r="E532" t="inlineStr">
        <is>
          <t>https://www.thomassci.com/browse-by/suppliers/gast</t>
        </is>
      </c>
      <c r="F532" t="inlineStr"/>
      <c r="J532" t="inlineStr"/>
      <c r="Y532" t="inlineStr">
        <is>
          <t>unknown</t>
        </is>
      </c>
      <c r="Z532" t="inlineStr"/>
      <c r="AA532" t="inlineStr"/>
      <c r="AB532" t="inlineStr"/>
      <c r="AC532" t="inlineStr"/>
      <c r="AD532" t="inlineStr">
        <is>
          <t>לא נמצא בסריקת המפיצים</t>
        </is>
      </c>
      <c r="AE532" t="inlineStr">
        <is>
          <t>סריקת אתרי מפיצים</t>
        </is>
      </c>
      <c r="AG532" t="inlineStr"/>
      <c r="AH532" t="inlineStr"/>
      <c r="AJ532" t="inlineStr"/>
      <c r="AP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Y533" t="inlineStr">
        <is>
          <t>unknown</t>
        </is>
      </c>
      <c r="Z533" t="inlineStr"/>
      <c r="AA533" t="inlineStr"/>
      <c r="AB533" t="inlineStr"/>
      <c r="AC533" t="inlineStr"/>
      <c r="AD533" t="inlineStr">
        <is>
          <t>לא נמצא בסריקת המפיצים</t>
        </is>
      </c>
      <c r="AE533" t="inlineStr">
        <is>
          <t>סריקת אתרי מפיצים</t>
        </is>
      </c>
      <c r="AG533" t="inlineStr"/>
      <c r="AH533" t="inlineStr"/>
      <c r="AJ533" t="inlineStr">
        <is>
          <t>16502235509</t>
        </is>
      </c>
      <c r="AM533" t="inlineStr">
        <is>
          <t>https://gatescientific.com/contact-us-2</t>
        </is>
      </c>
      <c r="AN533" t="inlineStr">
        <is>
          <t>https://gatescientific.com/contact-us-2</t>
        </is>
      </c>
      <c r="AP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Y534" t="inlineStr">
        <is>
          <t>unknown</t>
        </is>
      </c>
      <c r="Z534" t="inlineStr"/>
      <c r="AA534" t="inlineStr"/>
      <c r="AB534" t="inlineStr"/>
      <c r="AC534" t="inlineStr"/>
      <c r="AD534" t="inlineStr">
        <is>
          <t>לא נמצא בסריקת המפיצים</t>
        </is>
      </c>
      <c r="AE534" t="inlineStr">
        <is>
          <t>סריקת אתרי מפיצים</t>
        </is>
      </c>
      <c r="AG534" t="inlineStr"/>
      <c r="AH534" t="inlineStr"/>
      <c r="AJ534" t="inlineStr"/>
      <c r="AP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Y535" t="inlineStr">
        <is>
          <t>unknown</t>
        </is>
      </c>
      <c r="Z535" t="inlineStr"/>
      <c r="AA535" t="inlineStr"/>
      <c r="AB535" t="inlineStr"/>
      <c r="AC535" t="inlineStr"/>
      <c r="AD535" t="inlineStr">
        <is>
          <t>לא נמצא בסריקת המפיצים</t>
        </is>
      </c>
      <c r="AE535" t="inlineStr">
        <is>
          <t>סריקת אתרי מפיצים</t>
        </is>
      </c>
      <c r="AG535" t="inlineStr"/>
      <c r="AH535" t="inlineStr"/>
      <c r="AJ535" t="inlineStr">
        <is>
          <t>+1(626)-969-7838</t>
        </is>
      </c>
      <c r="AK535" t="inlineStr">
        <is>
          <t>sales@gdcareinc.com</t>
        </is>
      </c>
      <c r="AM535" t="inlineStr">
        <is>
          <t>https://www.gdcareinc.com/contact</t>
        </is>
      </c>
      <c r="AN535" t="inlineStr">
        <is>
          <t>https://www.gdcareinc.com/contact</t>
        </is>
      </c>
      <c r="AP535" t="inlineStr">
        <is>
          <t>https://www.thomassci.com/browse-by/suppliers/gd-care | https://www.gdcareinc.com/contact</t>
        </is>
      </c>
    </row>
    <row r="536">
      <c r="A536" t="n">
        <v>535</v>
      </c>
      <c r="B536" t="inlineStr">
        <is>
          <t>Gel Company</t>
        </is>
      </c>
      <c r="C536" t="inlineStr">
        <is>
          <t>Q</t>
        </is>
      </c>
      <c r="F536" t="inlineStr">
        <is>
          <t>yes</t>
        </is>
      </c>
      <c r="J536" t="inlineStr"/>
      <c r="Y536" t="inlineStr">
        <is>
          <t>unknown</t>
        </is>
      </c>
      <c r="Z536" t="inlineStr"/>
      <c r="AA536" t="inlineStr"/>
      <c r="AB536" t="inlineStr"/>
      <c r="AC536" t="inlineStr"/>
      <c r="AD536" t="inlineStr">
        <is>
          <t>לא נמצא בסריקת המפיצים</t>
        </is>
      </c>
      <c r="AE536" t="inlineStr">
        <is>
          <t>סריקת אתרי מפיצים</t>
        </is>
      </c>
      <c r="AG536" t="inlineStr"/>
      <c r="AH536" t="inlineStr"/>
      <c r="AJ536" t="inlineStr"/>
      <c r="AP536" t="inlineStr">
        <is>
          <t>https://www.quartzy.com/suppliers</t>
        </is>
      </c>
    </row>
    <row r="537">
      <c r="A537" t="n">
        <v>536</v>
      </c>
      <c r="B537" t="inlineStr">
        <is>
          <t>Gemini Bio-Products</t>
        </is>
      </c>
      <c r="C537" t="inlineStr">
        <is>
          <t>Q</t>
        </is>
      </c>
      <c r="F537" t="inlineStr">
        <is>
          <t>yes</t>
        </is>
      </c>
      <c r="J537" t="inlineStr"/>
      <c r="Y537" t="inlineStr">
        <is>
          <t>unknown</t>
        </is>
      </c>
      <c r="Z537" t="inlineStr"/>
      <c r="AA537" t="inlineStr"/>
      <c r="AB537" t="inlineStr"/>
      <c r="AC537" t="inlineStr"/>
      <c r="AD537" t="inlineStr">
        <is>
          <t>לא נמצא בסריקת המפיצים</t>
        </is>
      </c>
      <c r="AE537" t="inlineStr">
        <is>
          <t>סריקת אתרי מפיצים</t>
        </is>
      </c>
      <c r="AG537" t="inlineStr"/>
      <c r="AH537" t="inlineStr"/>
      <c r="AJ537" t="inlineStr"/>
      <c r="AP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Y538" t="inlineStr">
        <is>
          <t>unknown</t>
        </is>
      </c>
      <c r="Z538" t="inlineStr"/>
      <c r="AA538" t="inlineStr"/>
      <c r="AB538" t="inlineStr"/>
      <c r="AC538" t="inlineStr"/>
      <c r="AD538" t="inlineStr">
        <is>
          <t>לא נמצא בסריקת המפיצים</t>
        </is>
      </c>
      <c r="AE538" t="inlineStr">
        <is>
          <t>סריקת אתרי מפיצים</t>
        </is>
      </c>
      <c r="AG538" t="inlineStr"/>
      <c r="AH538" t="inlineStr"/>
      <c r="AJ538" t="inlineStr">
        <is>
          <t>901-005-203</t>
        </is>
      </c>
      <c r="AK538" t="inlineStr">
        <is>
          <t>customerservice@geminibio.com</t>
        </is>
      </c>
      <c r="AN538" t="inlineStr">
        <is>
          <t>https://www.geminibio.com/</t>
        </is>
      </c>
      <c r="AP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Y539" t="inlineStr">
        <is>
          <t>unknown</t>
        </is>
      </c>
      <c r="Z539" t="inlineStr"/>
      <c r="AA539" t="inlineStr"/>
      <c r="AB539" t="inlineStr"/>
      <c r="AC539" t="inlineStr"/>
      <c r="AD539" t="inlineStr">
        <is>
          <t>לא נמצא בסריקת המפיצים</t>
        </is>
      </c>
      <c r="AE539" t="inlineStr">
        <is>
          <t>סריקת אתרי מפיצים</t>
        </is>
      </c>
      <c r="AG539" t="inlineStr"/>
      <c r="AH539" t="inlineStr"/>
      <c r="AJ539" t="inlineStr"/>
      <c r="AP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Y540" t="inlineStr">
        <is>
          <t>unknown</t>
        </is>
      </c>
      <c r="Z540" t="inlineStr"/>
      <c r="AA540" t="inlineStr"/>
      <c r="AB540" t="inlineStr"/>
      <c r="AC540" t="inlineStr"/>
      <c r="AD540" t="inlineStr">
        <is>
          <t>לא נמצא בסריקת המפיצים</t>
        </is>
      </c>
      <c r="AE540" t="inlineStr">
        <is>
          <t>סריקת אתרי מפיצים</t>
        </is>
      </c>
      <c r="AG540" t="inlineStr"/>
      <c r="AH540" t="inlineStr"/>
      <c r="AJ540" t="inlineStr"/>
      <c r="AP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Y541" t="inlineStr">
        <is>
          <t>unknown</t>
        </is>
      </c>
      <c r="Z541" t="inlineStr"/>
      <c r="AA541" t="inlineStr"/>
      <c r="AB541" t="inlineStr"/>
      <c r="AC541" t="inlineStr"/>
      <c r="AD541" t="inlineStr">
        <is>
          <t>לא נמצא בסריקת המפיצים</t>
        </is>
      </c>
      <c r="AE541" t="inlineStr">
        <is>
          <t>סריקת אתרי מפיצים</t>
        </is>
      </c>
      <c r="AG541" t="inlineStr"/>
      <c r="AH541" t="inlineStr"/>
      <c r="AJ541" t="inlineStr"/>
      <c r="AP541" t="inlineStr">
        <is>
          <t>https://www.thomassci.com/browse-by/suppliers/general-lab-products</t>
        </is>
      </c>
    </row>
    <row r="542">
      <c r="A542" t="n">
        <v>541</v>
      </c>
      <c r="B542" t="inlineStr">
        <is>
          <t>Genesee</t>
        </is>
      </c>
      <c r="C542" t="inlineStr">
        <is>
          <t>D</t>
        </is>
      </c>
      <c r="D542" t="inlineStr">
        <is>
          <t>https://www.dutscher.com/search?initialFilters=brand:Genesee</t>
        </is>
      </c>
      <c r="F542" t="inlineStr"/>
      <c r="J542" t="inlineStr"/>
      <c r="Y542" t="inlineStr">
        <is>
          <t>unknown</t>
        </is>
      </c>
      <c r="Z542" t="inlineStr"/>
      <c r="AA542" t="inlineStr"/>
      <c r="AB542" t="inlineStr"/>
      <c r="AC542" t="inlineStr"/>
      <c r="AD542" t="inlineStr">
        <is>
          <t>לא נמצא בסריקת המפיצים</t>
        </is>
      </c>
      <c r="AE542" t="inlineStr">
        <is>
          <t>סריקת אתרי מפיצים</t>
        </is>
      </c>
      <c r="AG542" t="inlineStr"/>
      <c r="AH542" t="inlineStr"/>
      <c r="AJ542" t="inlineStr"/>
      <c r="AP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Y543" t="inlineStr">
        <is>
          <t>unknown</t>
        </is>
      </c>
      <c r="Z543" t="inlineStr"/>
      <c r="AA543" t="inlineStr"/>
      <c r="AB543" t="inlineStr"/>
      <c r="AC543" t="inlineStr"/>
      <c r="AD543" t="inlineStr">
        <is>
          <t>לא נמצא בסריקת המפיצים</t>
        </is>
      </c>
      <c r="AE543" t="inlineStr">
        <is>
          <t>סריקת אתרי מפיצים</t>
        </is>
      </c>
      <c r="AG543" t="inlineStr"/>
      <c r="AH543" t="inlineStr"/>
      <c r="AJ543" t="inlineStr">
        <is>
          <t>1-949-553-1900</t>
        </is>
      </c>
      <c r="AK543" t="inlineStr">
        <is>
          <t>info@genetex.com</t>
        </is>
      </c>
      <c r="AM543" t="inlineStr">
        <is>
          <t>https://www.genetex.com/contact</t>
        </is>
      </c>
      <c r="AN543" t="inlineStr">
        <is>
          <t>https://www.genetex.com/contact</t>
        </is>
      </c>
      <c r="AP543" t="inlineStr">
        <is>
          <t>https://www.quartzy.com/suppliers | https://www.genetex.com/contact</t>
        </is>
      </c>
    </row>
    <row r="544">
      <c r="A544" t="n">
        <v>543</v>
      </c>
      <c r="B544" t="inlineStr">
        <is>
          <t>Genie Group</t>
        </is>
      </c>
      <c r="C544" t="inlineStr">
        <is>
          <t>T</t>
        </is>
      </c>
      <c r="E544" t="inlineStr">
        <is>
          <t>https://www.thomassci.com/browse-by/suppliers/genie-group</t>
        </is>
      </c>
      <c r="F544" t="inlineStr"/>
      <c r="J544" t="inlineStr"/>
      <c r="Y544" t="inlineStr">
        <is>
          <t>unknown</t>
        </is>
      </c>
      <c r="Z544" t="inlineStr"/>
      <c r="AA544" t="inlineStr"/>
      <c r="AB544" t="inlineStr"/>
      <c r="AC544" t="inlineStr"/>
      <c r="AD544" t="inlineStr">
        <is>
          <t>לא נמצא בסריקת המפיצים</t>
        </is>
      </c>
      <c r="AE544" t="inlineStr">
        <is>
          <t>סריקת אתרי מפיצים</t>
        </is>
      </c>
      <c r="AG544" t="inlineStr"/>
      <c r="AH544" t="inlineStr"/>
      <c r="AJ544" t="inlineStr"/>
      <c r="AP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Y545" t="inlineStr">
        <is>
          <t>unknown</t>
        </is>
      </c>
      <c r="Z545" t="inlineStr"/>
      <c r="AA545" t="inlineStr"/>
      <c r="AB545" t="inlineStr"/>
      <c r="AC545" t="inlineStr"/>
      <c r="AD545" t="inlineStr">
        <is>
          <t>לא נמצא בסריקת המפיצים</t>
        </is>
      </c>
      <c r="AE545" t="inlineStr">
        <is>
          <t>סריקת אתרי מפיצים</t>
        </is>
      </c>
      <c r="AG545" t="inlineStr"/>
      <c r="AH545" t="inlineStr"/>
      <c r="AJ545" t="inlineStr"/>
      <c r="AK545" t="inlineStr">
        <is>
          <t>support@genlantisdx.com</t>
        </is>
      </c>
      <c r="AN545" t="inlineStr">
        <is>
          <t>https://genlantisdx.com/</t>
        </is>
      </c>
      <c r="AP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Y546" t="inlineStr">
        <is>
          <t>unknown</t>
        </is>
      </c>
      <c r="Z546" t="inlineStr"/>
      <c r="AA546" t="inlineStr"/>
      <c r="AB546" t="inlineStr"/>
      <c r="AC546" t="inlineStr"/>
      <c r="AD546" t="inlineStr">
        <is>
          <t>מפיץ/נציג בישראל</t>
        </is>
      </c>
      <c r="AE546" t="inlineStr">
        <is>
          <t>סריקת אתרי מפיצים</t>
        </is>
      </c>
      <c r="AF546" t="n">
        <v>2026</v>
      </c>
      <c r="AG546" t="inlineStr">
        <is>
          <t>Yair Technologies</t>
        </is>
      </c>
      <c r="AH546" t="inlineStr">
        <is>
          <t>Yair Technologies: +97288544856 contact@yairtech.co.il</t>
        </is>
      </c>
      <c r="AJ546" t="inlineStr">
        <is>
          <t>+86 187 2162 7299</t>
        </is>
      </c>
      <c r="AK546" t="inlineStr">
        <is>
          <t>order@genovis.com</t>
        </is>
      </c>
      <c r="AM546" t="inlineStr">
        <is>
          <t>https://www.genovis.com/support/contact-us/</t>
        </is>
      </c>
      <c r="AN546" t="inlineStr">
        <is>
          <t>https://www.genovis.com/support/contact-us/</t>
        </is>
      </c>
      <c r="AP546" t="inlineStr">
        <is>
          <t>https://www.quartzy.com/suppliers | https://www.yairtech.co.il/partners/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Y547" t="inlineStr">
        <is>
          <t>unknown</t>
        </is>
      </c>
      <c r="Z547" t="inlineStr"/>
      <c r="AA547" t="inlineStr"/>
      <c r="AB547" t="inlineStr"/>
      <c r="AC547" t="inlineStr"/>
      <c r="AD547" t="inlineStr">
        <is>
          <t>לא ברור</t>
        </is>
      </c>
      <c r="AE547" t="inlineStr">
        <is>
          <t>חיפוש חלקי</t>
        </is>
      </c>
      <c r="AG547" t="inlineStr"/>
      <c r="AH547" t="inlineStr"/>
      <c r="AI547" t="inlineStr">
        <is>
          <t>No distributor named. A third-party job listing (Mar 2026) for 'Sales Account Manager, Israel' at 'GenScript Israel' suggests direct sales coverage, and a company-data profile lists Israel as a new market, but nothing was confirmed on a GenScript page.</t>
        </is>
      </c>
      <c r="AJ547" t="inlineStr">
        <is>
          <t>+86-025-58897288</t>
        </is>
      </c>
      <c r="AK547" t="inlineStr">
        <is>
          <t>order@genscript.com</t>
        </is>
      </c>
      <c r="AM547" t="inlineStr">
        <is>
          <t>https://www.genscript.com/contact.html</t>
        </is>
      </c>
      <c r="AN547" t="inlineStr">
        <is>
          <t>https://www.genscript.com/contact.html</t>
        </is>
      </c>
      <c r="AP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clearbit_verified</t>
        </is>
      </c>
      <c r="J548" t="inlineStr"/>
      <c r="Y548" t="inlineStr">
        <is>
          <t>unknown</t>
        </is>
      </c>
      <c r="Z548" t="inlineStr"/>
      <c r="AA548" t="inlineStr"/>
      <c r="AB548" t="inlineStr"/>
      <c r="AC548" t="inlineStr"/>
      <c r="AD548" t="inlineStr">
        <is>
          <t>לא נמצא בסריקת המפיצים</t>
        </is>
      </c>
      <c r="AE548" t="inlineStr">
        <is>
          <t>סריקת אתרי מפיצים</t>
        </is>
      </c>
      <c r="AG548" t="inlineStr"/>
      <c r="AH548" t="inlineStr"/>
      <c r="AJ548" t="inlineStr"/>
      <c r="AN548" t="inlineStr">
        <is>
          <t>https://www.gp.com/</t>
        </is>
      </c>
      <c r="AP548" t="inlineStr">
        <is>
          <t>https://www.thomassci.com/browse-by/suppliers/georgia-pacific | https://www.gp.com/</t>
        </is>
      </c>
    </row>
    <row r="549">
      <c r="A549" t="n">
        <v>548</v>
      </c>
      <c r="B549" t="inlineStr">
        <is>
          <t>Gerhardt</t>
        </is>
      </c>
      <c r="C549" t="inlineStr">
        <is>
          <t>D</t>
        </is>
      </c>
      <c r="D549" t="inlineStr">
        <is>
          <t>https://www.dutscher.com/search?initialFilters=brand:Gerhardt</t>
        </is>
      </c>
      <c r="F549" t="inlineStr"/>
      <c r="J549" t="inlineStr"/>
      <c r="Y549" t="inlineStr">
        <is>
          <t>unknown</t>
        </is>
      </c>
      <c r="Z549" t="inlineStr"/>
      <c r="AA549" t="inlineStr"/>
      <c r="AB549" t="inlineStr"/>
      <c r="AC549" t="inlineStr"/>
      <c r="AD549" t="inlineStr">
        <is>
          <t>לא נמצא בסריקת המפיצים</t>
        </is>
      </c>
      <c r="AE549" t="inlineStr">
        <is>
          <t>סריקת אתרי מפיצים</t>
        </is>
      </c>
      <c r="AG549" t="inlineStr"/>
      <c r="AH549" t="inlineStr"/>
      <c r="AJ549" t="inlineStr"/>
      <c r="AP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Y550" t="inlineStr">
        <is>
          <t>unknown</t>
        </is>
      </c>
      <c r="Z550" t="inlineStr"/>
      <c r="AA550" t="inlineStr"/>
      <c r="AB550" t="inlineStr"/>
      <c r="AC550" t="inlineStr"/>
      <c r="AD550" t="inlineStr">
        <is>
          <t>לא נמצא בסריקת המפיצים</t>
        </is>
      </c>
      <c r="AE550" t="inlineStr">
        <is>
          <t>סריקת אתרי מפיצים</t>
        </is>
      </c>
      <c r="AG550" t="inlineStr"/>
      <c r="AH550" t="inlineStr"/>
      <c r="AJ550" t="inlineStr"/>
      <c r="AP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c r="Y551" t="inlineStr">
        <is>
          <t>unknown</t>
        </is>
      </c>
      <c r="Z551" t="inlineStr"/>
      <c r="AA551" t="inlineStr"/>
      <c r="AB551" t="inlineStr"/>
      <c r="AC551" t="inlineStr"/>
      <c r="AD551" t="inlineStr">
        <is>
          <t>לא נמצא בחיפוש ראשוני</t>
        </is>
      </c>
      <c r="AE551" t="inlineStr">
        <is>
          <t>חיפוש חלקי</t>
        </is>
      </c>
      <c r="AG551" t="inlineStr"/>
      <c r="AH551" t="inlineStr"/>
      <c r="AI551" t="inlineStr">
        <is>
          <t>No result mentioned GFS Chemicals; only general Israeli specialty-chemical distributors (BSC Distributors, Orokia/Azelis, Lidorr, Y.S. Ashkenazi/Brenntag).</t>
        </is>
      </c>
      <c r="AJ551" t="inlineStr"/>
      <c r="AN551" t="inlineStr">
        <is>
          <t>https://www.gfschemicals.com/</t>
        </is>
      </c>
      <c r="AP551" t="inlineStr">
        <is>
          <t>https://www.quartzy.com/suppliers | https://www.thomassci.com/browse-by/suppliers/gfs-chemicals | https://www.gfschemicals.com/</t>
        </is>
      </c>
    </row>
    <row r="552">
      <c r="A552" t="n">
        <v>551</v>
      </c>
      <c r="B552" t="inlineStr">
        <is>
          <t>Gilac</t>
        </is>
      </c>
      <c r="C552" t="inlineStr">
        <is>
          <t>D</t>
        </is>
      </c>
      <c r="D552" t="inlineStr">
        <is>
          <t>https://www.dutscher.com/search?initialFilters=brand:Gilac</t>
        </is>
      </c>
      <c r="F552" t="inlineStr"/>
      <c r="H552" t="inlineStr">
        <is>
          <t>https://gilac.com</t>
        </is>
      </c>
      <c r="I552" t="inlineStr">
        <is>
          <t>clearbit_verified</t>
        </is>
      </c>
      <c r="J552" t="inlineStr"/>
      <c r="Y552" t="inlineStr">
        <is>
          <t>unknown</t>
        </is>
      </c>
      <c r="Z552" t="inlineStr"/>
      <c r="AA552" t="inlineStr"/>
      <c r="AB552" t="inlineStr"/>
      <c r="AC552" t="inlineStr"/>
      <c r="AD552" t="inlineStr">
        <is>
          <t>לא נמצא בסריקת המפיצים</t>
        </is>
      </c>
      <c r="AE552" t="inlineStr">
        <is>
          <t>סריקת אתרי מפיצים</t>
        </is>
      </c>
      <c r="AG552" t="inlineStr"/>
      <c r="AH552" t="inlineStr"/>
      <c r="AJ552" t="inlineStr">
        <is>
          <t>+3320042072201720572072</t>
        </is>
      </c>
      <c r="AM552" t="inlineStr">
        <is>
          <t>https://www.gilac.com/en/contact-us</t>
        </is>
      </c>
      <c r="AN552" t="inlineStr">
        <is>
          <t>https://www.gilac.com/en/contact-us</t>
        </is>
      </c>
      <c r="AP552" t="inlineStr">
        <is>
          <t>https://www.dutscher.com/search?initialFilters=brand:Gilac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P553" t="n">
        <v>800</v>
      </c>
      <c r="Q553" t="n">
        <v>2024</v>
      </c>
      <c r="R553" t="inlineStr">
        <is>
          <t>estimate</t>
        </is>
      </c>
      <c r="S553" t="inlineStr">
        <is>
          <t>prior</t>
        </is>
      </c>
      <c r="T553" t="n">
        <v>200</v>
      </c>
      <c r="U553" t="inlineStr">
        <is>
          <t>USD ~200 million (trade estimate; private)</t>
        </is>
      </c>
      <c r="V553" t="inlineStr">
        <is>
          <t>2024 (estimate)</t>
        </is>
      </c>
      <c r="W553" t="inlineStr">
        <is>
          <t>estimate</t>
        </is>
      </c>
      <c r="X553" t="inlineStr">
        <is>
          <t>prior</t>
        </is>
      </c>
      <c r="Y553" t="inlineStr">
        <is>
          <t>estimate</t>
        </is>
      </c>
      <c r="Z553" t="inlineStr">
        <is>
          <t>PIPETMAN L / G / P</t>
        </is>
      </c>
      <c r="AA553" t="inlineStr">
        <is>
          <t>PLC 2050 / 2250 purification systems</t>
        </is>
      </c>
      <c r="AB553" t="inlineStr">
        <is>
          <t>GX-271 / GX-274 ASPEC</t>
        </is>
      </c>
      <c r="AC553" t="inlineStr">
        <is>
          <t>prior</t>
        </is>
      </c>
      <c r="AD553" t="inlineStr">
        <is>
          <t>מפיץ/נציג בישראל</t>
        </is>
      </c>
      <c r="AE553" t="inlineStr">
        <is>
          <t>אומת</t>
        </is>
      </c>
      <c r="AF553" t="n">
        <v>2026</v>
      </c>
      <c r="AG553" t="inlineStr">
        <is>
          <t>Agentek (1987) Ltd.; Lifegene Ltd.</t>
        </is>
      </c>
      <c r="AH553" t="inlineStr">
        <is>
          <t>Agentek (1987) Ltd.: +972 9-965-7000; Lifegene Ltd.: +972 8-644-4314 info@lifegene.co.il</t>
        </is>
      </c>
      <c r="AI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J553" t="inlineStr">
        <is>
          <t>+1 608-836-1551</t>
        </is>
      </c>
      <c r="AL553" t="inlineStr">
        <is>
          <t>3000 Parmenter Street, P.O. Box 620027, Middleton, WI 53562-0027, USA</t>
        </is>
      </c>
      <c r="AM553" t="inlineStr">
        <is>
          <t>https://gmlh.gilson.com/GMLHSV/services-and-support/contact.html</t>
        </is>
      </c>
      <c r="AN553" t="inlineStr">
        <is>
          <t>https://gmlh.gilson.com/GMLHSV/services-and-support/contact.html</t>
        </is>
      </c>
      <c r="AP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Y554" t="inlineStr">
        <is>
          <t>unknown</t>
        </is>
      </c>
      <c r="Z554" t="inlineStr"/>
      <c r="AA554" t="inlineStr"/>
      <c r="AB554" t="inlineStr"/>
      <c r="AC554" t="inlineStr"/>
      <c r="AD554" t="inlineStr">
        <is>
          <t>לא נמצא בסריקת המפיצים</t>
        </is>
      </c>
      <c r="AE554" t="inlineStr">
        <is>
          <t>סריקת אתרי מפיצים</t>
        </is>
      </c>
      <c r="AG554" t="inlineStr"/>
      <c r="AH554" t="inlineStr"/>
      <c r="AJ554" t="inlineStr">
        <is>
          <t>812-235-6167</t>
        </is>
      </c>
      <c r="AM554" t="inlineStr">
        <is>
          <t>https://www.glascol.com/Contact-Us</t>
        </is>
      </c>
      <c r="AN554" t="inlineStr">
        <is>
          <t>https://www.glascol.com/Contact-Us</t>
        </is>
      </c>
      <c r="AP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Y555" t="inlineStr">
        <is>
          <t>unknown</t>
        </is>
      </c>
      <c r="Z555" t="inlineStr"/>
      <c r="AA555" t="inlineStr"/>
      <c r="AB555" t="inlineStr"/>
      <c r="AC555" t="inlineStr"/>
      <c r="AD555" t="inlineStr">
        <is>
          <t>לא נמצא בסריקת המפיצים</t>
        </is>
      </c>
      <c r="AE555" t="inlineStr">
        <is>
          <t>סריקת אתרי מפיצים</t>
        </is>
      </c>
      <c r="AG555" t="inlineStr"/>
      <c r="AH555" t="inlineStr"/>
      <c r="AJ555" t="inlineStr"/>
      <c r="AP555" t="inlineStr">
        <is>
          <t>https://www.thomassci.com/browse-by/suppliers/glass-vials</t>
        </is>
      </c>
    </row>
    <row r="556">
      <c r="A556" t="n">
        <v>555</v>
      </c>
      <c r="B556" t="inlineStr">
        <is>
          <t>Glastron</t>
        </is>
      </c>
      <c r="C556" t="inlineStr">
        <is>
          <t>T</t>
        </is>
      </c>
      <c r="E556" t="inlineStr">
        <is>
          <t>https://www.thomassci.com/browse-by/suppliers/glastron</t>
        </is>
      </c>
      <c r="F556" t="inlineStr"/>
      <c r="J556" t="inlineStr"/>
      <c r="Y556" t="inlineStr">
        <is>
          <t>unknown</t>
        </is>
      </c>
      <c r="Z556" t="inlineStr"/>
      <c r="AA556" t="inlineStr"/>
      <c r="AB556" t="inlineStr"/>
      <c r="AC556" t="inlineStr"/>
      <c r="AD556" t="inlineStr">
        <is>
          <t>לא נמצא בסריקת המפיצים</t>
        </is>
      </c>
      <c r="AE556" t="inlineStr">
        <is>
          <t>סריקת אתרי מפיצים</t>
        </is>
      </c>
      <c r="AG556" t="inlineStr"/>
      <c r="AH556" t="inlineStr"/>
      <c r="AJ556" t="inlineStr"/>
      <c r="AP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Y557" t="inlineStr">
        <is>
          <t>unknown</t>
        </is>
      </c>
      <c r="Z557" t="inlineStr"/>
      <c r="AA557" t="inlineStr"/>
      <c r="AB557" t="inlineStr"/>
      <c r="AC557" t="inlineStr"/>
      <c r="AD557" t="inlineStr">
        <is>
          <t>לא נמצא בסריקת המפיצים</t>
        </is>
      </c>
      <c r="AE557" t="inlineStr">
        <is>
          <t>סריקת אתרי מפיצים</t>
        </is>
      </c>
      <c r="AG557" t="inlineStr"/>
      <c r="AH557" t="inlineStr"/>
      <c r="AJ557" t="inlineStr">
        <is>
          <t>+12015991400</t>
        </is>
      </c>
      <c r="AK557" t="inlineStr">
        <is>
          <t>mail@globescientific.com</t>
        </is>
      </c>
      <c r="AM557" t="inlineStr">
        <is>
          <t>https://globescientific.com/pages/contact-us</t>
        </is>
      </c>
      <c r="AN557" t="inlineStr">
        <is>
          <t>https://globescientific.com/pages/contact-us</t>
        </is>
      </c>
      <c r="AP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O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Y558" t="inlineStr">
        <is>
          <t>unknown</t>
        </is>
      </c>
      <c r="Z558" t="inlineStr"/>
      <c r="AA558" t="inlineStr"/>
      <c r="AB558" t="inlineStr"/>
      <c r="AC558" t="inlineStr"/>
      <c r="AD558" t="inlineStr">
        <is>
          <t>לא נמצא בחיפוש ראשוני</t>
        </is>
      </c>
      <c r="AE558" t="inlineStr">
        <is>
          <t>חיפוש חלקי</t>
        </is>
      </c>
      <c r="AG558" t="inlineStr"/>
      <c r="AH558" t="inlineStr"/>
      <c r="AI558" t="inlineStr">
        <is>
          <t>No result mentions the company; hits were unrelated Israeli pharma labeling services (Dor), importers (Propharm) and MoH GMP certificates.</t>
        </is>
      </c>
      <c r="AJ558" t="inlineStr">
        <is>
          <t>(800) 637-4487</t>
        </is>
      </c>
      <c r="AK558" t="inlineStr">
        <is>
          <t>sales@gmplabeling.com</t>
        </is>
      </c>
      <c r="AM558" t="inlineStr">
        <is>
          <t>https://gmplabeling.com/contact-us/</t>
        </is>
      </c>
      <c r="AN558" t="inlineStr">
        <is>
          <t>https://gmplabeling.com/contact-us/</t>
        </is>
      </c>
      <c r="AP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Y559" t="inlineStr">
        <is>
          <t>unknown</t>
        </is>
      </c>
      <c r="Z559" t="inlineStr"/>
      <c r="AA559" t="inlineStr"/>
      <c r="AB559" t="inlineStr"/>
      <c r="AC559" t="inlineStr"/>
      <c r="AD559" t="inlineStr">
        <is>
          <t>מפיץ/נציג בישראל</t>
        </is>
      </c>
      <c r="AE559" t="inlineStr">
        <is>
          <t>סריקת אתרי מפיצים</t>
        </is>
      </c>
      <c r="AF559" t="n">
        <v>2026</v>
      </c>
      <c r="AG559" t="inlineStr">
        <is>
          <t>Yair Technologies</t>
        </is>
      </c>
      <c r="AH559" t="inlineStr">
        <is>
          <t>Yair Technologies: +97288544856 contact@yairtech.co.il</t>
        </is>
      </c>
      <c r="AJ559" t="inlineStr"/>
      <c r="AP559" t="inlineStr">
        <is>
          <t>https://www.thomassci.com/browse-by/suppliers/goatthroat | https://www.yairtech.co.il/product/</t>
        </is>
      </c>
    </row>
    <row r="560">
      <c r="A560" t="n">
        <v>559</v>
      </c>
      <c r="B560" t="inlineStr">
        <is>
          <t>Gold Biotechnology</t>
        </is>
      </c>
      <c r="C560" t="inlineStr">
        <is>
          <t>Q</t>
        </is>
      </c>
      <c r="F560" t="inlineStr">
        <is>
          <t>yes</t>
        </is>
      </c>
      <c r="J560" t="inlineStr"/>
      <c r="Y560" t="inlineStr">
        <is>
          <t>unknown</t>
        </is>
      </c>
      <c r="Z560" t="inlineStr"/>
      <c r="AA560" t="inlineStr"/>
      <c r="AB560" t="inlineStr"/>
      <c r="AC560" t="inlineStr"/>
      <c r="AD560" t="inlineStr">
        <is>
          <t>לא נמצא בסריקת המפיצים</t>
        </is>
      </c>
      <c r="AE560" t="inlineStr">
        <is>
          <t>סריקת אתרי מפיצים</t>
        </is>
      </c>
      <c r="AG560" t="inlineStr"/>
      <c r="AH560" t="inlineStr"/>
      <c r="AJ560" t="inlineStr"/>
      <c r="AP560" t="inlineStr">
        <is>
          <t>https://www.quartzy.com/suppliers</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Y561" t="inlineStr">
        <is>
          <t>unknown</t>
        </is>
      </c>
      <c r="Z561" t="inlineStr"/>
      <c r="AA561" t="inlineStr"/>
      <c r="AB561" t="inlineStr"/>
      <c r="AC561" t="inlineStr"/>
      <c r="AD561" t="inlineStr">
        <is>
          <t>לא נמצא בסריקת המפיצים</t>
        </is>
      </c>
      <c r="AE561" t="inlineStr">
        <is>
          <t>סריקת אתרי מפיצים</t>
        </is>
      </c>
      <c r="AG561" t="inlineStr"/>
      <c r="AH561" t="inlineStr"/>
      <c r="AJ561" t="inlineStr">
        <is>
          <t>18009507950</t>
        </is>
      </c>
      <c r="AM561" t="inlineStr">
        <is>
          <t>https://www.gordonbrush.com/contact</t>
        </is>
      </c>
      <c r="AN561" t="inlineStr">
        <is>
          <t>https://www.gordonbrush.com/contact</t>
        </is>
      </c>
      <c r="AP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Y562" t="inlineStr">
        <is>
          <t>unknown</t>
        </is>
      </c>
      <c r="Z562" t="inlineStr"/>
      <c r="AA562" t="inlineStr"/>
      <c r="AB562" t="inlineStr"/>
      <c r="AC562" t="inlineStr"/>
      <c r="AD562" t="inlineStr">
        <is>
          <t>לא נמצא בסריקת המפיצים</t>
        </is>
      </c>
      <c r="AE562" t="inlineStr">
        <is>
          <t>סריקת אתרי מפיצים</t>
        </is>
      </c>
      <c r="AG562" t="inlineStr"/>
      <c r="AH562" t="inlineStr"/>
      <c r="AJ562" t="inlineStr"/>
      <c r="AP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clearbit_verified</t>
        </is>
      </c>
      <c r="J563" t="inlineStr"/>
      <c r="Y563" t="inlineStr">
        <is>
          <t>unknown</t>
        </is>
      </c>
      <c r="Z563" t="inlineStr"/>
      <c r="AA563" t="inlineStr"/>
      <c r="AB563" t="inlineStr"/>
      <c r="AC563" t="inlineStr"/>
      <c r="AD563" t="inlineStr">
        <is>
          <t>לא נמצא בסריקת המפיצים</t>
        </is>
      </c>
      <c r="AE563" t="inlineStr">
        <is>
          <t>סריקת אתרי מפיצים</t>
        </is>
      </c>
      <c r="AG563" t="inlineStr"/>
      <c r="AH563" t="inlineStr"/>
      <c r="AJ563" t="inlineStr">
        <is>
          <t>+18008137339</t>
        </is>
      </c>
      <c r="AM563" t="inlineStr">
        <is>
          <t>https://gracebio.com/contact-us/</t>
        </is>
      </c>
      <c r="AN563" t="inlineStr">
        <is>
          <t>https://gracebio.com/contact-us/</t>
        </is>
      </c>
      <c r="AP563" t="inlineStr">
        <is>
          <t>https://www.quartzy.com/suppliers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Y564" t="inlineStr">
        <is>
          <t>unknown</t>
        </is>
      </c>
      <c r="Z564" t="inlineStr"/>
      <c r="AA564" t="inlineStr"/>
      <c r="AB564" t="inlineStr"/>
      <c r="AC564" t="inlineStr"/>
      <c r="AD564" t="inlineStr">
        <is>
          <t>לא נמצא בסריקת המפיצים</t>
        </is>
      </c>
      <c r="AE564" t="inlineStr">
        <is>
          <t>סריקת אתרי מפיצים</t>
        </is>
      </c>
      <c r="AG564" t="inlineStr"/>
      <c r="AH564" t="inlineStr"/>
      <c r="AJ564" t="inlineStr">
        <is>
          <t>(800) 558-6765</t>
        </is>
      </c>
      <c r="AN564" t="inlineStr">
        <is>
          <t>https://www.grahammedical.com/</t>
        </is>
      </c>
      <c r="AP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c r="Y565" t="inlineStr">
        <is>
          <t>unknown</t>
        </is>
      </c>
      <c r="Z565" t="inlineStr"/>
      <c r="AA565" t="inlineStr"/>
      <c r="AB565" t="inlineStr"/>
      <c r="AC565" t="inlineStr"/>
      <c r="AD565" t="inlineStr">
        <is>
          <t>לא נמצא בסריקת המפיצים</t>
        </is>
      </c>
      <c r="AE565" t="inlineStr">
        <is>
          <t>סריקת אתרי מפיצים</t>
        </is>
      </c>
      <c r="AG565" t="inlineStr"/>
      <c r="AH565" t="inlineStr"/>
      <c r="AJ565" t="inlineStr">
        <is>
          <t>1-800-472-4643</t>
        </is>
      </c>
      <c r="AN565" t="inlineStr">
        <is>
          <t>https://www.grainger.com/</t>
        </is>
      </c>
      <c r="AP565" t="inlineStr">
        <is>
          <t>https://www.thomassci.com/browse-by/suppliers/grainger | https://www.grainger.com/</t>
        </is>
      </c>
    </row>
    <row r="566">
      <c r="A566" t="n">
        <v>565</v>
      </c>
      <c r="B566" t="inlineStr">
        <is>
          <t>GraLab</t>
        </is>
      </c>
      <c r="C566" t="inlineStr">
        <is>
          <t>T</t>
        </is>
      </c>
      <c r="E566" t="inlineStr">
        <is>
          <t>https://www.thomassci.com/browse-by/suppliers/gralab</t>
        </is>
      </c>
      <c r="F566" t="inlineStr"/>
      <c r="J566" t="inlineStr"/>
      <c r="Y566" t="inlineStr">
        <is>
          <t>unknown</t>
        </is>
      </c>
      <c r="Z566" t="inlineStr"/>
      <c r="AA566" t="inlineStr"/>
      <c r="AB566" t="inlineStr"/>
      <c r="AC566" t="inlineStr"/>
      <c r="AD566" t="inlineStr">
        <is>
          <t>לא נמצא בסריקת המפיצים</t>
        </is>
      </c>
      <c r="AE566" t="inlineStr">
        <is>
          <t>סריקת אתרי מפיצים</t>
        </is>
      </c>
      <c r="AG566" t="inlineStr"/>
      <c r="AH566" t="inlineStr"/>
      <c r="AJ566" t="inlineStr"/>
      <c r="AP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Y567" t="inlineStr">
        <is>
          <t>unknown</t>
        </is>
      </c>
      <c r="Z567" t="inlineStr"/>
      <c r="AA567" t="inlineStr"/>
      <c r="AB567" t="inlineStr"/>
      <c r="AC567" t="inlineStr"/>
      <c r="AD567" t="inlineStr">
        <is>
          <t>לא נמצא בסריקת המפיצים</t>
        </is>
      </c>
      <c r="AE567" t="inlineStr">
        <is>
          <t>סריקת אתרי מפיצים</t>
        </is>
      </c>
      <c r="AG567" t="inlineStr"/>
      <c r="AH567" t="inlineStr"/>
      <c r="AJ567" t="inlineStr"/>
      <c r="AP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Y568" t="inlineStr">
        <is>
          <t>unknown</t>
        </is>
      </c>
      <c r="Z568" t="inlineStr"/>
      <c r="AA568" t="inlineStr"/>
      <c r="AB568" t="inlineStr"/>
      <c r="AC568" t="inlineStr"/>
      <c r="AD568" t="inlineStr">
        <is>
          <t>לא נמצא בסריקת המפיצים</t>
        </is>
      </c>
      <c r="AE568" t="inlineStr">
        <is>
          <t>סריקת אתרי מפיצים</t>
        </is>
      </c>
      <c r="AG568" t="inlineStr"/>
      <c r="AH568" t="inlineStr"/>
      <c r="AJ568" t="inlineStr">
        <is>
          <t>1763 260 811</t>
        </is>
      </c>
      <c r="AM568" t="inlineStr">
        <is>
          <t>https://www.grantinstruments.com/pages/contact-us</t>
        </is>
      </c>
      <c r="AN568" t="inlineStr">
        <is>
          <t>https://www.grantinstruments.com/pages/contact-us</t>
        </is>
      </c>
      <c r="AP568" t="inlineStr">
        <is>
          <t>https://www.thomassci.com/browse-by/suppliers/grant-instruments | https://www.grantinstruments.com/pages/contact-us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Y569" t="inlineStr">
        <is>
          <t>unknown</t>
        </is>
      </c>
      <c r="Z569" t="inlineStr"/>
      <c r="AA569" t="inlineStr"/>
      <c r="AB569" t="inlineStr"/>
      <c r="AC569" t="inlineStr"/>
      <c r="AD569" t="inlineStr">
        <is>
          <t>לא נמצא בסריקת המפיצים</t>
        </is>
      </c>
      <c r="AE569" t="inlineStr">
        <is>
          <t>סריקת אתרי מפיצים</t>
        </is>
      </c>
      <c r="AG569" t="inlineStr"/>
      <c r="AH569" t="inlineStr"/>
      <c r="AJ569" t="inlineStr">
        <is>
          <t>+800.669.1535</t>
        </is>
      </c>
      <c r="AM569" t="inlineStr">
        <is>
          <t>https://www.graphiccontrols.com/en/contact-us/</t>
        </is>
      </c>
      <c r="AN569" t="inlineStr">
        <is>
          <t>https://www.graphiccontrols.com/en/contact-us/</t>
        </is>
      </c>
      <c r="AP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Y570" t="inlineStr">
        <is>
          <t>unknown</t>
        </is>
      </c>
      <c r="Z570" t="inlineStr"/>
      <c r="AA570" t="inlineStr"/>
      <c r="AB570" t="inlineStr"/>
      <c r="AC570" t="inlineStr"/>
      <c r="AD570" t="inlineStr">
        <is>
          <t>לא נמצא בסריקת המפיצים</t>
        </is>
      </c>
      <c r="AE570" t="inlineStr">
        <is>
          <t>סריקת אתרי מפיצים</t>
        </is>
      </c>
      <c r="AG570" t="inlineStr"/>
      <c r="AH570" t="inlineStr"/>
      <c r="AJ570" t="inlineStr"/>
      <c r="AP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Y571" t="inlineStr">
        <is>
          <t>unknown</t>
        </is>
      </c>
      <c r="Z571" t="inlineStr"/>
      <c r="AA571" t="inlineStr"/>
      <c r="AB571" t="inlineStr"/>
      <c r="AC571" t="inlineStr"/>
      <c r="AD571" t="inlineStr">
        <is>
          <t>לא נמצא בסריקת המפיצים</t>
        </is>
      </c>
      <c r="AE571" t="inlineStr">
        <is>
          <t>סריקת אתרי מפיצים</t>
        </is>
      </c>
      <c r="AG571" t="inlineStr"/>
      <c r="AH571" t="inlineStr"/>
      <c r="AJ571" t="inlineStr"/>
      <c r="AP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Y572" t="inlineStr">
        <is>
          <t>unknown</t>
        </is>
      </c>
      <c r="Z572" t="inlineStr"/>
      <c r="AA572" t="inlineStr"/>
      <c r="AB572" t="inlineStr"/>
      <c r="AC572" t="inlineStr"/>
      <c r="AD572" t="inlineStr">
        <is>
          <t>לא נמצא בסריקת המפיצים</t>
        </is>
      </c>
      <c r="AE572" t="inlineStr">
        <is>
          <t>סריקת אתרי מפיצים</t>
        </is>
      </c>
      <c r="AG572" t="inlineStr"/>
      <c r="AH572" t="inlineStr"/>
      <c r="AJ572" t="inlineStr"/>
      <c r="AP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Y573" t="inlineStr">
        <is>
          <t>unknown</t>
        </is>
      </c>
      <c r="Z573" t="inlineStr"/>
      <c r="AA573" t="inlineStr"/>
      <c r="AB573" t="inlineStr"/>
      <c r="AC573" t="inlineStr"/>
      <c r="AD573" t="inlineStr">
        <is>
          <t>לא נמצא בחיפוש ראשוני</t>
        </is>
      </c>
      <c r="AE573" t="inlineStr">
        <is>
          <t>חיפוש חלקי</t>
        </is>
      </c>
      <c r="AG573" t="inlineStr"/>
      <c r="AH573" t="inlineStr"/>
      <c r="AI573" t="inlineStr">
        <is>
          <t>Greenwood Products (Piscataway, NJ; acquired by Calibre Scientific, April 2023) results are US-only; Israeli distributor pages (Rhenium, Enco, S.L. Moran) do not mention Greenwood.</t>
        </is>
      </c>
      <c r="AJ573" t="inlineStr">
        <is>
          <t>800-333-3898</t>
        </is>
      </c>
      <c r="AM573" t="inlineStr">
        <is>
          <t>https://greenwoodproducts.com/pages/contact-sales</t>
        </is>
      </c>
      <c r="AN573" t="inlineStr">
        <is>
          <t>https://greenwoodproducts.com/pages/contact-sales</t>
        </is>
      </c>
      <c r="AP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P574" t="n">
        <v>2651</v>
      </c>
      <c r="Q574" t="n">
        <v>2025</v>
      </c>
      <c r="R574" t="inlineStr">
        <is>
          <t>company</t>
        </is>
      </c>
      <c r="S574" t="inlineStr">
        <is>
          <t>prior</t>
        </is>
      </c>
      <c r="T574" t="n">
        <v>701</v>
      </c>
      <c r="U574" t="inlineStr">
        <is>
          <t>EUR 637 million</t>
        </is>
      </c>
      <c r="V574" t="inlineStr">
        <is>
          <t>FY2025</t>
        </is>
      </c>
      <c r="W574" t="inlineStr">
        <is>
          <t>company</t>
        </is>
      </c>
      <c r="X574" t="inlineStr">
        <is>
          <t>prior</t>
        </is>
      </c>
      <c r="Y574" t="inlineStr">
        <is>
          <t>reported</t>
        </is>
      </c>
      <c r="Z574" t="inlineStr">
        <is>
          <t>VACUETTE</t>
        </is>
      </c>
      <c r="AA574" t="inlineStr">
        <is>
          <t>CELLSTAR</t>
        </is>
      </c>
      <c r="AB574" t="inlineStr">
        <is>
          <t>Sapphire tips &amp; µClear microplates</t>
        </is>
      </c>
      <c r="AC574" t="inlineStr">
        <is>
          <t>prior</t>
        </is>
      </c>
      <c r="AD574" t="inlineStr">
        <is>
          <t>מפיץ/נציג בישראל</t>
        </is>
      </c>
      <c r="AE574" t="inlineStr">
        <is>
          <t>אומת</t>
        </is>
      </c>
      <c r="AF574" t="n">
        <v>2026</v>
      </c>
      <c r="AG574" t="inlineStr">
        <is>
          <t>Danyel Biotech Ltd. (Gamida for Life group)</t>
        </is>
      </c>
      <c r="AH574" t="inlineStr">
        <is>
          <t>Danyel Biotech Ltd. (Gamida for Life group): 1-800-711-911 (also +972 8-936-6066)</t>
        </is>
      </c>
      <c r="AI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J574" t="inlineStr">
        <is>
          <t>+43 7583 6791-0</t>
        </is>
      </c>
      <c r="AK574" t="inlineStr">
        <is>
          <t>office@gbo.com</t>
        </is>
      </c>
      <c r="AL574" t="inlineStr">
        <is>
          <t>Bad Haller Straße 32, 4550 Kremsmünster, Austria</t>
        </is>
      </c>
      <c r="AM574" t="inlineStr">
        <is>
          <t>https://www.gbo.com/en-us/contact</t>
        </is>
      </c>
      <c r="AN574" t="inlineStr">
        <is>
          <t>https://www.gbo.com/en-int/imprint</t>
        </is>
      </c>
      <c r="AP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Y575" t="inlineStr">
        <is>
          <t>unknown</t>
        </is>
      </c>
      <c r="Z575" t="inlineStr"/>
      <c r="AA575" t="inlineStr"/>
      <c r="AB575" t="inlineStr"/>
      <c r="AC575" t="inlineStr"/>
      <c r="AD575" t="inlineStr">
        <is>
          <t>לא נמצא בסריקת המפיצים</t>
        </is>
      </c>
      <c r="AE575" t="inlineStr">
        <is>
          <t>סריקת אתרי מפיצים</t>
        </is>
      </c>
      <c r="AG575" t="inlineStr"/>
      <c r="AH575" t="inlineStr"/>
      <c r="AJ575" t="inlineStr"/>
      <c r="AP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Y576" t="inlineStr">
        <is>
          <t>unknown</t>
        </is>
      </c>
      <c r="Z576" t="inlineStr"/>
      <c r="AA576" t="inlineStr"/>
      <c r="AB576" t="inlineStr"/>
      <c r="AC576" t="inlineStr"/>
      <c r="AD576" t="inlineStr">
        <is>
          <t>לא נמצא בסריקת המפיצים</t>
        </is>
      </c>
      <c r="AE576" t="inlineStr">
        <is>
          <t>סריקת אתרי מפיצים</t>
        </is>
      </c>
      <c r="AG576" t="inlineStr"/>
      <c r="AH576" t="inlineStr"/>
      <c r="AJ576" t="inlineStr"/>
      <c r="AP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Y577" t="inlineStr">
        <is>
          <t>unknown</t>
        </is>
      </c>
      <c r="Z577" t="inlineStr"/>
      <c r="AA577" t="inlineStr"/>
      <c r="AB577" t="inlineStr"/>
      <c r="AC577" t="inlineStr"/>
      <c r="AD577" t="inlineStr">
        <is>
          <t>לא נמצא בסריקת המפיצים</t>
        </is>
      </c>
      <c r="AE577" t="inlineStr">
        <is>
          <t>סריקת אתרי מפיצים</t>
        </is>
      </c>
      <c r="AG577" t="inlineStr"/>
      <c r="AH577" t="inlineStr"/>
      <c r="AJ577" t="inlineStr">
        <is>
          <t>877-780-6200</t>
        </is>
      </c>
      <c r="AK577" t="inlineStr">
        <is>
          <t>support@growcells.comorders</t>
        </is>
      </c>
      <c r="AM577" t="inlineStr">
        <is>
          <t>https://www.growcells.com/contact-us/</t>
        </is>
      </c>
      <c r="AN577" t="inlineStr">
        <is>
          <t>https://www.growcells.com/contact-us/</t>
        </is>
      </c>
      <c r="AP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Y578" t="inlineStr">
        <is>
          <t>unknown</t>
        </is>
      </c>
      <c r="Z578" t="inlineStr"/>
      <c r="AA578" t="inlineStr"/>
      <c r="AB578" t="inlineStr"/>
      <c r="AC578" t="inlineStr"/>
      <c r="AD578" t="inlineStr">
        <is>
          <t>לא נמצא בסריקת המפיצים</t>
        </is>
      </c>
      <c r="AE578" t="inlineStr">
        <is>
          <t>סריקת אתרי מפיצים</t>
        </is>
      </c>
      <c r="AG578" t="inlineStr"/>
      <c r="AH578" t="inlineStr"/>
      <c r="AJ578" t="inlineStr">
        <is>
          <t>1 800 361-2862</t>
        </is>
      </c>
      <c r="AM578" t="inlineStr">
        <is>
          <t>https://medicom.com/contact-us/</t>
        </is>
      </c>
      <c r="AN578" t="inlineStr">
        <is>
          <t>https://medicom.com/contact-us/</t>
        </is>
      </c>
      <c r="AP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Y579" t="inlineStr">
        <is>
          <t>unknown</t>
        </is>
      </c>
      <c r="Z579" t="inlineStr"/>
      <c r="AA579" t="inlineStr"/>
      <c r="AB579" t="inlineStr"/>
      <c r="AC579" t="inlineStr"/>
      <c r="AD579" t="inlineStr">
        <is>
          <t>לא נמצא בסריקת המפיצים</t>
        </is>
      </c>
      <c r="AE579" t="inlineStr">
        <is>
          <t>סריקת אתרי מפיצים</t>
        </is>
      </c>
      <c r="AG579" t="inlineStr"/>
      <c r="AH579" t="inlineStr"/>
      <c r="AJ579" t="inlineStr"/>
      <c r="AP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clearbit_verified</t>
        </is>
      </c>
      <c r="J580" t="inlineStr"/>
      <c r="Y580" t="inlineStr">
        <is>
          <t>unknown</t>
        </is>
      </c>
      <c r="Z580" t="inlineStr"/>
      <c r="AA580" t="inlineStr"/>
      <c r="AB580" t="inlineStr"/>
      <c r="AC580" t="inlineStr"/>
      <c r="AD580" t="inlineStr">
        <is>
          <t>לא נמצא בסריקת המפיצים</t>
        </is>
      </c>
      <c r="AE580" t="inlineStr">
        <is>
          <t>סריקת אתרי מפיצים</t>
        </is>
      </c>
      <c r="AG580" t="inlineStr"/>
      <c r="AH580" t="inlineStr"/>
      <c r="AJ580" t="inlineStr">
        <is>
          <t>+18884827342</t>
        </is>
      </c>
      <c r="AM580" t="inlineStr">
        <is>
          <t>https://www.guardianlife.com/contact-us</t>
        </is>
      </c>
      <c r="AN580" t="inlineStr">
        <is>
          <t>https://www.guardianlife.com/contact-us</t>
        </is>
      </c>
      <c r="AP580" t="inlineStr">
        <is>
          <t>https://www.thomassci.com/browse-by/suppliers/guardian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Y581" t="inlineStr">
        <is>
          <t>unknown</t>
        </is>
      </c>
      <c r="Z581" t="inlineStr"/>
      <c r="AA581" t="inlineStr"/>
      <c r="AB581" t="inlineStr"/>
      <c r="AC581" t="inlineStr"/>
      <c r="AD581" t="inlineStr">
        <is>
          <t>לא נמצא בסריקת המפיצים</t>
        </is>
      </c>
      <c r="AE581" t="inlineStr">
        <is>
          <t>סריקת אתרי מפיצים</t>
        </is>
      </c>
      <c r="AG581" t="inlineStr"/>
      <c r="AH581" t="inlineStr"/>
      <c r="AJ581" t="inlineStr">
        <is>
          <t>32926 2971</t>
        </is>
      </c>
      <c r="AM581" t="inlineStr">
        <is>
          <t>https://www.guardianmfg.com/contact/</t>
        </is>
      </c>
      <c r="AN581" t="inlineStr">
        <is>
          <t>https://www.guardianmfg.com/contact/</t>
        </is>
      </c>
      <c r="AP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Y582" t="inlineStr">
        <is>
          <t>unknown</t>
        </is>
      </c>
      <c r="Z582" t="inlineStr"/>
      <c r="AA582" t="inlineStr"/>
      <c r="AB582" t="inlineStr"/>
      <c r="AC582" t="inlineStr"/>
      <c r="AD582" t="inlineStr">
        <is>
          <t>לא נמצא בסריקת המפיצים</t>
        </is>
      </c>
      <c r="AE582" t="inlineStr">
        <is>
          <t>סריקת אתרי מפיצים</t>
        </is>
      </c>
      <c r="AG582" t="inlineStr"/>
      <c r="AH582" t="inlineStr"/>
      <c r="AJ582" t="inlineStr">
        <is>
          <t>00644831208</t>
        </is>
      </c>
      <c r="AM582" t="inlineStr">
        <is>
          <t>https://www.gvs.com/en/contact-us/careers/</t>
        </is>
      </c>
      <c r="AN582" t="inlineStr">
        <is>
          <t>https://www.gvs.com/en/contact-us/careers/</t>
        </is>
      </c>
      <c r="AP582" t="inlineStr">
        <is>
          <t>https://www.thomassci.com/browse-by/suppliers/gvs-filter-technology | https://www.gvs.com/en/contact-us/careers/</t>
        </is>
      </c>
    </row>
    <row r="583">
      <c r="A583" t="n">
        <v>582</v>
      </c>
      <c r="B583" t="inlineStr">
        <is>
          <t>GVS Life Sciences</t>
        </is>
      </c>
      <c r="C583" t="inlineStr">
        <is>
          <t>Q</t>
        </is>
      </c>
      <c r="F583" t="inlineStr">
        <is>
          <t>yes</t>
        </is>
      </c>
      <c r="J583" t="inlineStr"/>
      <c r="Y583" t="inlineStr">
        <is>
          <t>unknown</t>
        </is>
      </c>
      <c r="Z583" t="inlineStr"/>
      <c r="AA583" t="inlineStr"/>
      <c r="AB583" t="inlineStr"/>
      <c r="AC583" t="inlineStr"/>
      <c r="AD583" t="inlineStr">
        <is>
          <t>לא נמצא בסריקת המפיצים</t>
        </is>
      </c>
      <c r="AE583" t="inlineStr">
        <is>
          <t>סריקת אתרי מפיצים</t>
        </is>
      </c>
      <c r="AG583" t="inlineStr"/>
      <c r="AH583" t="inlineStr"/>
      <c r="AJ583" t="inlineStr"/>
      <c r="AP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Y584" t="inlineStr">
        <is>
          <t>unknown</t>
        </is>
      </c>
      <c r="Z584" t="inlineStr"/>
      <c r="AA584" t="inlineStr"/>
      <c r="AB584" t="inlineStr"/>
      <c r="AC584" t="inlineStr"/>
      <c r="AD584" t="inlineStr">
        <is>
          <t>לא נמצא בסריקת המפיצים</t>
        </is>
      </c>
      <c r="AE584" t="inlineStr">
        <is>
          <t>סריקת אתרי מפיצים</t>
        </is>
      </c>
      <c r="AG584" t="inlineStr"/>
      <c r="AH584" t="inlineStr"/>
      <c r="AJ584" t="inlineStr"/>
      <c r="AP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P585" t="n">
        <v>17000</v>
      </c>
      <c r="Q585" t="n">
        <v>2025</v>
      </c>
      <c r="R585" t="inlineStr">
        <is>
          <t>parent</t>
        </is>
      </c>
      <c r="S585" t="inlineStr">
        <is>
          <t>prior</t>
        </is>
      </c>
      <c r="T585" t="n">
        <v>3321</v>
      </c>
      <c r="U585" t="inlineStr">
        <is>
          <t>USD 3,321 million</t>
        </is>
      </c>
      <c r="V585" t="inlineStr">
        <is>
          <t>FY2025</t>
        </is>
      </c>
      <c r="W585" t="inlineStr">
        <is>
          <t>segment</t>
        </is>
      </c>
      <c r="X585" t="inlineStr">
        <is>
          <t>prior</t>
        </is>
      </c>
      <c r="Y585" t="inlineStr">
        <is>
          <t>reported</t>
        </is>
      </c>
      <c r="Z585" t="inlineStr">
        <is>
          <t>DR3900 / DR6000</t>
        </is>
      </c>
      <c r="AA585" t="inlineStr">
        <is>
          <t>TNTplus</t>
        </is>
      </c>
      <c r="AB585" t="inlineStr">
        <is>
          <t>HQ series (HQ1100/HQ4300) with Intellical probes</t>
        </is>
      </c>
      <c r="AC585" t="inlineStr">
        <is>
          <t>prior</t>
        </is>
      </c>
      <c r="AD585" t="inlineStr">
        <is>
          <t>מפיץ/נציג בישראל</t>
        </is>
      </c>
      <c r="AE585" t="inlineStr">
        <is>
          <t>חיפוש חלקי</t>
        </is>
      </c>
      <c r="AF585" t="n">
        <v>2026</v>
      </c>
      <c r="AG585" t="inlineStr">
        <is>
          <t>Modotec Ltd.</t>
        </is>
      </c>
      <c r="AH585" t="inlineStr">
        <is>
          <t>Modotec Ltd.: +972-4-991-9988</t>
        </is>
      </c>
      <c r="AI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J585" t="inlineStr">
        <is>
          <t>+1 800-227-4224 (toll-free); +1 970-669-3050 (international line)</t>
        </is>
      </c>
      <c r="AK585" t="inlineStr">
        <is>
          <t>orders@hach.com; support@hach.com</t>
        </is>
      </c>
      <c r="AL585" t="inlineStr">
        <is>
          <t>P.O. Box 389, Loveland, CO 80539, USA (street address 5600 Lindbergh Drive, Loveland, CO per directories only)</t>
        </is>
      </c>
      <c r="AM585" t="inlineStr">
        <is>
          <t>https://hach.com/contact</t>
        </is>
      </c>
      <c r="AN585" t="inlineStr">
        <is>
          <t>https://hach.com/contact</t>
        </is>
      </c>
      <c r="AP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P586" t="n">
        <v>2800</v>
      </c>
      <c r="Q586" t="n">
        <v>2024</v>
      </c>
      <c r="R586" t="inlineStr">
        <is>
          <t>estimate</t>
        </is>
      </c>
      <c r="S586" t="inlineStr">
        <is>
          <t>prior</t>
        </is>
      </c>
      <c r="T586" t="n">
        <v>323.7</v>
      </c>
      <c r="U586" t="inlineStr">
        <is>
          <t>CNY 2.329 billion</t>
        </is>
      </c>
      <c r="V586" t="inlineStr">
        <is>
          <t>FY2025</t>
        </is>
      </c>
      <c r="W586" t="inlineStr">
        <is>
          <t>company</t>
        </is>
      </c>
      <c r="X586" t="inlineStr">
        <is>
          <t>prior</t>
        </is>
      </c>
      <c r="Y586" t="inlineStr">
        <is>
          <t>mixed</t>
        </is>
      </c>
      <c r="Z586" t="inlineStr">
        <is>
          <t>DW-86L series</t>
        </is>
      </c>
      <c r="AA586" t="inlineStr">
        <is>
          <t>Automated Biobank</t>
        </is>
      </c>
      <c r="AB586" t="inlineStr">
        <is>
          <t>HXC / HYC series</t>
        </is>
      </c>
      <c r="AC586" t="inlineStr">
        <is>
          <t>prior</t>
        </is>
      </c>
      <c r="AD586" t="inlineStr">
        <is>
          <t>מפיץ/נציג בישראל</t>
        </is>
      </c>
      <c r="AE586" t="inlineStr">
        <is>
          <t>אומת</t>
        </is>
      </c>
      <c r="AF586" t="n">
        <v>2026</v>
      </c>
      <c r="AG586" t="inlineStr">
        <is>
          <t>Ex-Lab</t>
        </is>
      </c>
      <c r="AH586" t="inlineStr">
        <is>
          <t>Ex-Lab:</t>
        </is>
      </c>
      <c r="AI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J586" t="inlineStr">
        <is>
          <t>+86 532 8893 7380</t>
        </is>
      </c>
      <c r="AK586" t="inlineStr">
        <is>
          <t>inquiry@haierbiomedical.com</t>
        </is>
      </c>
      <c r="AL586" t="inlineStr">
        <is>
          <t>Branding Building, No. 1 Haier Road, Qingdao 266101, Shandong, China (CB Insights lists No. 280 Feng Yuan Road, Qingdao)</t>
        </is>
      </c>
      <c r="AM586" t="inlineStr">
        <is>
          <t>https://www.haiermedical.com/contact</t>
        </is>
      </c>
      <c r="AN586" t="inlineStr">
        <is>
          <t>https://disfold.com/company/qingdao-haier-biomedical-co-ltd/</t>
        </is>
      </c>
      <c r="AP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clearbit_verified</t>
        </is>
      </c>
      <c r="J587" t="inlineStr"/>
      <c r="Y587" t="inlineStr">
        <is>
          <t>unknown</t>
        </is>
      </c>
      <c r="Z587" t="inlineStr"/>
      <c r="AA587" t="inlineStr"/>
      <c r="AB587" t="inlineStr"/>
      <c r="AC587" t="inlineStr"/>
      <c r="AD587" t="inlineStr">
        <is>
          <t>לא נמצא בסריקת המפיצים</t>
        </is>
      </c>
      <c r="AE587" t="inlineStr">
        <is>
          <t>סריקת אתרי מפיצים</t>
        </is>
      </c>
      <c r="AG587" t="inlineStr"/>
      <c r="AH587" t="inlineStr"/>
      <c r="AJ587" t="inlineStr"/>
      <c r="AM587" t="inlineStr">
        <is>
          <t>https://www.halyardhealth.sg/contact-a-sales-rep/</t>
        </is>
      </c>
      <c r="AN587" t="inlineStr">
        <is>
          <t>https://www.halyardhealth.sg/contact-a-sales-rep/</t>
        </is>
      </c>
      <c r="AP587" t="inlineStr">
        <is>
          <t>https://www.thomassci.com/browse-by/suppliers/halyard-health | https://www.halyardhealth.sg/contact-a-sales-rep/</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P588" t="n">
        <v>3000</v>
      </c>
      <c r="R588" t="inlineStr">
        <is>
          <t>company</t>
        </is>
      </c>
      <c r="S588" t="inlineStr">
        <is>
          <t>prior</t>
        </is>
      </c>
      <c r="T588" t="n">
        <v>600</v>
      </c>
      <c r="U588" t="inlineStr">
        <is>
          <t>USD ~600 million (trade estimate; private)</t>
        </is>
      </c>
      <c r="V588" t="inlineStr">
        <is>
          <t>2024 (estimate)</t>
        </is>
      </c>
      <c r="W588" t="inlineStr">
        <is>
          <t>estimate</t>
        </is>
      </c>
      <c r="X588" t="inlineStr">
        <is>
          <t>prior</t>
        </is>
      </c>
      <c r="Y588" t="inlineStr">
        <is>
          <t>estimate</t>
        </is>
      </c>
      <c r="Z588" t="inlineStr">
        <is>
          <t>Microlab STAR / STARlet / Vantage</t>
        </is>
      </c>
      <c r="AA588" t="inlineStr">
        <is>
          <t>Hamilton precision syringes (Microliter / Gastight)</t>
        </is>
      </c>
      <c r="AB588" t="inlineStr">
        <is>
          <t>Hamilton Storage BiOS / SAM</t>
        </is>
      </c>
      <c r="AC588" t="inlineStr">
        <is>
          <t>prior</t>
        </is>
      </c>
      <c r="AD588" t="inlineStr">
        <is>
          <t>מפיץ/נציג בישראל</t>
        </is>
      </c>
      <c r="AE588" t="inlineStr">
        <is>
          <t>אומת</t>
        </is>
      </c>
      <c r="AF588" t="n">
        <v>2026</v>
      </c>
      <c r="AG588" t="inlineStr">
        <is>
          <t>Danyel Biotech Ltd. (Gamida for Life group); Ophir Analytical Ltd.; Tarom Applied Technologies Ltd.</t>
        </is>
      </c>
      <c r="AH588" t="inlineStr">
        <is>
          <t>Danyel Biotech Ltd. (Gamida for Life group): 1-800-711-911 (also +972 8-936-6066); Ophir Analytical Ltd.: +972 3-902-2277; Tarom Applied Technologies Ltd.:</t>
        </is>
      </c>
      <c r="AI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J588" t="inlineStr">
        <is>
          <t>+1 775 858 3000</t>
        </is>
      </c>
      <c r="AL588" t="inlineStr">
        <is>
          <t>4970 Energy Way, Reno, NV 89502, USA</t>
        </is>
      </c>
      <c r="AM588" t="inlineStr">
        <is>
          <t>https://www.hamiltoncompany.com/contact</t>
        </is>
      </c>
      <c r="AN588" t="inlineStr">
        <is>
          <t>https://www.hamiltoncompany.com/support/global-headquarters-subsidiaries</t>
        </is>
      </c>
      <c r="AP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t>
        </is>
      </c>
    </row>
    <row r="589">
      <c r="A589" t="n">
        <v>588</v>
      </c>
      <c r="B589" t="inlineStr">
        <is>
          <t>Hammacher</t>
        </is>
      </c>
      <c r="C589" t="inlineStr">
        <is>
          <t>D</t>
        </is>
      </c>
      <c r="D589" t="inlineStr">
        <is>
          <t>https://www.dutscher.com/search?initialFilters=brand:Hammacher</t>
        </is>
      </c>
      <c r="F589" t="inlineStr"/>
      <c r="J589" t="inlineStr"/>
      <c r="Y589" t="inlineStr">
        <is>
          <t>unknown</t>
        </is>
      </c>
      <c r="Z589" t="inlineStr"/>
      <c r="AA589" t="inlineStr"/>
      <c r="AB589" t="inlineStr"/>
      <c r="AC589" t="inlineStr"/>
      <c r="AD589" t="inlineStr">
        <is>
          <t>לא נמצא בסריקת המפיצים</t>
        </is>
      </c>
      <c r="AE589" t="inlineStr">
        <is>
          <t>סריקת אתרי מפיצים</t>
        </is>
      </c>
      <c r="AG589" t="inlineStr"/>
      <c r="AH589" t="inlineStr"/>
      <c r="AJ589" t="inlineStr"/>
      <c r="AP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Y590" t="inlineStr">
        <is>
          <t>unknown</t>
        </is>
      </c>
      <c r="Z590" t="inlineStr"/>
      <c r="AA590" t="inlineStr"/>
      <c r="AB590" t="inlineStr"/>
      <c r="AC590" t="inlineStr"/>
      <c r="AD590" t="inlineStr">
        <is>
          <t>לא נמצא בסריקת המפיצים</t>
        </is>
      </c>
      <c r="AE590" t="inlineStr">
        <is>
          <t>סריקת אתרי מפיצים</t>
        </is>
      </c>
      <c r="AG590" t="inlineStr"/>
      <c r="AH590" t="inlineStr"/>
      <c r="AJ590" t="inlineStr"/>
      <c r="AP590" t="inlineStr">
        <is>
          <t>https://www.dutscher.com/search?initialFilters=brand:Hanna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P591" t="n">
        <v>1500</v>
      </c>
      <c r="Q591" t="n">
        <v>2024</v>
      </c>
      <c r="R591" t="inlineStr">
        <is>
          <t>estimate</t>
        </is>
      </c>
      <c r="S591" t="inlineStr">
        <is>
          <t>prior</t>
        </is>
      </c>
      <c r="T591" t="n">
        <v>150</v>
      </c>
      <c r="U591" t="inlineStr">
        <is>
          <t>USD ~150 million (trade estimate; private)</t>
        </is>
      </c>
      <c r="V591" t="inlineStr">
        <is>
          <t>2024 (estimate)</t>
        </is>
      </c>
      <c r="W591" t="inlineStr">
        <is>
          <t>estimate</t>
        </is>
      </c>
      <c r="X591" t="inlineStr">
        <is>
          <t>prior</t>
        </is>
      </c>
      <c r="Y591" t="inlineStr">
        <is>
          <t>estimate</t>
        </is>
      </c>
      <c r="Z591" t="inlineStr">
        <is>
          <t>HI931 / HI932</t>
        </is>
      </c>
      <c r="AA591" t="inlineStr">
        <is>
          <t>edge (HI2020)</t>
        </is>
      </c>
      <c r="AB591" t="inlineStr">
        <is>
          <t>HI83300 series &amp; Checker HC</t>
        </is>
      </c>
      <c r="AC591" t="inlineStr">
        <is>
          <t>prior</t>
        </is>
      </c>
      <c r="AD591" t="inlineStr">
        <is>
          <t>מפיץ/נציג בישראל</t>
        </is>
      </c>
      <c r="AE591" t="inlineStr">
        <is>
          <t>אומת</t>
        </is>
      </c>
      <c r="AF591" t="n">
        <v>2026</v>
      </c>
      <c r="AG591" t="inlineStr">
        <is>
          <t>Medent Scientific Instruments; BioAnalytics; Cannadepot; Mercury (mercury-ltd.co.il; part of Gadot Chemicals Group)</t>
        </is>
      </c>
      <c r="AH591" t="inlineStr">
        <is>
          <t>Medent Scientific Instruments: +972 72-395-0508 (sales); +972 8-683-6306 (service) info@medent.co.il; BioAnalytics: +972-72-242-9555; Cannadepot:; Mercury (mercury-ltd.co.il; part of Gadot Chemicals Group): +972 3-938-7164</t>
        </is>
      </c>
      <c r="AI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J591" t="inlineStr">
        <is>
          <t>+1 401-765-0048</t>
        </is>
      </c>
      <c r="AK591" t="inlineStr">
        <is>
          <t>intsales@hannainst.com; sales@hannainst.com (US sales/technical service office, Smithfield RI)</t>
        </is>
      </c>
      <c r="AL591" t="inlineStr">
        <is>
          <t>584 Park East Drive, Highland Industrial Park, Woonsocket, RI 02895, USA</t>
        </is>
      </c>
      <c r="AM591" t="inlineStr">
        <is>
          <t>https://hannainst.com/contact-us/</t>
        </is>
      </c>
      <c r="AN591" t="inlineStr">
        <is>
          <t>https://hannainst.ec/catalogo/14</t>
        </is>
      </c>
      <c r="AP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Y592" t="inlineStr">
        <is>
          <t>unknown</t>
        </is>
      </c>
      <c r="Z592" t="inlineStr"/>
      <c r="AA592" t="inlineStr"/>
      <c r="AB592" t="inlineStr"/>
      <c r="AC592" t="inlineStr"/>
      <c r="AD592" t="inlineStr">
        <is>
          <t>לא נמצא בחיפוש ראשוני</t>
        </is>
      </c>
      <c r="AE592" t="inlineStr">
        <is>
          <t>חיפוש חלקי</t>
        </is>
      </c>
      <c r="AG592" t="inlineStr"/>
      <c r="AH592" t="inlineStr"/>
      <c r="AI592" t="inlineStr">
        <is>
          <t>Hardy Diagnostics (Santa Maria, CA) exports to 80+ foreign distributors (unnamed); no Israeli distributor named in results.</t>
        </is>
      </c>
      <c r="AJ592" t="inlineStr"/>
      <c r="AP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Y593" t="inlineStr">
        <is>
          <t>unknown</t>
        </is>
      </c>
      <c r="Z593" t="inlineStr"/>
      <c r="AA593" t="inlineStr"/>
      <c r="AB593" t="inlineStr"/>
      <c r="AC593" t="inlineStr"/>
      <c r="AD593" t="inlineStr">
        <is>
          <t>לא נמצא בסריקת המפיצים</t>
        </is>
      </c>
      <c r="AE593" t="inlineStr">
        <is>
          <t>סריקת אתרי מפיצים</t>
        </is>
      </c>
      <c r="AG593" t="inlineStr"/>
      <c r="AH593" t="inlineStr"/>
      <c r="AJ593" t="inlineStr"/>
      <c r="AN593" t="inlineStr">
        <is>
          <t>https://www.hartmann.info/en-dx/country-selection</t>
        </is>
      </c>
      <c r="AP593" t="inlineStr">
        <is>
          <t>https://www.dutscher.com/search?initialFilters=brand:Hartmann | https://www.hartmann.info/en-dx/country-selection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clearbit_verified</t>
        </is>
      </c>
      <c r="J594" t="inlineStr"/>
      <c r="Y594" t="inlineStr">
        <is>
          <t>unknown</t>
        </is>
      </c>
      <c r="Z594" t="inlineStr"/>
      <c r="AA594" t="inlineStr"/>
      <c r="AB594" t="inlineStr"/>
      <c r="AC594" t="inlineStr"/>
      <c r="AD594" t="inlineStr">
        <is>
          <t>מפיץ/נציג בישראל</t>
        </is>
      </c>
      <c r="AE594" t="inlineStr">
        <is>
          <t>סריקת אתרי מפיצים</t>
        </is>
      </c>
      <c r="AF594" t="n">
        <v>2026</v>
      </c>
      <c r="AG594" t="inlineStr">
        <is>
          <t>NBT</t>
        </is>
      </c>
      <c r="AH594" t="inlineStr">
        <is>
          <t>NBT:</t>
        </is>
      </c>
      <c r="AI594" t="inlineStr">
        <is>
          <t>Harvard Bioscience says it sells via direct and distribution channels; no Israeli distributor named (only a used-equipment eBay seller in Petah Tikva).</t>
        </is>
      </c>
      <c r="AJ594" t="inlineStr">
        <is>
          <t>+800-232-2380</t>
        </is>
      </c>
      <c r="AK594" t="inlineStr">
        <is>
          <t>orders@harvardapparatus.com</t>
        </is>
      </c>
      <c r="AM594" t="inlineStr">
        <is>
          <t>https://www.harvardapparatus.com/contact</t>
        </is>
      </c>
      <c r="AN594" t="inlineStr">
        <is>
          <t>https://www.harvardapparatus.com/contact</t>
        </is>
      </c>
      <c r="AP594" t="inlineStr">
        <is>
          <t>https://www.quartzy.com/suppliers | https://www.thomassci.com/browse-by/suppliers/harvard-apparatus | https://nbtltd.com/products-page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Y595" t="inlineStr">
        <is>
          <t>unknown</t>
        </is>
      </c>
      <c r="Z595" t="inlineStr"/>
      <c r="AA595" t="inlineStr"/>
      <c r="AB595" t="inlineStr"/>
      <c r="AC595" t="inlineStr"/>
      <c r="AD595" t="inlineStr">
        <is>
          <t>לא נמצא בסריקת המפיצים</t>
        </is>
      </c>
      <c r="AE595" t="inlineStr">
        <is>
          <t>סריקת אתרי מפיצים</t>
        </is>
      </c>
      <c r="AG595" t="inlineStr"/>
      <c r="AH595" t="inlineStr"/>
      <c r="AJ595" t="inlineStr">
        <is>
          <t>215.675.7769</t>
        </is>
      </c>
      <c r="AK595" t="inlineStr">
        <is>
          <t>sales@hausserscientific.com</t>
        </is>
      </c>
      <c r="AM595" t="inlineStr">
        <is>
          <t>https://www.hausserscientific.com/Contact-Us.html</t>
        </is>
      </c>
      <c r="AN595" t="inlineStr">
        <is>
          <t>https://www.hausserscientific.com/Contact-Us.html</t>
        </is>
      </c>
      <c r="AP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Y596" t="inlineStr">
        <is>
          <t>unknown</t>
        </is>
      </c>
      <c r="Z596" t="inlineStr"/>
      <c r="AA596" t="inlineStr"/>
      <c r="AB596" t="inlineStr"/>
      <c r="AC596" t="inlineStr"/>
      <c r="AD596" t="inlineStr">
        <is>
          <t>לא נמצא בסריקת המפיצים</t>
        </is>
      </c>
      <c r="AE596" t="inlineStr">
        <is>
          <t>סריקת אתרי מפיצים</t>
        </is>
      </c>
      <c r="AG596" t="inlineStr"/>
      <c r="AH596" t="inlineStr"/>
      <c r="AJ596" t="inlineStr"/>
      <c r="AP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Y597" t="inlineStr">
        <is>
          <t>unknown</t>
        </is>
      </c>
      <c r="Z597" t="inlineStr">
        <is>
          <t>OneRack® Full-Size Delrin® POM Test Tube Racks</t>
        </is>
      </c>
      <c r="AA597" t="inlineStr">
        <is>
          <t>Disposable Transfer Pipets</t>
        </is>
      </c>
      <c r="AB597" t="inlineStr">
        <is>
          <t>Cube Rack</t>
        </is>
      </c>
      <c r="AC597" t="inlineStr">
        <is>
          <t>thomassci</t>
        </is>
      </c>
      <c r="AD597" t="inlineStr">
        <is>
          <t>לא נמצא בחיפוש ראשוני</t>
        </is>
      </c>
      <c r="AE597" t="inlineStr">
        <is>
          <t>חיפוש חלקי</t>
        </is>
      </c>
      <c r="AG597" t="inlineStr"/>
      <c r="AH597" t="inlineStr"/>
      <c r="AI597" t="inlineStr">
        <is>
          <t>Only distributor listings in Australia/NZ/US (DKSH, Raptor, Mediray, VWR, Sigma); no Israel mention.</t>
        </is>
      </c>
      <c r="AJ597" t="inlineStr">
        <is>
          <t>1-847-816-5070</t>
        </is>
      </c>
      <c r="AM597" t="inlineStr">
        <is>
          <t>https://www.heathrowscientific.com/contactus/</t>
        </is>
      </c>
      <c r="AN597" t="inlineStr">
        <is>
          <t>https://www.heathrowscientific.com/contactus/</t>
        </is>
      </c>
      <c r="AP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laboratory equipment manufacturer</t>
        </is>
      </c>
      <c r="P598" t="n">
        <v>200</v>
      </c>
      <c r="Q598" t="n">
        <v>2024</v>
      </c>
      <c r="R598" t="inlineStr">
        <is>
          <t>company</t>
        </is>
      </c>
      <c r="S598" t="inlineStr">
        <is>
          <t>prior</t>
        </is>
      </c>
      <c r="T598" t="n">
        <v>55</v>
      </c>
      <c r="U598" t="inlineStr">
        <is>
          <t>EUR ~50 million</t>
        </is>
      </c>
      <c r="V598" t="inlineStr">
        <is>
          <t>FY ending Mar-2024</t>
        </is>
      </c>
      <c r="W598" t="inlineStr">
        <is>
          <t>company</t>
        </is>
      </c>
      <c r="X598" t="inlineStr">
        <is>
          <t>prior</t>
        </is>
      </c>
      <c r="Y598" t="inlineStr">
        <is>
          <t>reported</t>
        </is>
      </c>
      <c r="Z598" t="inlineStr">
        <is>
          <t>Hei-VAP series</t>
        </is>
      </c>
      <c r="AA598" t="inlineStr">
        <is>
          <t>Hei-TORQUE series</t>
        </is>
      </c>
      <c r="AB598" t="inlineStr">
        <is>
          <t>Hei-PLATE / Hei-Tec</t>
        </is>
      </c>
      <c r="AC598" t="inlineStr">
        <is>
          <t>prior</t>
        </is>
      </c>
      <c r="AD598" t="inlineStr">
        <is>
          <t>מפיץ/נציג בישראל</t>
        </is>
      </c>
      <c r="AE598" t="inlineStr">
        <is>
          <t>אומת</t>
        </is>
      </c>
      <c r="AF598" t="n">
        <v>2026</v>
      </c>
      <c r="AG598" t="inlineStr">
        <is>
          <t>Labotal Scientific Equipment Ltd.</t>
        </is>
      </c>
      <c r="AH598" t="inlineStr">
        <is>
          <t>Labotal Scientific Equipment Ltd.: +972 2-579-9222 Sales@labotal.co.il</t>
        </is>
      </c>
      <c r="AI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J598" t="inlineStr">
        <is>
          <t>+49 9122 9920-0</t>
        </is>
      </c>
      <c r="AK598" t="inlineStr">
        <is>
          <t>sales@heidolph.de</t>
        </is>
      </c>
      <c r="AL598" t="inlineStr">
        <is>
          <t>Walpersdorfer Str. 12, 91126 Schwabach, Germany</t>
        </is>
      </c>
      <c r="AM598" t="inlineStr">
        <is>
          <t>https://www.heidolph.com/asia/ko/Contact/WorldWideExperts</t>
        </is>
      </c>
      <c r="AN598" t="inlineStr">
        <is>
          <t>https://prod.heidolph.com/Images%20%26%20Graphics/Africa%2C%20Asia%2C%20Middle%20East%2C%20South%20America.pdf</t>
        </is>
      </c>
      <c r="AO598" t="inlineStr">
        <is>
          <t>Q5699017</t>
        </is>
      </c>
      <c r="AP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J599" t="inlineStr"/>
      <c r="Y599" t="inlineStr">
        <is>
          <t>unknown</t>
        </is>
      </c>
      <c r="Z599" t="inlineStr"/>
      <c r="AA599" t="inlineStr"/>
      <c r="AB599" t="inlineStr"/>
      <c r="AC599" t="inlineStr"/>
      <c r="AD599" t="inlineStr">
        <is>
          <t>לא נמצא בסריקת המפיצים</t>
        </is>
      </c>
      <c r="AE599" t="inlineStr">
        <is>
          <t>סריקת אתרי מפיצים</t>
        </is>
      </c>
      <c r="AG599" t="inlineStr"/>
      <c r="AH599" t="inlineStr"/>
      <c r="AJ599" t="inlineStr"/>
      <c r="AP599" t="inlineStr">
        <is>
          <t>https://www.dutscher.com/search?initialFilters=brand:Hellma</t>
        </is>
      </c>
    </row>
    <row r="600">
      <c r="A600" t="n">
        <v>599</v>
      </c>
      <c r="B600" t="inlineStr">
        <is>
          <t>HelloBio</t>
        </is>
      </c>
      <c r="C600" t="inlineStr">
        <is>
          <t>Q</t>
        </is>
      </c>
      <c r="F600" t="inlineStr">
        <is>
          <t>yes</t>
        </is>
      </c>
      <c r="H600" t="inlineStr">
        <is>
          <t>https://hellobio.com</t>
        </is>
      </c>
      <c r="I600" t="inlineStr">
        <is>
          <t>clearbit_verified</t>
        </is>
      </c>
      <c r="J600" t="inlineStr"/>
      <c r="Y600" t="inlineStr">
        <is>
          <t>unknown</t>
        </is>
      </c>
      <c r="Z600" t="inlineStr"/>
      <c r="AA600" t="inlineStr"/>
      <c r="AB600" t="inlineStr"/>
      <c r="AC600" t="inlineStr"/>
      <c r="AD600" t="inlineStr">
        <is>
          <t>לא נמצא בסריקת המפיצים</t>
        </is>
      </c>
      <c r="AE600" t="inlineStr">
        <is>
          <t>סריקת אתרי מפיצים</t>
        </is>
      </c>
      <c r="AG600" t="inlineStr"/>
      <c r="AH600" t="inlineStr"/>
      <c r="AJ600" t="inlineStr">
        <is>
          <t>609-683-7500</t>
        </is>
      </c>
      <c r="AK600" t="inlineStr">
        <is>
          <t>hello@hellobio.com</t>
        </is>
      </c>
      <c r="AM600" t="inlineStr">
        <is>
          <t>https://hellobio.com/contact-us</t>
        </is>
      </c>
      <c r="AN600" t="inlineStr">
        <is>
          <t>https://hellobio.com/contact-us</t>
        </is>
      </c>
      <c r="AP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Y601" t="inlineStr">
        <is>
          <t>unknown</t>
        </is>
      </c>
      <c r="Z601" t="inlineStr"/>
      <c r="AA601" t="inlineStr"/>
      <c r="AB601" t="inlineStr"/>
      <c r="AC601" t="inlineStr"/>
      <c r="AD601" t="inlineStr">
        <is>
          <t>לא נמצא בסריקת המפיצים</t>
        </is>
      </c>
      <c r="AE601" t="inlineStr">
        <is>
          <t>סריקת אתרי מפיצים</t>
        </is>
      </c>
      <c r="AG601" t="inlineStr"/>
      <c r="AH601" t="inlineStr"/>
      <c r="AJ601" t="inlineStr">
        <is>
          <t>(816) 796-2900</t>
        </is>
      </c>
      <c r="AK601" t="inlineStr">
        <is>
          <t>info@hemcocorp.com</t>
        </is>
      </c>
      <c r="AM601" t="inlineStr">
        <is>
          <t>https://hemcocorp.com/contactus.html</t>
        </is>
      </c>
      <c r="AN601" t="inlineStr">
        <is>
          <t>https://hemcocorp.com/contactus.html</t>
        </is>
      </c>
      <c r="AP601" t="inlineStr">
        <is>
          <t>https://www.thomassci.com/browse-by/suppliers/hemco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Y602" t="inlineStr">
        <is>
          <t>unknown</t>
        </is>
      </c>
      <c r="Z602" t="inlineStr"/>
      <c r="AA602" t="inlineStr"/>
      <c r="AB602" t="inlineStr"/>
      <c r="AC602" t="inlineStr"/>
      <c r="AD602" t="inlineStr">
        <is>
          <t>לא נמצא בסריקת המפיצים</t>
        </is>
      </c>
      <c r="AE602" t="inlineStr">
        <is>
          <t>סריקת אתרי מפיצים</t>
        </is>
      </c>
      <c r="AG602" t="inlineStr"/>
      <c r="AH602" t="inlineStr"/>
      <c r="AJ602" t="inlineStr"/>
      <c r="AP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Y603" t="inlineStr">
        <is>
          <t>unknown</t>
        </is>
      </c>
      <c r="Z603" t="inlineStr"/>
      <c r="AA603" t="inlineStr"/>
      <c r="AB603" t="inlineStr"/>
      <c r="AC603" t="inlineStr"/>
      <c r="AD603" t="inlineStr">
        <is>
          <t>לא נמצא בסריקת המפיצים</t>
        </is>
      </c>
      <c r="AE603" t="inlineStr">
        <is>
          <t>סריקת אתרי מפיצים</t>
        </is>
      </c>
      <c r="AG603" t="inlineStr"/>
      <c r="AH603" t="inlineStr"/>
      <c r="AJ603" t="inlineStr"/>
      <c r="AP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P604" t="n">
        <v>500</v>
      </c>
      <c r="Q604" t="n">
        <v>2025</v>
      </c>
      <c r="R604" t="inlineStr">
        <is>
          <t>company</t>
        </is>
      </c>
      <c r="S604" t="inlineStr">
        <is>
          <t>prior</t>
        </is>
      </c>
      <c r="T604" t="n">
        <v>110</v>
      </c>
      <c r="U604" t="inlineStr">
        <is>
          <t>&gt; EUR 100 million</t>
        </is>
      </c>
      <c r="V604" t="inlineStr">
        <is>
          <t>FY2023</t>
        </is>
      </c>
      <c r="W604" t="inlineStr">
        <is>
          <t>company</t>
        </is>
      </c>
      <c r="X604" t="inlineStr">
        <is>
          <t>prior</t>
        </is>
      </c>
      <c r="Y604" t="inlineStr">
        <is>
          <t>reported</t>
        </is>
      </c>
      <c r="Z604" t="inlineStr">
        <is>
          <t>UNIVERSAL 320 / 320 R</t>
        </is>
      </c>
      <c r="AA604" t="inlineStr">
        <is>
          <t>ROTINA 380 / 420 (R)</t>
        </is>
      </c>
      <c r="AB604" t="inlineStr">
        <is>
          <t>HettCube</t>
        </is>
      </c>
      <c r="AC604" t="inlineStr">
        <is>
          <t>prior</t>
        </is>
      </c>
      <c r="AD604" t="inlineStr">
        <is>
          <t>מפיץ/נציג בישראל</t>
        </is>
      </c>
      <c r="AE604" t="inlineStr">
        <is>
          <t>אומת</t>
        </is>
      </c>
      <c r="AF604" t="n">
        <v>2026</v>
      </c>
      <c r="AG604" t="inlineStr">
        <is>
          <t>Eldan Electronic Instruments Ltd. (Neopharm group)</t>
        </is>
      </c>
      <c r="AH604" t="inlineStr">
        <is>
          <t>Eldan Electronic Instruments Ltd. (Neopharm group): +972-3-937-1111 info@eldan.biz</t>
        </is>
      </c>
      <c r="AI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4" t="inlineStr">
        <is>
          <t>+49 7461 705-0</t>
        </is>
      </c>
      <c r="AK604" t="inlineStr">
        <is>
          <t>info@hettichlab.com</t>
        </is>
      </c>
      <c r="AL604" t="inlineStr">
        <is>
          <t>Föhrenstraße 12, 78532 Tuttlingen, Germany</t>
        </is>
      </c>
      <c r="AM604" t="inlineStr">
        <is>
          <t>https://www.hettichlab.com/contact/</t>
        </is>
      </c>
      <c r="AN604" t="inlineStr">
        <is>
          <t>https://www.hettichlab.com/imprint</t>
        </is>
      </c>
      <c r="AP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P605" t="n">
        <v>500</v>
      </c>
      <c r="Q605" t="n">
        <v>2025</v>
      </c>
      <c r="R605" t="inlineStr">
        <is>
          <t>company</t>
        </is>
      </c>
      <c r="S605" t="inlineStr">
        <is>
          <t>prior</t>
        </is>
      </c>
      <c r="T605" t="n">
        <v>110</v>
      </c>
      <c r="U605" t="inlineStr">
        <is>
          <t>&gt; EUR 100 million</t>
        </is>
      </c>
      <c r="V605" t="inlineStr">
        <is>
          <t>FY2023</t>
        </is>
      </c>
      <c r="W605" t="inlineStr">
        <is>
          <t>company</t>
        </is>
      </c>
      <c r="X605" t="inlineStr">
        <is>
          <t>prior</t>
        </is>
      </c>
      <c r="Y605" t="inlineStr">
        <is>
          <t>reported</t>
        </is>
      </c>
      <c r="Z605" t="inlineStr">
        <is>
          <t>UNIVERSAL 320 / 320 R</t>
        </is>
      </c>
      <c r="AA605" t="inlineStr">
        <is>
          <t>ROTINA 380 / 420 (R)</t>
        </is>
      </c>
      <c r="AB605" t="inlineStr">
        <is>
          <t>HettCube</t>
        </is>
      </c>
      <c r="AC605" t="inlineStr">
        <is>
          <t>prior</t>
        </is>
      </c>
      <c r="AD605" t="inlineStr">
        <is>
          <t>מפיץ/נציג בישראל</t>
        </is>
      </c>
      <c r="AE605" t="inlineStr">
        <is>
          <t>אומת</t>
        </is>
      </c>
      <c r="AF605" t="n">
        <v>2026</v>
      </c>
      <c r="AG605" t="inlineStr">
        <is>
          <t>Eldan Electronic Instruments Ltd. (Neopharm group)</t>
        </is>
      </c>
      <c r="AH605" t="inlineStr">
        <is>
          <t>Eldan Electronic Instruments Ltd. (Neopharm group): +972-3-937-1111 info@eldan.biz</t>
        </is>
      </c>
      <c r="AI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J605" t="inlineStr">
        <is>
          <t>+49 7461 705-0</t>
        </is>
      </c>
      <c r="AK605" t="inlineStr">
        <is>
          <t>info@hettichlab.com</t>
        </is>
      </c>
      <c r="AL605" t="inlineStr">
        <is>
          <t>Föhrenstraße 12, 78532 Tuttlingen, Germany</t>
        </is>
      </c>
      <c r="AM605" t="inlineStr">
        <is>
          <t>https://www.hettichlab.com/contact/</t>
        </is>
      </c>
      <c r="AN605" t="inlineStr">
        <is>
          <t>https://www.hettichlab.com/imprint</t>
        </is>
      </c>
      <c r="AP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Y606" t="inlineStr">
        <is>
          <t>unknown</t>
        </is>
      </c>
      <c r="Z606" t="inlineStr"/>
      <c r="AA606" t="inlineStr"/>
      <c r="AB606" t="inlineStr"/>
      <c r="AC606" t="inlineStr"/>
      <c r="AD606" t="inlineStr">
        <is>
          <t>לא נמצא בסריקת המפיצים</t>
        </is>
      </c>
      <c r="AE606" t="inlineStr">
        <is>
          <t>סריקת אתרי מפיצים</t>
        </is>
      </c>
      <c r="AG606" t="inlineStr"/>
      <c r="AH606" t="inlineStr"/>
      <c r="AJ606" t="inlineStr"/>
      <c r="AP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Y607" t="inlineStr">
        <is>
          <t>unknown</t>
        </is>
      </c>
      <c r="Z607" t="inlineStr"/>
      <c r="AA607" t="inlineStr"/>
      <c r="AB607" t="inlineStr"/>
      <c r="AC607" t="inlineStr"/>
      <c r="AD607" t="inlineStr">
        <is>
          <t>לא נמצא בסריקת המפיצים</t>
        </is>
      </c>
      <c r="AE607" t="inlineStr">
        <is>
          <t>סריקת אתרי מפיצים</t>
        </is>
      </c>
      <c r="AG607" t="inlineStr"/>
      <c r="AH607" t="inlineStr"/>
      <c r="AJ607" t="inlineStr"/>
      <c r="AN607" t="inlineStr">
        <is>
          <t>https://www.highfive.org/</t>
        </is>
      </c>
      <c r="AP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Y608" t="inlineStr">
        <is>
          <t>unknown</t>
        </is>
      </c>
      <c r="Z608" t="inlineStr"/>
      <c r="AA608" t="inlineStr"/>
      <c r="AB608" t="inlineStr"/>
      <c r="AC608" t="inlineStr"/>
      <c r="AD608" t="inlineStr">
        <is>
          <t>לא נמצא בסריקת המפיצים</t>
        </is>
      </c>
      <c r="AE608" t="inlineStr">
        <is>
          <t>סריקת אתרי מפיצים</t>
        </is>
      </c>
      <c r="AG608" t="inlineStr"/>
      <c r="AH608" t="inlineStr"/>
      <c r="AJ608" t="inlineStr">
        <is>
          <t>+1.716.882.0920</t>
        </is>
      </c>
      <c r="AM608" t="inlineStr">
        <is>
          <t>https://www.zeptometrix.com/us/en/contact</t>
        </is>
      </c>
      <c r="AN608" t="inlineStr">
        <is>
          <t>https://www.zeptometrix.com/us/en/contact</t>
        </is>
      </c>
      <c r="AP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Y609" t="inlineStr">
        <is>
          <t>unknown</t>
        </is>
      </c>
      <c r="Z609" t="inlineStr"/>
      <c r="AA609" t="inlineStr"/>
      <c r="AB609" t="inlineStr"/>
      <c r="AC609" t="inlineStr"/>
      <c r="AD609" t="inlineStr">
        <is>
          <t>לא נמצא בסריקת המפיצים</t>
        </is>
      </c>
      <c r="AE609" t="inlineStr">
        <is>
          <t>סריקת אתרי מפיצים</t>
        </is>
      </c>
      <c r="AG609" t="inlineStr"/>
      <c r="AH609" t="inlineStr"/>
      <c r="AJ609" t="inlineStr">
        <is>
          <t>860-265-2633</t>
        </is>
      </c>
      <c r="AK609" t="inlineStr">
        <is>
          <t>info@high-techconversions.com</t>
        </is>
      </c>
      <c r="AM609" t="inlineStr">
        <is>
          <t>https://high-techconversions.com/contact/</t>
        </is>
      </c>
      <c r="AN609" t="inlineStr">
        <is>
          <t>https://high-techconversions.com/contact/</t>
        </is>
      </c>
      <c r="AP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Y610" t="inlineStr">
        <is>
          <t>unknown</t>
        </is>
      </c>
      <c r="Z610" t="inlineStr"/>
      <c r="AA610" t="inlineStr"/>
      <c r="AB610" t="inlineStr"/>
      <c r="AC610" t="inlineStr"/>
      <c r="AD610" t="inlineStr">
        <is>
          <t>לא נמצא בחיפוש ראשוני</t>
        </is>
      </c>
      <c r="AE610" t="inlineStr">
        <is>
          <t>חיפוש חלקי</t>
        </is>
      </c>
      <c r="AG610" t="inlineStr"/>
      <c r="AH610" t="inlineStr"/>
      <c r="AI610" t="inlineStr">
        <is>
          <t>HiMedia distributors found for Germany (neoFroxx, exclusive) and North America (own subsidiary HiMedia Laboratories LLC) plus a VWR India agreement; no Israel entry.</t>
        </is>
      </c>
      <c r="AJ610" t="inlineStr"/>
      <c r="AP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Y611" t="inlineStr">
        <is>
          <t>unknown</t>
        </is>
      </c>
      <c r="Z611" t="inlineStr"/>
      <c r="AA611" t="inlineStr"/>
      <c r="AB611" t="inlineStr"/>
      <c r="AC611" t="inlineStr"/>
      <c r="AD611" t="inlineStr">
        <is>
          <t>לא נמצא בסריקת המפיצים</t>
        </is>
      </c>
      <c r="AE611" t="inlineStr">
        <is>
          <t>סריקת אתרי מפיצים</t>
        </is>
      </c>
      <c r="AG611" t="inlineStr"/>
      <c r="AH611" t="inlineStr"/>
      <c r="AJ611" t="inlineStr"/>
      <c r="AP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Y612" t="inlineStr">
        <is>
          <t>unknown</t>
        </is>
      </c>
      <c r="Z612" t="inlineStr"/>
      <c r="AA612" t="inlineStr"/>
      <c r="AB612" t="inlineStr"/>
      <c r="AC612" t="inlineStr"/>
      <c r="AD612" t="inlineStr">
        <is>
          <t>לא נמצא בחיפוש ראשוני</t>
        </is>
      </c>
      <c r="AE612" t="inlineStr">
        <is>
          <t>חיפוש חלקי</t>
        </is>
      </c>
      <c r="AG612" t="inlineStr"/>
      <c r="AH612" t="inlineStr"/>
      <c r="AI612" t="inlineStr">
        <is>
          <t>Hirschmann Laborgeraete claims sales partners in 100+ countries but none named for Israel; results polluted by the unrelated Hirschmann Test &amp; Measurement (SOS electronic).</t>
        </is>
      </c>
      <c r="AJ612" t="inlineStr"/>
      <c r="AP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Y613" t="inlineStr">
        <is>
          <t>unknown</t>
        </is>
      </c>
      <c r="Z613" t="inlineStr"/>
      <c r="AA613" t="inlineStr"/>
      <c r="AB613" t="inlineStr"/>
      <c r="AC613" t="inlineStr"/>
      <c r="AD613" t="inlineStr">
        <is>
          <t>לא נמצא בחיפוש ראשוני</t>
        </is>
      </c>
      <c r="AE613" t="inlineStr">
        <is>
          <t>חיפוש חלקי</t>
        </is>
      </c>
      <c r="AG613" t="inlineStr"/>
      <c r="AH613" t="inlineStr"/>
      <c r="AI613" t="inlineStr">
        <is>
          <t>Only product/brand pages (Sigma-Aldrich, DKSH, Fisher, ThomasSci); no Israeli partner.</t>
        </is>
      </c>
      <c r="AJ613" t="inlineStr">
        <is>
          <t>+1 (508) 807-4665</t>
        </is>
      </c>
      <c r="AK613" t="inlineStr">
        <is>
          <t>sales@hoeferinc.com</t>
        </is>
      </c>
      <c r="AM613" t="inlineStr">
        <is>
          <t>https://hoeferinc.com/pages/contact</t>
        </is>
      </c>
      <c r="AN613" t="inlineStr">
        <is>
          <t>https://hoeferinc.com/pages/contact</t>
        </is>
      </c>
      <c r="AP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clearbit_verified</t>
        </is>
      </c>
      <c r="J614" t="inlineStr"/>
      <c r="Y614" t="inlineStr">
        <is>
          <t>unknown</t>
        </is>
      </c>
      <c r="Z614" t="inlineStr"/>
      <c r="AA614" t="inlineStr"/>
      <c r="AB614" t="inlineStr"/>
      <c r="AC614" t="inlineStr"/>
      <c r="AD614" t="inlineStr">
        <is>
          <t>לא נמצא בחיפוש ראשוני</t>
        </is>
      </c>
      <c r="AE614" t="inlineStr">
        <is>
          <t>חיפוש חלקי</t>
        </is>
      </c>
      <c r="AG614" t="inlineStr"/>
      <c r="AH614" t="inlineStr"/>
      <c r="AI614" t="inlineStr">
        <is>
          <t>Searched for Honeywell Research Chemicals (Fluka/Riedel-de Haen): only acquisition news (2015) and a German dealer (Altmann Analytik, 2016); no Israeli channel surfaced. Honeywell's wider corporate presence in Israel was not covered by this search.</t>
        </is>
      </c>
      <c r="AJ614" t="inlineStr"/>
      <c r="AM614" t="inlineStr">
        <is>
          <t>https://www.honeywell.com/us/en/contact</t>
        </is>
      </c>
      <c r="AN614" t="inlineStr">
        <is>
          <t>https://www.honeywell.com/us/en/contact</t>
        </is>
      </c>
      <c r="AP614" t="inlineStr">
        <is>
          <t>https://www.dutscher.com/search?initialFilters=brand:Honeywell | https://www.thomassci.com/browse-by/suppliers/honeywell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Y615" t="inlineStr">
        <is>
          <t>unknown</t>
        </is>
      </c>
      <c r="Z615" t="inlineStr"/>
      <c r="AA615" t="inlineStr"/>
      <c r="AB615" t="inlineStr"/>
      <c r="AC615" t="inlineStr"/>
      <c r="AD615" t="inlineStr">
        <is>
          <t>לא נמצא בסריקת המפיצים</t>
        </is>
      </c>
      <c r="AE615" t="inlineStr">
        <is>
          <t>סריקת אתרי מפיצים</t>
        </is>
      </c>
      <c r="AG615" t="inlineStr"/>
      <c r="AH615" t="inlineStr"/>
      <c r="AJ615" t="inlineStr"/>
      <c r="AP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Y616" t="inlineStr">
        <is>
          <t>unknown</t>
        </is>
      </c>
      <c r="Z616" t="inlineStr"/>
      <c r="AA616" t="inlineStr"/>
      <c r="AB616" t="inlineStr"/>
      <c r="AC616" t="inlineStr"/>
      <c r="AD616" t="inlineStr">
        <is>
          <t>לא נמצא בסריקת המפיצים</t>
        </is>
      </c>
      <c r="AE616" t="inlineStr">
        <is>
          <t>סריקת אתרי מפיצים</t>
        </is>
      </c>
      <c r="AG616" t="inlineStr"/>
      <c r="AH616" t="inlineStr"/>
      <c r="AJ616" t="inlineStr"/>
      <c r="AP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Y617" t="inlineStr">
        <is>
          <t>unknown</t>
        </is>
      </c>
      <c r="Z617" t="inlineStr"/>
      <c r="AA617" t="inlineStr"/>
      <c r="AB617" t="inlineStr"/>
      <c r="AC617" t="inlineStr"/>
      <c r="AD617" t="inlineStr">
        <is>
          <t>לא נמצא בסריקת המפיצים</t>
        </is>
      </c>
      <c r="AE617" t="inlineStr">
        <is>
          <t>סריקת אתרי מפיצים</t>
        </is>
      </c>
      <c r="AG617" t="inlineStr"/>
      <c r="AH617" t="inlineStr"/>
      <c r="AJ617" t="inlineStr"/>
      <c r="AP617" t="inlineStr">
        <is>
          <t>https://www.thomassci.com/browse-by/suppliers/honeywell-research-chemicals</t>
        </is>
      </c>
    </row>
    <row r="618">
      <c r="A618" t="n">
        <v>617</v>
      </c>
      <c r="B618" t="inlineStr">
        <is>
          <t>Hongene</t>
        </is>
      </c>
      <c r="C618" t="inlineStr">
        <is>
          <t>Q</t>
        </is>
      </c>
      <c r="F618" t="inlineStr">
        <is>
          <t>yes</t>
        </is>
      </c>
      <c r="J618" t="inlineStr"/>
      <c r="Y618" t="inlineStr">
        <is>
          <t>unknown</t>
        </is>
      </c>
      <c r="Z618" t="inlineStr"/>
      <c r="AA618" t="inlineStr"/>
      <c r="AB618" t="inlineStr"/>
      <c r="AC618" t="inlineStr"/>
      <c r="AD618" t="inlineStr">
        <is>
          <t>לא נמצא בסריקת המפיצים</t>
        </is>
      </c>
      <c r="AE618" t="inlineStr">
        <is>
          <t>סריקת אתרי מפיצים</t>
        </is>
      </c>
      <c r="AG618" t="inlineStr"/>
      <c r="AH618" t="inlineStr"/>
      <c r="AJ618" t="inlineStr"/>
      <c r="AP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Y619" t="inlineStr">
        <is>
          <t>unknown</t>
        </is>
      </c>
      <c r="Z619" t="inlineStr"/>
      <c r="AA619" t="inlineStr"/>
      <c r="AB619" t="inlineStr"/>
      <c r="AC619" t="inlineStr"/>
      <c r="AD619" t="inlineStr">
        <is>
          <t>לא נמצא בסריקת המפיצים</t>
        </is>
      </c>
      <c r="AE619" t="inlineStr">
        <is>
          <t>סריקת אתרי מפיצים</t>
        </is>
      </c>
      <c r="AG619" t="inlineStr"/>
      <c r="AH619" t="inlineStr"/>
      <c r="AJ619" t="inlineStr">
        <is>
          <t>(903) 595-3444</t>
        </is>
      </c>
      <c r="AM619" t="inlineStr">
        <is>
          <t>https://www.horizonind.com/pages/contact-us/</t>
        </is>
      </c>
      <c r="AN619" t="inlineStr">
        <is>
          <t>https://www.horizonind.com/pages/contact-us/</t>
        </is>
      </c>
      <c r="AP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Y620" t="inlineStr">
        <is>
          <t>unknown</t>
        </is>
      </c>
      <c r="Z620" t="inlineStr"/>
      <c r="AA620" t="inlineStr"/>
      <c r="AB620" t="inlineStr"/>
      <c r="AC620" t="inlineStr"/>
      <c r="AD620" t="inlineStr">
        <is>
          <t>לא נמצא בסריקת המפיצים</t>
        </is>
      </c>
      <c r="AE620" t="inlineStr">
        <is>
          <t>סריקת אתרי מפיצים</t>
        </is>
      </c>
      <c r="AG620" t="inlineStr"/>
      <c r="AH620" t="inlineStr"/>
      <c r="AJ620" t="inlineStr"/>
      <c r="AN620" t="inlineStr">
        <is>
          <t>https://www.horizonscientific.com/</t>
        </is>
      </c>
      <c r="AP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Y621" t="inlineStr">
        <is>
          <t>unknown</t>
        </is>
      </c>
      <c r="Z621" t="inlineStr"/>
      <c r="AA621" t="inlineStr"/>
      <c r="AB621" t="inlineStr"/>
      <c r="AC621" t="inlineStr"/>
      <c r="AD621" t="inlineStr">
        <is>
          <t>לא נמצא בסריקת המפיצים</t>
        </is>
      </c>
      <c r="AE621" t="inlineStr">
        <is>
          <t>סריקת אתרי מפיצים</t>
        </is>
      </c>
      <c r="AG621" t="inlineStr"/>
      <c r="AH621" t="inlineStr"/>
      <c r="AJ621" t="inlineStr"/>
      <c r="AP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Y622" t="inlineStr">
        <is>
          <t>unknown</t>
        </is>
      </c>
      <c r="Z622" t="inlineStr"/>
      <c r="AA622" t="inlineStr"/>
      <c r="AB622" t="inlineStr"/>
      <c r="AC622" t="inlineStr"/>
      <c r="AD622" t="inlineStr">
        <is>
          <t>לא נמצא בסריקת המפיצים</t>
        </is>
      </c>
      <c r="AE622" t="inlineStr">
        <is>
          <t>סריקת אתרי מפיצים</t>
        </is>
      </c>
      <c r="AG622" t="inlineStr"/>
      <c r="AH622" t="inlineStr"/>
      <c r="AJ622" t="inlineStr"/>
      <c r="AP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Y623" t="inlineStr">
        <is>
          <t>unknown</t>
        </is>
      </c>
      <c r="Z623" t="inlineStr"/>
      <c r="AA623" t="inlineStr"/>
      <c r="AB623" t="inlineStr"/>
      <c r="AC623" t="inlineStr"/>
      <c r="AD623" t="inlineStr">
        <is>
          <t>לא נמצא בסריקת המפיצים</t>
        </is>
      </c>
      <c r="AE623" t="inlineStr">
        <is>
          <t>סריקת אתרי מפיצים</t>
        </is>
      </c>
      <c r="AG623" t="inlineStr"/>
      <c r="AH623" t="inlineStr"/>
      <c r="AJ623" t="inlineStr"/>
      <c r="AP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Y624" t="inlineStr">
        <is>
          <t>unknown</t>
        </is>
      </c>
      <c r="Z624" t="inlineStr"/>
      <c r="AA624" t="inlineStr"/>
      <c r="AB624" t="inlineStr"/>
      <c r="AC624" t="inlineStr"/>
      <c r="AD624" t="inlineStr">
        <is>
          <t>לא נמצא בסריקת המפיצים</t>
        </is>
      </c>
      <c r="AE624" t="inlineStr">
        <is>
          <t>סריקת אתרי מפיצים</t>
        </is>
      </c>
      <c r="AG624" t="inlineStr"/>
      <c r="AH624" t="inlineStr"/>
      <c r="AJ624" t="inlineStr"/>
      <c r="AP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Y625" t="inlineStr">
        <is>
          <t>unknown</t>
        </is>
      </c>
      <c r="Z625" t="inlineStr"/>
      <c r="AA625" t="inlineStr"/>
      <c r="AB625" t="inlineStr"/>
      <c r="AC625" t="inlineStr"/>
      <c r="AD625" t="inlineStr">
        <is>
          <t>לא נמצא בסריקת המפיצים</t>
        </is>
      </c>
      <c r="AE625" t="inlineStr">
        <is>
          <t>סריקת אתרי מפיצים</t>
        </is>
      </c>
      <c r="AG625" t="inlineStr"/>
      <c r="AH625" t="inlineStr"/>
      <c r="AJ625" t="inlineStr">
        <is>
          <t>3157240196</t>
        </is>
      </c>
      <c r="AM625" t="inlineStr">
        <is>
          <t>https://hpkindustries.com/contact/</t>
        </is>
      </c>
      <c r="AN625" t="inlineStr">
        <is>
          <t>https://hpkindustries.com/contact/</t>
        </is>
      </c>
      <c r="AP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Y626" t="inlineStr">
        <is>
          <t>unknown</t>
        </is>
      </c>
      <c r="Z626" t="inlineStr"/>
      <c r="AA626" t="inlineStr"/>
      <c r="AB626" t="inlineStr"/>
      <c r="AC626" t="inlineStr"/>
      <c r="AD626" t="inlineStr">
        <is>
          <t>לא נמצא בסריקת המפיצים</t>
        </is>
      </c>
      <c r="AE626" t="inlineStr">
        <is>
          <t>סריקת אתרי מפיצים</t>
        </is>
      </c>
      <c r="AG626" t="inlineStr"/>
      <c r="AH626" t="inlineStr"/>
      <c r="AJ626" t="inlineStr"/>
      <c r="AP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P627" t="n">
        <v>480</v>
      </c>
      <c r="Q627" t="n">
        <v>2023</v>
      </c>
      <c r="R627" t="inlineStr">
        <is>
          <t>company</t>
        </is>
      </c>
      <c r="S627" t="inlineStr">
        <is>
          <t>prior</t>
        </is>
      </c>
      <c r="T627" t="n">
        <v>83</v>
      </c>
      <c r="U627" t="inlineStr">
        <is>
          <t>EUR ~75 million (trade estimate; private)</t>
        </is>
      </c>
      <c r="V627" t="inlineStr">
        <is>
          <t>2024 (estimate)</t>
        </is>
      </c>
      <c r="W627" t="inlineStr">
        <is>
          <t>estimate</t>
        </is>
      </c>
      <c r="X627" t="inlineStr">
        <is>
          <t>prior</t>
        </is>
      </c>
      <c r="Y627" t="inlineStr">
        <is>
          <t>reported</t>
        </is>
      </c>
      <c r="Z627" t="inlineStr">
        <is>
          <t>Unistat</t>
        </is>
      </c>
      <c r="AA627" t="inlineStr">
        <is>
          <t>Unichiller</t>
        </is>
      </c>
      <c r="AB627" t="inlineStr">
        <is>
          <t>Ministat / Petite Fleur / CC series</t>
        </is>
      </c>
      <c r="AC627" t="inlineStr">
        <is>
          <t>prior</t>
        </is>
      </c>
      <c r="AD627" t="inlineStr">
        <is>
          <t>מפיץ/נציג בישראל</t>
        </is>
      </c>
      <c r="AE627" t="inlineStr">
        <is>
          <t>אומת</t>
        </is>
      </c>
      <c r="AF627" t="n">
        <v>2026</v>
      </c>
      <c r="AG627" t="inlineStr">
        <is>
          <t>S.L. Moran Ltd.; Master-Cold</t>
        </is>
      </c>
      <c r="AH627" t="inlineStr">
        <is>
          <t>S.L. Moran Ltd.: +972 74-702-9898; Master-Cold:</t>
        </is>
      </c>
      <c r="AI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J627" t="inlineStr">
        <is>
          <t>+49 781 9603-0</t>
        </is>
      </c>
      <c r="AK627" t="inlineStr">
        <is>
          <t>info@huber-online.com</t>
        </is>
      </c>
      <c r="AL627" t="inlineStr">
        <is>
          <t>Werner-von-Siemens-Straße 1, 77656 Offenburg, Germany</t>
        </is>
      </c>
      <c r="AM627" t="inlineStr">
        <is>
          <t>https://huber-online.com/en/company/locations</t>
        </is>
      </c>
      <c r="AN627" t="inlineStr">
        <is>
          <t>https://huber-online.com/en/company/locations</t>
        </is>
      </c>
      <c r="AP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Y628" t="inlineStr">
        <is>
          <t>unknown</t>
        </is>
      </c>
      <c r="Z628" t="inlineStr"/>
      <c r="AA628" t="inlineStr"/>
      <c r="AB628" t="inlineStr"/>
      <c r="AC628" t="inlineStr"/>
      <c r="AD628" t="inlineStr">
        <is>
          <t>לא נמצא בסריקת המפיצים</t>
        </is>
      </c>
      <c r="AE628" t="inlineStr">
        <is>
          <t>סריקת אתרי מפיצים</t>
        </is>
      </c>
      <c r="AG628" t="inlineStr"/>
      <c r="AH628" t="inlineStr"/>
      <c r="AJ628" t="inlineStr">
        <is>
          <t>15188282180</t>
        </is>
      </c>
      <c r="AK628" t="inlineStr">
        <is>
          <t>sales@hudsonvalleylyomac.com</t>
        </is>
      </c>
      <c r="AM628" t="inlineStr">
        <is>
          <t>https://hudsonvalleylyomac.com/contact-us/</t>
        </is>
      </c>
      <c r="AN628" t="inlineStr">
        <is>
          <t>https://hudsonvalleylyomac.com/contact-us/</t>
        </is>
      </c>
      <c r="AP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Y629" t="inlineStr">
        <is>
          <t>unknown</t>
        </is>
      </c>
      <c r="Z629" t="inlineStr"/>
      <c r="AA629" t="inlineStr"/>
      <c r="AB629" t="inlineStr"/>
      <c r="AC629" t="inlineStr"/>
      <c r="AD629" t="inlineStr">
        <is>
          <t>לא נמצא בסריקת המפיצים</t>
        </is>
      </c>
      <c r="AE629" t="inlineStr">
        <is>
          <t>סריקת אתרי מפיצים</t>
        </is>
      </c>
      <c r="AG629" t="inlineStr"/>
      <c r="AH629" t="inlineStr"/>
      <c r="AJ629" t="inlineStr"/>
      <c r="AP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Y630" t="inlineStr">
        <is>
          <t>unknown</t>
        </is>
      </c>
      <c r="Z630" t="inlineStr"/>
      <c r="AA630" t="inlineStr"/>
      <c r="AB630" t="inlineStr"/>
      <c r="AC630" t="inlineStr"/>
      <c r="AD630" t="inlineStr">
        <is>
          <t>לא נמצא בסריקת המפיצים</t>
        </is>
      </c>
      <c r="AE630" t="inlineStr">
        <is>
          <t>סריקת אתרי מפיצים</t>
        </is>
      </c>
      <c r="AG630" t="inlineStr"/>
      <c r="AH630" t="inlineStr"/>
      <c r="AJ630" t="inlineStr"/>
      <c r="AP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Y631" t="inlineStr">
        <is>
          <t>unknown</t>
        </is>
      </c>
      <c r="Z631" t="inlineStr"/>
      <c r="AA631" t="inlineStr"/>
      <c r="AB631" t="inlineStr"/>
      <c r="AC631" t="inlineStr"/>
      <c r="AD631" t="inlineStr">
        <is>
          <t>לא נמצא בסריקת המפיצים</t>
        </is>
      </c>
      <c r="AE631" t="inlineStr">
        <is>
          <t>סריקת אתרי מפיצים</t>
        </is>
      </c>
      <c r="AG631" t="inlineStr"/>
      <c r="AH631" t="inlineStr"/>
      <c r="AJ631" t="inlineStr"/>
      <c r="AP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Y632" t="inlineStr">
        <is>
          <t>unknown</t>
        </is>
      </c>
      <c r="Z632" t="inlineStr"/>
      <c r="AA632" t="inlineStr"/>
      <c r="AB632" t="inlineStr"/>
      <c r="AC632" t="inlineStr"/>
      <c r="AD632" t="inlineStr">
        <is>
          <t>לא נמצא בסריקת המפיצים</t>
        </is>
      </c>
      <c r="AE632" t="inlineStr">
        <is>
          <t>סריקת אתרי מפיצים</t>
        </is>
      </c>
      <c r="AG632" t="inlineStr"/>
      <c r="AH632" t="inlineStr"/>
      <c r="AJ632" t="inlineStr"/>
      <c r="AP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clearbit_verified</t>
        </is>
      </c>
      <c r="J633" t="inlineStr"/>
      <c r="Y633" t="inlineStr">
        <is>
          <t>unknown</t>
        </is>
      </c>
      <c r="Z633" t="inlineStr"/>
      <c r="AA633" t="inlineStr"/>
      <c r="AB633" t="inlineStr"/>
      <c r="AC633" t="inlineStr"/>
      <c r="AD633" t="inlineStr">
        <is>
          <t>לא נמצא בסריקת המפיצים</t>
        </is>
      </c>
      <c r="AE633" t="inlineStr">
        <is>
          <t>סריקת אתרי מפיצים</t>
        </is>
      </c>
      <c r="AG633" t="inlineStr"/>
      <c r="AH633" t="inlineStr"/>
      <c r="AJ633" t="inlineStr"/>
      <c r="AK633" t="inlineStr">
        <is>
          <t>info@hydrox.earth</t>
        </is>
      </c>
      <c r="AM633" t="inlineStr">
        <is>
          <t>https://hydrox.earth/contact-hydro-x/</t>
        </is>
      </c>
      <c r="AN633" t="inlineStr">
        <is>
          <t>https://hydrox.earth/contact-hydro-x/</t>
        </is>
      </c>
      <c r="AP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J634" t="inlineStr"/>
      <c r="Y634" t="inlineStr">
        <is>
          <t>unknown</t>
        </is>
      </c>
      <c r="Z634" t="inlineStr"/>
      <c r="AA634" t="inlineStr"/>
      <c r="AB634" t="inlineStr"/>
      <c r="AC634" t="inlineStr"/>
      <c r="AD634" t="inlineStr">
        <is>
          <t>לא נמצא בסריקת המפיצים</t>
        </is>
      </c>
      <c r="AE634" t="inlineStr">
        <is>
          <t>סריקת אתרי מפיצים</t>
        </is>
      </c>
      <c r="AG634" t="inlineStr"/>
      <c r="AH634" t="inlineStr"/>
      <c r="AJ634" t="inlineStr"/>
      <c r="AP634" t="inlineStr">
        <is>
          <t>https://www.thomassci.com/browse-by/suppliers/hygenic-corporation</t>
        </is>
      </c>
    </row>
    <row r="635">
      <c r="A635" t="n">
        <v>634</v>
      </c>
      <c r="B635" t="inlineStr">
        <is>
          <t>I-Chem</t>
        </is>
      </c>
      <c r="C635" t="inlineStr">
        <is>
          <t>T</t>
        </is>
      </c>
      <c r="E635" t="inlineStr">
        <is>
          <t>https://www.thomassci.com/browse-by/suppliers/i-chem</t>
        </is>
      </c>
      <c r="F635" t="inlineStr"/>
      <c r="J635" t="inlineStr"/>
      <c r="Y635" t="inlineStr">
        <is>
          <t>unknown</t>
        </is>
      </c>
      <c r="Z635" t="inlineStr"/>
      <c r="AA635" t="inlineStr"/>
      <c r="AB635" t="inlineStr"/>
      <c r="AC635" t="inlineStr"/>
      <c r="AD635" t="inlineStr">
        <is>
          <t>לא נמצא בסריקת המפיצים</t>
        </is>
      </c>
      <c r="AE635" t="inlineStr">
        <is>
          <t>סריקת אתרי מפיצים</t>
        </is>
      </c>
      <c r="AG635" t="inlineStr"/>
      <c r="AH635" t="inlineStr"/>
      <c r="AJ635" t="inlineStr"/>
      <c r="AP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Y636" t="inlineStr">
        <is>
          <t>unknown</t>
        </is>
      </c>
      <c r="Z636" t="inlineStr"/>
      <c r="AA636" t="inlineStr"/>
      <c r="AB636" t="inlineStr"/>
      <c r="AC636" t="inlineStr"/>
      <c r="AD636" t="inlineStr">
        <is>
          <t>לא נמצא בסריקת המפיצים</t>
        </is>
      </c>
      <c r="AE636" t="inlineStr">
        <is>
          <t>סריקת אתרי מפיצים</t>
        </is>
      </c>
      <c r="AG636" t="inlineStr"/>
      <c r="AH636" t="inlineStr"/>
      <c r="AJ636" t="inlineStr">
        <is>
          <t>(215) 925 2285</t>
        </is>
      </c>
      <c r="AK636" t="inlineStr">
        <is>
          <t>sales@imillermicroscopes.com</t>
        </is>
      </c>
      <c r="AM636" t="inlineStr">
        <is>
          <t>https://imillermicroscopes.com/pages/contact-us</t>
        </is>
      </c>
      <c r="AN636" t="inlineStr">
        <is>
          <t>https://imillermicroscopes.com/pages/contact-us</t>
        </is>
      </c>
      <c r="AP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Y637" t="inlineStr">
        <is>
          <t>unknown</t>
        </is>
      </c>
      <c r="Z637" t="inlineStr"/>
      <c r="AA637" t="inlineStr"/>
      <c r="AB637" t="inlineStr"/>
      <c r="AC637" t="inlineStr"/>
      <c r="AD637" t="inlineStr">
        <is>
          <t>לא נמצא בסריקת המפיצים</t>
        </is>
      </c>
      <c r="AE637" t="inlineStr">
        <is>
          <t>סריקת אתרי מפיצים</t>
        </is>
      </c>
      <c r="AG637" t="inlineStr"/>
      <c r="AH637" t="inlineStr"/>
      <c r="AJ637" t="inlineStr"/>
      <c r="AP637" t="inlineStr">
        <is>
          <t>https://www.thomassci.com/browse-by/suppliers/i-solutions</t>
        </is>
      </c>
    </row>
    <row r="638">
      <c r="A638" t="n">
        <v>637</v>
      </c>
      <c r="B638" t="inlineStr">
        <is>
          <t>I.W. Tremont</t>
        </is>
      </c>
      <c r="C638" t="inlineStr">
        <is>
          <t>Q</t>
        </is>
      </c>
      <c r="F638" t="inlineStr">
        <is>
          <t>yes</t>
        </is>
      </c>
      <c r="J638" t="inlineStr"/>
      <c r="Y638" t="inlineStr">
        <is>
          <t>unknown</t>
        </is>
      </c>
      <c r="Z638" t="inlineStr"/>
      <c r="AA638" t="inlineStr"/>
      <c r="AB638" t="inlineStr"/>
      <c r="AC638" t="inlineStr"/>
      <c r="AD638" t="inlineStr">
        <is>
          <t>לא נמצא בסריקת המפיצים</t>
        </is>
      </c>
      <c r="AE638" t="inlineStr">
        <is>
          <t>סריקת אתרי מפיצים</t>
        </is>
      </c>
      <c r="AG638" t="inlineStr"/>
      <c r="AH638" t="inlineStr"/>
      <c r="AJ638" t="inlineStr"/>
      <c r="AP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Y639" t="inlineStr">
        <is>
          <t>unknown</t>
        </is>
      </c>
      <c r="Z639" t="inlineStr"/>
      <c r="AA639" t="inlineStr"/>
      <c r="AB639" t="inlineStr"/>
      <c r="AC639" t="inlineStr"/>
      <c r="AD639" t="inlineStr">
        <is>
          <t>לא נמצא בסריקת המפיצים</t>
        </is>
      </c>
      <c r="AE639" t="inlineStr">
        <is>
          <t>סריקת אתרי מפיצים</t>
        </is>
      </c>
      <c r="AG639" t="inlineStr"/>
      <c r="AH639" t="inlineStr"/>
      <c r="AJ639" t="inlineStr">
        <is>
          <t>+49551506720</t>
        </is>
      </c>
      <c r="AK639" t="inlineStr">
        <is>
          <t>info@iba-lifesciences.com</t>
        </is>
      </c>
      <c r="AM639" t="inlineStr">
        <is>
          <t>https://www.iba-lifesciences.com/contact/</t>
        </is>
      </c>
      <c r="AN639" t="inlineStr">
        <is>
          <t>https://www.iba-lifesciences.com/contact/</t>
        </is>
      </c>
      <c r="AP639" t="inlineStr">
        <is>
          <t>https://www.quartzy.com/suppliers | https://www.iba-lifesciences.com/contact/</t>
        </is>
      </c>
    </row>
    <row r="640">
      <c r="A640" t="n">
        <v>639</v>
      </c>
      <c r="B640" t="inlineStr">
        <is>
          <t>IBA Lifesciences</t>
        </is>
      </c>
      <c r="C640" t="inlineStr">
        <is>
          <t>Q+</t>
        </is>
      </c>
      <c r="F640" t="inlineStr">
        <is>
          <t xml:space="preserve"> +new</t>
        </is>
      </c>
      <c r="H640" t="inlineStr">
        <is>
          <t>https://iba-lifesciences.com</t>
        </is>
      </c>
      <c r="I640" t="inlineStr">
        <is>
          <t>clearbit_verified</t>
        </is>
      </c>
      <c r="J640" t="inlineStr"/>
      <c r="O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Y640" t="inlineStr">
        <is>
          <t>unknown</t>
        </is>
      </c>
      <c r="Z640" t="inlineStr"/>
      <c r="AA640" t="inlineStr"/>
      <c r="AB640" t="inlineStr"/>
      <c r="AC640" t="inlineStr"/>
      <c r="AD640" t="inlineStr">
        <is>
          <t>לא נמצא בסריקת המפיצים</t>
        </is>
      </c>
      <c r="AE640" t="inlineStr">
        <is>
          <t>סריקת אתרי מפיצים</t>
        </is>
      </c>
      <c r="AG640" t="inlineStr"/>
      <c r="AH640" t="inlineStr"/>
      <c r="AJ640" t="inlineStr">
        <is>
          <t>+49551506720</t>
        </is>
      </c>
      <c r="AK640" t="inlineStr">
        <is>
          <t>info@iba-lifesciences.com</t>
        </is>
      </c>
      <c r="AM640" t="inlineStr">
        <is>
          <t>https://www.iba-lifesciences.com/contact/</t>
        </is>
      </c>
      <c r="AN640" t="inlineStr">
        <is>
          <t>https://www.iba-lifesciences.com/contact/</t>
        </is>
      </c>
      <c r="AP640" t="inlineStr">
        <is>
          <t>https://info.quartzy.com/new-suppliers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Y641" t="inlineStr">
        <is>
          <t>unknown</t>
        </is>
      </c>
      <c r="Z641" t="inlineStr"/>
      <c r="AA641" t="inlineStr"/>
      <c r="AB641" t="inlineStr"/>
      <c r="AC641" t="inlineStr"/>
      <c r="AD641" t="inlineStr">
        <is>
          <t>לא נמצא בחיפוש ראשוני</t>
        </is>
      </c>
      <c r="AE641" t="inlineStr">
        <is>
          <t>חיפוש חלקי</t>
        </is>
      </c>
      <c r="AG641" t="inlineStr"/>
      <c r="AH641" t="inlineStr"/>
      <c r="AI641" t="inlineStr">
        <is>
          <t>Company profiles and US resellers only; Agentek/Enco appeared with no link to IBI.</t>
        </is>
      </c>
      <c r="AJ641" t="inlineStr">
        <is>
          <t>800-253-4942</t>
        </is>
      </c>
      <c r="AK641" t="inlineStr">
        <is>
          <t>info@ibisci.com</t>
        </is>
      </c>
      <c r="AM641" t="inlineStr">
        <is>
          <t>https://www.ibisci.com/pages/contact-us</t>
        </is>
      </c>
      <c r="AN641" t="inlineStr">
        <is>
          <t>https://www.ibisci.com/pages/contact-us</t>
        </is>
      </c>
      <c r="AP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Y642" t="inlineStr">
        <is>
          <t>unknown</t>
        </is>
      </c>
      <c r="Z642" t="inlineStr"/>
      <c r="AA642" t="inlineStr"/>
      <c r="AB642" t="inlineStr"/>
      <c r="AC642" t="inlineStr"/>
      <c r="AD642" t="inlineStr">
        <is>
          <t>לא נמצא בסריקת המפיצים</t>
        </is>
      </c>
      <c r="AE642" t="inlineStr">
        <is>
          <t>סריקת אתרי מפיצים</t>
        </is>
      </c>
      <c r="AG642" t="inlineStr"/>
      <c r="AH642" t="inlineStr"/>
      <c r="AJ642" t="inlineStr">
        <is>
          <t>855-390-4202</t>
        </is>
      </c>
      <c r="AK642" t="inlineStr">
        <is>
          <t>sales@ibisscientific.com</t>
        </is>
      </c>
      <c r="AM642" t="inlineStr">
        <is>
          <t>https://ibisscientific.com/contact-us/</t>
        </is>
      </c>
      <c r="AN642" t="inlineStr">
        <is>
          <t>https://ibisscientific.com/contact-us/</t>
        </is>
      </c>
      <c r="AP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Y643" t="inlineStr">
        <is>
          <t>unknown</t>
        </is>
      </c>
      <c r="Z643" t="inlineStr"/>
      <c r="AA643" t="inlineStr"/>
      <c r="AB643" t="inlineStr"/>
      <c r="AC643" t="inlineStr"/>
      <c r="AD643" t="inlineStr">
        <is>
          <t>לא נמצא בסריקת המפיצים</t>
        </is>
      </c>
      <c r="AE643" t="inlineStr">
        <is>
          <t>סריקת אתרי מפיצים</t>
        </is>
      </c>
      <c r="AG643" t="inlineStr"/>
      <c r="AH643" t="inlineStr"/>
      <c r="AJ643" t="inlineStr">
        <is>
          <t>(877) 411-2041</t>
        </is>
      </c>
      <c r="AM643" t="inlineStr">
        <is>
          <t>https://ibtbioservices.com/contact/</t>
        </is>
      </c>
      <c r="AN643" t="inlineStr">
        <is>
          <t>https://ibtbioservices.com/contact/</t>
        </is>
      </c>
      <c r="AP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Y644" t="inlineStr">
        <is>
          <t>unknown</t>
        </is>
      </c>
      <c r="Z644" t="inlineStr"/>
      <c r="AA644" t="inlineStr"/>
      <c r="AB644" t="inlineStr"/>
      <c r="AC644" t="inlineStr"/>
      <c r="AD644" t="inlineStr">
        <is>
          <t>לא נמצא בסריקת המפיצים</t>
        </is>
      </c>
      <c r="AE644" t="inlineStr">
        <is>
          <t>סריקת אתרי מפיצים</t>
        </is>
      </c>
      <c r="AG644" t="inlineStr"/>
      <c r="AH644" t="inlineStr"/>
      <c r="AJ644" t="inlineStr"/>
      <c r="AP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Y645" t="inlineStr">
        <is>
          <t>unknown</t>
        </is>
      </c>
      <c r="Z645" t="inlineStr"/>
      <c r="AA645" t="inlineStr"/>
      <c r="AB645" t="inlineStr"/>
      <c r="AC645" t="inlineStr"/>
      <c r="AD645" t="inlineStr">
        <is>
          <t>לא נמצא בסריקת המפיצים</t>
        </is>
      </c>
      <c r="AE645" t="inlineStr">
        <is>
          <t>סריקת אתרי מפיצים</t>
        </is>
      </c>
      <c r="AG645" t="inlineStr"/>
      <c r="AH645" t="inlineStr"/>
      <c r="AJ645" t="inlineStr"/>
      <c r="AP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Y646" t="inlineStr">
        <is>
          <t>unknown</t>
        </is>
      </c>
      <c r="Z646" t="inlineStr"/>
      <c r="AA646" t="inlineStr"/>
      <c r="AB646" t="inlineStr"/>
      <c r="AC646" t="inlineStr"/>
      <c r="AD646" t="inlineStr">
        <is>
          <t>לא נמצא בסריקת המפיצים</t>
        </is>
      </c>
      <c r="AE646" t="inlineStr">
        <is>
          <t>סריקת אתרי מפיצים</t>
        </is>
      </c>
      <c r="AG646" t="inlineStr"/>
      <c r="AH646" t="inlineStr"/>
      <c r="AJ646" t="inlineStr">
        <is>
          <t>8004260191</t>
        </is>
      </c>
      <c r="AK646" t="inlineStr">
        <is>
          <t>info@avr-optics.com</t>
        </is>
      </c>
      <c r="AM646" t="inlineStr">
        <is>
          <t>https://www.idex-hs.com/contact/contact-us</t>
        </is>
      </c>
      <c r="AN646" t="inlineStr">
        <is>
          <t>https://www.idex-hs.com/contact/contact-us</t>
        </is>
      </c>
      <c r="AP646" t="inlineStr">
        <is>
          <t>https://www.thomassci.com/browse-by/suppliers/idex-health-and-science | https://www.idex-hs.com/contact/contact-us</t>
        </is>
      </c>
    </row>
    <row r="647">
      <c r="A647" t="n">
        <v>646</v>
      </c>
      <c r="B647" t="inlineStr">
        <is>
          <t>Ignyte Bio</t>
        </is>
      </c>
      <c r="C647" t="inlineStr">
        <is>
          <t>Q</t>
        </is>
      </c>
      <c r="F647" t="inlineStr">
        <is>
          <t>yes</t>
        </is>
      </c>
      <c r="H647" t="inlineStr">
        <is>
          <t>https://ignytebio.com</t>
        </is>
      </c>
      <c r="I647" t="inlineStr">
        <is>
          <t>clearbit_verified</t>
        </is>
      </c>
      <c r="J647" t="inlineStr"/>
      <c r="Y647" t="inlineStr">
        <is>
          <t>unknown</t>
        </is>
      </c>
      <c r="Z647" t="inlineStr"/>
      <c r="AA647" t="inlineStr"/>
      <c r="AB647" t="inlineStr"/>
      <c r="AC647" t="inlineStr"/>
      <c r="AD647" t="inlineStr">
        <is>
          <t>לא נמצא בסריקת המפיצים</t>
        </is>
      </c>
      <c r="AE647" t="inlineStr">
        <is>
          <t>סריקת אתרי מפיצים</t>
        </is>
      </c>
      <c r="AG647" t="inlineStr"/>
      <c r="AH647" t="inlineStr"/>
      <c r="AJ647" t="inlineStr">
        <is>
          <t>877-929-7766</t>
        </is>
      </c>
      <c r="AK647" t="inlineStr">
        <is>
          <t>info@ignytebio.com</t>
        </is>
      </c>
      <c r="AM647" t="inlineStr">
        <is>
          <t>https://www.ignytebio.com/contact/</t>
        </is>
      </c>
      <c r="AN647" t="inlineStr">
        <is>
          <t>https://www.ignytebio.com/contact/</t>
        </is>
      </c>
      <c r="AP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P648" t="n">
        <v>900</v>
      </c>
      <c r="Q648" t="n">
        <v>2024</v>
      </c>
      <c r="R648" t="inlineStr">
        <is>
          <t>company</t>
        </is>
      </c>
      <c r="S648" t="inlineStr">
        <is>
          <t>prior</t>
        </is>
      </c>
      <c r="T648" t="n">
        <v>260</v>
      </c>
      <c r="U648" t="inlineStr">
        <is>
          <t>USD ~250-273 million (aggregator estimates: Prospeo 250M, ZoomInfo 272.7M); last company-stated figure &gt;EUR 100 million (2014)</t>
        </is>
      </c>
      <c r="V648" t="inlineStr">
        <is>
          <t>undated aggregator estimates (c. 2024)</t>
        </is>
      </c>
      <c r="W648" t="inlineStr">
        <is>
          <t>estimate</t>
        </is>
      </c>
      <c r="X648" t="inlineStr">
        <is>
          <t>prior</t>
        </is>
      </c>
      <c r="Y648" t="inlineStr">
        <is>
          <t>mixed</t>
        </is>
      </c>
      <c r="Z648" t="inlineStr">
        <is>
          <t>RCT basic / C-MAG HS</t>
        </is>
      </c>
      <c r="AA648" t="inlineStr">
        <is>
          <t>ULTRA-TURRAX T 25 / T 50</t>
        </is>
      </c>
      <c r="AB648" t="inlineStr">
        <is>
          <t>EUROSTAR / MICROSTAR</t>
        </is>
      </c>
      <c r="AC648" t="inlineStr">
        <is>
          <t>prior</t>
        </is>
      </c>
      <c r="AD648" t="inlineStr">
        <is>
          <t>מפיץ/נציג בישראל</t>
        </is>
      </c>
      <c r="AE648" t="inlineStr">
        <is>
          <t>אומת</t>
        </is>
      </c>
      <c r="AF648" t="n">
        <v>2026</v>
      </c>
      <c r="AG648" t="inlineStr">
        <is>
          <t>Medent Scientific Instruments; Labotal Scientific Equipment Ltd.</t>
        </is>
      </c>
      <c r="AH648" t="inlineStr">
        <is>
          <t>Medent Scientific Instruments: +972 72-395-0508 (sales); +972 8-683-6306 (service) info@medent.co.il; Labotal Scientific Equipment Ltd.: +972 2-579-9222 Sales@labotal.co.il</t>
        </is>
      </c>
      <c r="AI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8" t="inlineStr">
        <is>
          <t>+49 7633 831-0</t>
        </is>
      </c>
      <c r="AK648" t="inlineStr">
        <is>
          <t>sales@ika.de</t>
        </is>
      </c>
      <c r="AL648" t="inlineStr">
        <is>
          <t>Janke &amp; Kunkel-Straße 10, 79219 Staufen, Germany</t>
        </is>
      </c>
      <c r="AN648" t="inlineStr">
        <is>
          <t>https://www.bionity.com/en/companies/7616/</t>
        </is>
      </c>
      <c r="AP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P649" t="n">
        <v>900</v>
      </c>
      <c r="Q649" t="n">
        <v>2024</v>
      </c>
      <c r="R649" t="inlineStr">
        <is>
          <t>company</t>
        </is>
      </c>
      <c r="S649" t="inlineStr">
        <is>
          <t>prior</t>
        </is>
      </c>
      <c r="T649" t="n">
        <v>260</v>
      </c>
      <c r="U649" t="inlineStr">
        <is>
          <t>USD ~250-273 million (aggregator estimates: Prospeo 250M, ZoomInfo 272.7M); last company-stated figure &gt;EUR 100 million (2014)</t>
        </is>
      </c>
      <c r="V649" t="inlineStr">
        <is>
          <t>undated aggregator estimates (c. 2024)</t>
        </is>
      </c>
      <c r="W649" t="inlineStr">
        <is>
          <t>estimate</t>
        </is>
      </c>
      <c r="X649" t="inlineStr">
        <is>
          <t>prior</t>
        </is>
      </c>
      <c r="Y649" t="inlineStr">
        <is>
          <t>mixed</t>
        </is>
      </c>
      <c r="Z649" t="inlineStr">
        <is>
          <t>RCT basic / C-MAG HS</t>
        </is>
      </c>
      <c r="AA649" t="inlineStr">
        <is>
          <t>ULTRA-TURRAX T 25 / T 50</t>
        </is>
      </c>
      <c r="AB649" t="inlineStr">
        <is>
          <t>EUROSTAR / MICROSTAR</t>
        </is>
      </c>
      <c r="AC649" t="inlineStr">
        <is>
          <t>prior</t>
        </is>
      </c>
      <c r="AD649" t="inlineStr">
        <is>
          <t>מפיץ/נציג בישראל</t>
        </is>
      </c>
      <c r="AE649" t="inlineStr">
        <is>
          <t>אומת</t>
        </is>
      </c>
      <c r="AF649" t="n">
        <v>2026</v>
      </c>
      <c r="AG649" t="inlineStr">
        <is>
          <t>Medent Scientific Instruments; Labotal Scientific Equipment Ltd.</t>
        </is>
      </c>
      <c r="AH649" t="inlineStr">
        <is>
          <t>Medent Scientific Instruments: +972 72-395-0508 (sales); +972 8-683-6306 (service) info@medent.co.il; Labotal Scientific Equipment Ltd.: +972 2-579-9222 Sales@labotal.co.il</t>
        </is>
      </c>
      <c r="AI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J649" t="inlineStr">
        <is>
          <t>+49 7633 831-0</t>
        </is>
      </c>
      <c r="AK649" t="inlineStr">
        <is>
          <t>sales@ika.de</t>
        </is>
      </c>
      <c r="AL649" t="inlineStr">
        <is>
          <t>Janke &amp; Kunkel-Straße 10, 79219 Staufen, Germany</t>
        </is>
      </c>
      <c r="AN649" t="inlineStr">
        <is>
          <t>https://www.bionity.com/en/companies/7616/</t>
        </is>
      </c>
      <c r="AP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Y650" t="inlineStr">
        <is>
          <t>unknown</t>
        </is>
      </c>
      <c r="Z650" t="inlineStr"/>
      <c r="AA650" t="inlineStr"/>
      <c r="AB650" t="inlineStr"/>
      <c r="AC650" t="inlineStr"/>
      <c r="AD650" t="inlineStr">
        <is>
          <t>לא נמצא בסריקת המפיצים</t>
        </is>
      </c>
      <c r="AE650" t="inlineStr">
        <is>
          <t>סריקת אתרי מפיצים</t>
        </is>
      </c>
      <c r="AG650" t="inlineStr"/>
      <c r="AH650" t="inlineStr"/>
      <c r="AJ650" t="inlineStr"/>
      <c r="AP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J651" t="inlineStr"/>
      <c r="Y651" t="inlineStr">
        <is>
          <t>unknown</t>
        </is>
      </c>
      <c r="Z651" t="inlineStr"/>
      <c r="AA651" t="inlineStr"/>
      <c r="AB651" t="inlineStr"/>
      <c r="AC651" t="inlineStr"/>
      <c r="AD651" t="inlineStr">
        <is>
          <t>לא נמצא בסריקת המפיצים</t>
        </is>
      </c>
      <c r="AE651" t="inlineStr">
        <is>
          <t>סריקת אתרי מפיצים</t>
        </is>
      </c>
      <c r="AG651" t="inlineStr"/>
      <c r="AH651" t="inlineStr"/>
      <c r="AJ651" t="inlineStr"/>
      <c r="AP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Y652" t="inlineStr">
        <is>
          <t>unknown</t>
        </is>
      </c>
      <c r="Z652" t="inlineStr"/>
      <c r="AA652" t="inlineStr"/>
      <c r="AB652" t="inlineStr"/>
      <c r="AC652" t="inlineStr"/>
      <c r="AD652" t="inlineStr">
        <is>
          <t>לא נמצא בחיפוש ראשוני</t>
        </is>
      </c>
      <c r="AE652" t="inlineStr">
        <is>
          <t>חיפוש חלקי</t>
        </is>
      </c>
      <c r="AG652" t="inlineStr"/>
      <c r="AH652" t="inlineStr"/>
      <c r="AI652" t="inlineStr">
        <is>
          <t>Implen distributors found for Australia (LabGear Australia, exclusive) and India (Inkarp Instruments), plus Fisher Scientific EU brand pages; no Israel mention. Note: website in targets (implen.cn) is not the manufacturer's main site (implen.de).</t>
        </is>
      </c>
      <c r="AJ652" t="inlineStr">
        <is>
          <t>+498972637180</t>
        </is>
      </c>
      <c r="AK652" t="inlineStr">
        <is>
          <t>info@implen.com</t>
        </is>
      </c>
      <c r="AM652" t="inlineStr">
        <is>
          <t>https://www.implen.de/support/</t>
        </is>
      </c>
      <c r="AN652" t="inlineStr">
        <is>
          <t>https://www.implen.de/support/</t>
        </is>
      </c>
      <c r="AP652" t="inlineStr">
        <is>
          <t>https://www.dutscher.com/search?initialFilters=brand:Implen | https://www.thomassci.com/browse-by/suppliers/implen | https://www.implen.de/support/</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Y653" t="inlineStr">
        <is>
          <t>unknown</t>
        </is>
      </c>
      <c r="Z653" t="inlineStr"/>
      <c r="AA653" t="inlineStr"/>
      <c r="AB653" t="inlineStr"/>
      <c r="AC653" t="inlineStr"/>
      <c r="AD653" t="inlineStr">
        <is>
          <t>לא נמצא בחיפוש ראשוני</t>
        </is>
      </c>
      <c r="AE653" t="inlineStr">
        <is>
          <t>חיפוש חלקי</t>
        </is>
      </c>
      <c r="AG653" t="inlineStr"/>
      <c r="AH653" t="inlineStr"/>
      <c r="AI653" t="inlineStr">
        <is>
          <t>Guangzhou Improve Medical Instruments profiles and US trade records only; Guangzhou-Israel biotech news does not name the company. Target website improvemed.com.ua is wrong.</t>
        </is>
      </c>
      <c r="AJ653" t="inlineStr"/>
      <c r="AP653" t="inlineStr">
        <is>
          <t>https://www.quartzy.com/suppliers | https://www.thomassci.com/browse-by/suppliers/improve-medical</t>
        </is>
      </c>
    </row>
    <row r="654">
      <c r="A654" t="n">
        <v>653</v>
      </c>
      <c r="B654" t="inlineStr">
        <is>
          <t>Independence Medical</t>
        </is>
      </c>
      <c r="C654" t="inlineStr">
        <is>
          <t>Q</t>
        </is>
      </c>
      <c r="F654" t="inlineStr">
        <is>
          <t>yes</t>
        </is>
      </c>
      <c r="J654" t="inlineStr"/>
      <c r="Y654" t="inlineStr">
        <is>
          <t>unknown</t>
        </is>
      </c>
      <c r="Z654" t="inlineStr"/>
      <c r="AA654" t="inlineStr"/>
      <c r="AB654" t="inlineStr"/>
      <c r="AC654" t="inlineStr"/>
      <c r="AD654" t="inlineStr">
        <is>
          <t>לא נמצא בסריקת המפיצים</t>
        </is>
      </c>
      <c r="AE654" t="inlineStr">
        <is>
          <t>סריקת אתרי מפיצים</t>
        </is>
      </c>
      <c r="AG654" t="inlineStr"/>
      <c r="AH654" t="inlineStr"/>
      <c r="AJ654" t="inlineStr"/>
      <c r="AP654" t="inlineStr">
        <is>
          <t>https://www.quartzy.com/suppliers</t>
        </is>
      </c>
    </row>
    <row r="655">
      <c r="A655" t="n">
        <v>654</v>
      </c>
      <c r="B655" t="inlineStr">
        <is>
          <t>Indicia</t>
        </is>
      </c>
      <c r="C655" t="inlineStr">
        <is>
          <t>D</t>
        </is>
      </c>
      <c r="D655" t="inlineStr">
        <is>
          <t>https://www.dutscher.com/search?initialFilters=brand:Indicia</t>
        </is>
      </c>
      <c r="F655" t="inlineStr"/>
      <c r="J655" t="inlineStr"/>
      <c r="Y655" t="inlineStr">
        <is>
          <t>unknown</t>
        </is>
      </c>
      <c r="Z655" t="inlineStr"/>
      <c r="AA655" t="inlineStr"/>
      <c r="AB655" t="inlineStr"/>
      <c r="AC655" t="inlineStr"/>
      <c r="AD655" t="inlineStr">
        <is>
          <t>לא נמצא בסריקת המפיצים</t>
        </is>
      </c>
      <c r="AE655" t="inlineStr">
        <is>
          <t>סריקת אתרי מפיצים</t>
        </is>
      </c>
      <c r="AG655" t="inlineStr"/>
      <c r="AH655" t="inlineStr"/>
      <c r="AJ655" t="inlineStr"/>
      <c r="AP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Y656" t="inlineStr">
        <is>
          <t>unknown</t>
        </is>
      </c>
      <c r="Z656" t="inlineStr"/>
      <c r="AA656" t="inlineStr"/>
      <c r="AB656" t="inlineStr"/>
      <c r="AC656" t="inlineStr"/>
      <c r="AD656" t="inlineStr">
        <is>
          <t>לא נמצא בסריקת המפיצים</t>
        </is>
      </c>
      <c r="AE656" t="inlineStr">
        <is>
          <t>סריקת אתרי מפיצים</t>
        </is>
      </c>
      <c r="AG656" t="inlineStr"/>
      <c r="AH656" t="inlineStr"/>
      <c r="AJ656" t="inlineStr"/>
      <c r="AP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Y657" t="inlineStr">
        <is>
          <t>unknown</t>
        </is>
      </c>
      <c r="Z657" t="inlineStr"/>
      <c r="AA657" t="inlineStr"/>
      <c r="AB657" t="inlineStr"/>
      <c r="AC657" t="inlineStr"/>
      <c r="AD657" t="inlineStr">
        <is>
          <t>לא נמצא בסריקת המפיצים</t>
        </is>
      </c>
      <c r="AE657" t="inlineStr">
        <is>
          <t>סריקת אתרי מפיצים</t>
        </is>
      </c>
      <c r="AG657" t="inlineStr"/>
      <c r="AH657" t="inlineStr"/>
      <c r="AJ657" t="inlineStr"/>
      <c r="AP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Y658" t="inlineStr">
        <is>
          <t>unknown</t>
        </is>
      </c>
      <c r="Z658" t="inlineStr"/>
      <c r="AA658" t="inlineStr"/>
      <c r="AB658" t="inlineStr"/>
      <c r="AC658" t="inlineStr"/>
      <c r="AD658" t="inlineStr">
        <is>
          <t>לא נמצא בסריקת המפיצים</t>
        </is>
      </c>
      <c r="AE658" t="inlineStr">
        <is>
          <t>סריקת אתרי מפיצים</t>
        </is>
      </c>
      <c r="AG658" t="inlineStr"/>
      <c r="AH658" t="inlineStr"/>
      <c r="AJ658" t="inlineStr"/>
      <c r="AN658" t="inlineStr">
        <is>
          <t>https://inficon.com/</t>
        </is>
      </c>
      <c r="AP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Y659" t="inlineStr">
        <is>
          <t>unknown</t>
        </is>
      </c>
      <c r="Z659" t="inlineStr"/>
      <c r="AA659" t="inlineStr"/>
      <c r="AB659" t="inlineStr"/>
      <c r="AC659" t="inlineStr"/>
      <c r="AD659" t="inlineStr">
        <is>
          <t>לא נמצא בסריקת המפיצים</t>
        </is>
      </c>
      <c r="AE659" t="inlineStr">
        <is>
          <t>סריקת אתרי מפיצים</t>
        </is>
      </c>
      <c r="AG659" t="inlineStr"/>
      <c r="AH659" t="inlineStr"/>
      <c r="AJ659" t="inlineStr">
        <is>
          <t>4437573500</t>
        </is>
      </c>
      <c r="AM659" t="inlineStr">
        <is>
          <t>https://www.informs.org/About-INFORMS/Contact-Us</t>
        </is>
      </c>
      <c r="AN659" t="inlineStr">
        <is>
          <t>https://www.informs.org/About-INFORMS/Contact-Us</t>
        </is>
      </c>
      <c r="AP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Y660" t="inlineStr">
        <is>
          <t>unknown</t>
        </is>
      </c>
      <c r="Z660" t="inlineStr"/>
      <c r="AA660" t="inlineStr"/>
      <c r="AB660" t="inlineStr"/>
      <c r="AC660" t="inlineStr"/>
      <c r="AD660" t="inlineStr">
        <is>
          <t>לא נמצא בסריקת המפיצים</t>
        </is>
      </c>
      <c r="AE660" t="inlineStr">
        <is>
          <t>סריקת אתרי מפיצים</t>
        </is>
      </c>
      <c r="AG660" t="inlineStr"/>
      <c r="AH660" t="inlineStr"/>
      <c r="AJ660" t="inlineStr"/>
      <c r="AP660" t="inlineStr">
        <is>
          <t>https://www.thomassci.com/browse-by/suppliers/inmark</t>
        </is>
      </c>
    </row>
    <row r="661">
      <c r="A661" t="n">
        <v>660</v>
      </c>
      <c r="B661" t="inlineStr">
        <is>
          <t>Innotech</t>
        </is>
      </c>
      <c r="C661" t="inlineStr">
        <is>
          <t>T</t>
        </is>
      </c>
      <c r="E661" t="inlineStr">
        <is>
          <t>https://www.thomassci.com/browse-by/suppliers/innotech</t>
        </is>
      </c>
      <c r="F661" t="inlineStr"/>
      <c r="J661" t="inlineStr"/>
      <c r="Y661" t="inlineStr">
        <is>
          <t>unknown</t>
        </is>
      </c>
      <c r="Z661" t="inlineStr"/>
      <c r="AA661" t="inlineStr"/>
      <c r="AB661" t="inlineStr"/>
      <c r="AC661" t="inlineStr"/>
      <c r="AD661" t="inlineStr">
        <is>
          <t>לא נמצא בסריקת המפיצים</t>
        </is>
      </c>
      <c r="AE661" t="inlineStr">
        <is>
          <t>סריקת אתרי מפיצים</t>
        </is>
      </c>
      <c r="AG661" t="inlineStr"/>
      <c r="AH661" t="inlineStr"/>
      <c r="AJ661" t="inlineStr"/>
      <c r="AP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Y662" t="inlineStr">
        <is>
          <t>unknown</t>
        </is>
      </c>
      <c r="Z662" t="inlineStr"/>
      <c r="AA662" t="inlineStr"/>
      <c r="AB662" t="inlineStr"/>
      <c r="AC662" t="inlineStr"/>
      <c r="AD662" t="inlineStr">
        <is>
          <t>לא נמצא בסריקת המפיצים</t>
        </is>
      </c>
      <c r="AE662" t="inlineStr">
        <is>
          <t>סריקת אתרי מפיצים</t>
        </is>
      </c>
      <c r="AG662" t="inlineStr"/>
      <c r="AH662" t="inlineStr"/>
      <c r="AJ662" t="inlineStr"/>
      <c r="AP662" t="inlineStr">
        <is>
          <t>https://www.thomassci.com/browse-by/suppliers/innovating-science</t>
        </is>
      </c>
    </row>
    <row r="663">
      <c r="A663" t="n">
        <v>662</v>
      </c>
      <c r="B663" t="inlineStr">
        <is>
          <t>Innovative Bioscience</t>
        </is>
      </c>
      <c r="C663" t="inlineStr">
        <is>
          <t>Q+Q+</t>
        </is>
      </c>
      <c r="F663" t="inlineStr">
        <is>
          <t>yes +new</t>
        </is>
      </c>
      <c r="J663" t="inlineStr"/>
      <c r="O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Y663" t="inlineStr">
        <is>
          <t>unknown</t>
        </is>
      </c>
      <c r="Z663" t="inlineStr"/>
      <c r="AA663" t="inlineStr"/>
      <c r="AB663" t="inlineStr"/>
      <c r="AC663" t="inlineStr"/>
      <c r="AD663" t="inlineStr">
        <is>
          <t>לא נמצא בחיפוש ראשוני</t>
        </is>
      </c>
      <c r="AE663" t="inlineStr">
        <is>
          <t>חיפוש חלקי</t>
        </is>
      </c>
      <c r="AG663" t="inlineStr"/>
      <c r="AH663" t="inlineStr"/>
      <c r="AI663" t="inlineStr">
        <is>
          <t>No result mentioned Innovative Bioscience; only unrelated Israeli distributors (Tivan Biotech for OZ Biosciences, Enco, Syntezza, Rhenium for Tosoh/Life Technologies).</t>
        </is>
      </c>
      <c r="AJ663" t="inlineStr"/>
      <c r="AP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Y664" t="inlineStr">
        <is>
          <t>unknown</t>
        </is>
      </c>
      <c r="Z664" t="inlineStr"/>
      <c r="AA664" t="inlineStr"/>
      <c r="AB664" t="inlineStr"/>
      <c r="AC664" t="inlineStr"/>
      <c r="AD664" t="inlineStr">
        <is>
          <t>לא נמצא בסריקת המפיצים</t>
        </is>
      </c>
      <c r="AE664" t="inlineStr">
        <is>
          <t>סריקת אתרי מפיצים</t>
        </is>
      </c>
      <c r="AG664" t="inlineStr"/>
      <c r="AH664" t="inlineStr"/>
      <c r="AJ664" t="inlineStr">
        <is>
          <t>248-896-0145</t>
        </is>
      </c>
      <c r="AK664" t="inlineStr">
        <is>
          <t>sales@innov-research.com</t>
        </is>
      </c>
      <c r="AM664" t="inlineStr">
        <is>
          <t>https://www.innov-research.com/pages/contact-us</t>
        </is>
      </c>
      <c r="AN664" t="inlineStr">
        <is>
          <t>https://www.innov-research.com/pages/contact-us</t>
        </is>
      </c>
      <c r="AP664" t="inlineStr">
        <is>
          <t>https://www.quartzy.com/suppliers | https://www.innov-research.com/pages/contact-us</t>
        </is>
      </c>
    </row>
    <row r="665">
      <c r="A665" t="n">
        <v>664</v>
      </c>
      <c r="B665" t="inlineStr">
        <is>
          <t>Innovex Biosciences</t>
        </is>
      </c>
      <c r="C665" t="inlineStr">
        <is>
          <t>Q</t>
        </is>
      </c>
      <c r="F665" t="inlineStr">
        <is>
          <t>yes</t>
        </is>
      </c>
      <c r="J665" t="inlineStr"/>
      <c r="Y665" t="inlineStr">
        <is>
          <t>unknown</t>
        </is>
      </c>
      <c r="Z665" t="inlineStr"/>
      <c r="AA665" t="inlineStr"/>
      <c r="AB665" t="inlineStr"/>
      <c r="AC665" t="inlineStr"/>
      <c r="AD665" t="inlineStr">
        <is>
          <t>לא נמצא בסריקת המפיצים</t>
        </is>
      </c>
      <c r="AE665" t="inlineStr">
        <is>
          <t>סריקת אתרי מפיצים</t>
        </is>
      </c>
      <c r="AG665" t="inlineStr"/>
      <c r="AH665" t="inlineStr"/>
      <c r="AJ665" t="inlineStr"/>
      <c r="AP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Y666" t="inlineStr">
        <is>
          <t>unknown</t>
        </is>
      </c>
      <c r="Z666" t="inlineStr"/>
      <c r="AA666" t="inlineStr"/>
      <c r="AB666" t="inlineStr"/>
      <c r="AC666" t="inlineStr"/>
      <c r="AD666" t="inlineStr">
        <is>
          <t>לא נמצא בחיפוש ראשוני</t>
        </is>
      </c>
      <c r="AE666" t="inlineStr">
        <is>
          <t>חיפוש חלקי</t>
        </is>
      </c>
      <c r="AG666" t="inlineStr"/>
      <c r="AH666" t="inlineStr"/>
      <c r="AI666" t="inlineStr">
        <is>
          <t>IV's international-operations page says it uses one exclusive distributor per territory outside US/Canada; only Spain (Inycom) named; Israel not shown.</t>
        </is>
      </c>
      <c r="AJ666" t="inlineStr">
        <is>
          <t>1.800.669.6799</t>
        </is>
      </c>
      <c r="AK666" t="inlineStr">
        <is>
          <t>orders@inorganicventures.com</t>
        </is>
      </c>
      <c r="AM666" t="inlineStr">
        <is>
          <t>https://www.inorganicventures.com/contact-us/</t>
        </is>
      </c>
      <c r="AN666" t="inlineStr">
        <is>
          <t>https://www.inorganicventures.com/contact-us/</t>
        </is>
      </c>
      <c r="AP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Y667" t="inlineStr">
        <is>
          <t>unknown</t>
        </is>
      </c>
      <c r="Z667" t="inlineStr"/>
      <c r="AA667" t="inlineStr"/>
      <c r="AB667" t="inlineStr"/>
      <c r="AC667" t="inlineStr"/>
      <c r="AD667" t="inlineStr">
        <is>
          <t>מפיץ/נציג בישראל</t>
        </is>
      </c>
      <c r="AE667" t="inlineStr">
        <is>
          <t>סריקת אתרי מפיצים</t>
        </is>
      </c>
      <c r="AF667" t="n">
        <v>2026</v>
      </c>
      <c r="AG667" t="inlineStr">
        <is>
          <t>NBT</t>
        </is>
      </c>
      <c r="AH667" t="inlineStr">
        <is>
          <t>NBT:</t>
        </is>
      </c>
      <c r="AJ667" t="inlineStr">
        <is>
          <t>18004434227</t>
        </is>
      </c>
      <c r="AK667" t="inlineStr">
        <is>
          <t>orders@instechlabs.com</t>
        </is>
      </c>
      <c r="AM667" t="inlineStr">
        <is>
          <t>https://www.instechlabs.com/contact</t>
        </is>
      </c>
      <c r="AN667" t="inlineStr">
        <is>
          <t>https://www.instechlabs.com/contact</t>
        </is>
      </c>
      <c r="AP667" t="inlineStr">
        <is>
          <t>https://www.thomassci.com/browse-by/suppliers/instech | https://nbtltd.com/products-page | https://www.instechlabs.com/contact</t>
        </is>
      </c>
    </row>
    <row r="668">
      <c r="A668" t="n">
        <v>667</v>
      </c>
      <c r="B668" t="inlineStr">
        <is>
          <t>INSTOCK Labs</t>
        </is>
      </c>
      <c r="C668" t="inlineStr">
        <is>
          <t>T</t>
        </is>
      </c>
      <c r="E668" t="inlineStr">
        <is>
          <t>https://www.thomassci.com/browse-by/suppliers/instock-labs</t>
        </is>
      </c>
      <c r="F668" t="inlineStr"/>
      <c r="J668" t="inlineStr"/>
      <c r="Y668" t="inlineStr">
        <is>
          <t>unknown</t>
        </is>
      </c>
      <c r="Z668" t="inlineStr"/>
      <c r="AA668" t="inlineStr"/>
      <c r="AB668" t="inlineStr"/>
      <c r="AC668" t="inlineStr"/>
      <c r="AD668" t="inlineStr">
        <is>
          <t>לא נמצא בסריקת המפיצים</t>
        </is>
      </c>
      <c r="AE668" t="inlineStr">
        <is>
          <t>סריקת אתרי מפיצים</t>
        </is>
      </c>
      <c r="AG668" t="inlineStr"/>
      <c r="AH668" t="inlineStr"/>
      <c r="AJ668" t="inlineStr"/>
      <c r="AP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Y669" t="inlineStr">
        <is>
          <t>unknown</t>
        </is>
      </c>
      <c r="Z669" t="inlineStr"/>
      <c r="AA669" t="inlineStr"/>
      <c r="AB669" t="inlineStr"/>
      <c r="AC669" t="inlineStr"/>
      <c r="AD669" t="inlineStr">
        <is>
          <t>לא נמצא בחיפוש ראשוני</t>
        </is>
      </c>
      <c r="AE669" t="inlineStr">
        <is>
          <t>חיפוש חלקי</t>
        </is>
      </c>
      <c r="AG669" t="inlineStr"/>
      <c r="AH669" t="inlineStr"/>
      <c r="AI669" t="inlineStr">
        <is>
          <t>No result mentions Intact Genomics; hits are other vendors' Israeli distributor announcements (Eisenberg Bros/Fluidigm, Ornat/LI-COR, Eldan/Medicinal Genomics, Syntezza/IDT).</t>
        </is>
      </c>
      <c r="AJ669" t="inlineStr"/>
      <c r="AP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P670" t="n">
        <v>614</v>
      </c>
      <c r="Q670" t="n">
        <v>2024</v>
      </c>
      <c r="R670" t="inlineStr">
        <is>
          <t>company</t>
        </is>
      </c>
      <c r="S670" t="inlineStr">
        <is>
          <t>prior</t>
        </is>
      </c>
      <c r="T670" t="n">
        <v>290</v>
      </c>
      <c r="U670" t="inlineStr">
        <is>
          <t>CHF ~250 million (trade estimate; private)</t>
        </is>
      </c>
      <c r="V670" t="inlineStr">
        <is>
          <t>2024 (estimate)</t>
        </is>
      </c>
      <c r="W670" t="inlineStr">
        <is>
          <t>estimate</t>
        </is>
      </c>
      <c r="X670" t="inlineStr">
        <is>
          <t>prior</t>
        </is>
      </c>
      <c r="Y670" t="inlineStr">
        <is>
          <t>reported</t>
        </is>
      </c>
      <c r="Z670" t="inlineStr">
        <is>
          <t>VIAFLO / VOYAGER</t>
        </is>
      </c>
      <c r="AA670" t="inlineStr">
        <is>
          <t>ASSIST PLUS</t>
        </is>
      </c>
      <c r="AB670" t="inlineStr">
        <is>
          <t>VACUSAFE / MEDIACLAVE</t>
        </is>
      </c>
      <c r="AC670" t="inlineStr">
        <is>
          <t>prior</t>
        </is>
      </c>
      <c r="AD670" t="inlineStr">
        <is>
          <t>מפיץ/נציג בישראל</t>
        </is>
      </c>
      <c r="AE670" t="inlineStr">
        <is>
          <t>אומת</t>
        </is>
      </c>
      <c r="AF670" t="n">
        <v>2026</v>
      </c>
      <c r="AG670" t="inlineStr">
        <is>
          <t>Medent - Scientific Equipment Ltd.</t>
        </is>
      </c>
      <c r="AH670" t="inlineStr">
        <is>
          <t>Medent - Scientific Equipment Ltd.: +972 72-395-0508 (sales); +972 8-683-6306 (service) info@medent.co.il</t>
        </is>
      </c>
      <c r="AI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0" t="inlineStr">
        <is>
          <t>+41 81 286 95 30</t>
        </is>
      </c>
      <c r="AK670" t="inlineStr">
        <is>
          <t>info@integra-biosciences.com</t>
        </is>
      </c>
      <c r="AL670" t="inlineStr">
        <is>
          <t>Tardisstrasse 201, 7205 Zizers, Switzerland</t>
        </is>
      </c>
      <c r="AM670" t="inlineStr">
        <is>
          <t>https://www.integra-biosciences.com/global/en/contacts</t>
        </is>
      </c>
      <c r="AN670" t="inlineStr">
        <is>
          <t>https://www.integra-biosciences.com/global/en/contacts</t>
        </is>
      </c>
      <c r="AP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P671" t="n">
        <v>614</v>
      </c>
      <c r="Q671" t="n">
        <v>2024</v>
      </c>
      <c r="R671" t="inlineStr">
        <is>
          <t>company</t>
        </is>
      </c>
      <c r="S671" t="inlineStr">
        <is>
          <t>prior</t>
        </is>
      </c>
      <c r="T671" t="n">
        <v>290</v>
      </c>
      <c r="U671" t="inlineStr">
        <is>
          <t>CHF ~250 million (trade estimate; private)</t>
        </is>
      </c>
      <c r="V671" t="inlineStr">
        <is>
          <t>2024 (estimate)</t>
        </is>
      </c>
      <c r="W671" t="inlineStr">
        <is>
          <t>estimate</t>
        </is>
      </c>
      <c r="X671" t="inlineStr">
        <is>
          <t>prior</t>
        </is>
      </c>
      <c r="Y671" t="inlineStr">
        <is>
          <t>reported</t>
        </is>
      </c>
      <c r="Z671" t="inlineStr">
        <is>
          <t>VIAFLO / VOYAGER</t>
        </is>
      </c>
      <c r="AA671" t="inlineStr">
        <is>
          <t>ASSIST PLUS</t>
        </is>
      </c>
      <c r="AB671" t="inlineStr">
        <is>
          <t>VACUSAFE / MEDIACLAVE</t>
        </is>
      </c>
      <c r="AC671" t="inlineStr">
        <is>
          <t>prior</t>
        </is>
      </c>
      <c r="AD671" t="inlineStr">
        <is>
          <t>מפיץ/נציג בישראל</t>
        </is>
      </c>
      <c r="AE671" t="inlineStr">
        <is>
          <t>אומת</t>
        </is>
      </c>
      <c r="AF671" t="n">
        <v>2026</v>
      </c>
      <c r="AG671" t="inlineStr">
        <is>
          <t>Medent - Scientific Equipment Ltd.</t>
        </is>
      </c>
      <c r="AH671" t="inlineStr">
        <is>
          <t>Medent - Scientific Equipment Ltd.: +972 72-395-0508 (sales); +972 8-683-6306 (service) info@medent.co.il</t>
        </is>
      </c>
      <c r="AI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J671" t="inlineStr">
        <is>
          <t>+41 81 286 95 30</t>
        </is>
      </c>
      <c r="AK671" t="inlineStr">
        <is>
          <t>info@integra-biosciences.com</t>
        </is>
      </c>
      <c r="AL671" t="inlineStr">
        <is>
          <t>Tardisstrasse 201, 7205 Zizers, Switzerland</t>
        </is>
      </c>
      <c r="AM671" t="inlineStr">
        <is>
          <t>https://www.integra-biosciences.com/global/en/contacts</t>
        </is>
      </c>
      <c r="AN671" t="inlineStr">
        <is>
          <t>https://www.integra-biosciences.com/global/en/contacts</t>
        </is>
      </c>
      <c r="AP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Y672" t="inlineStr">
        <is>
          <t>unknown</t>
        </is>
      </c>
      <c r="Z672" t="inlineStr"/>
      <c r="AA672" t="inlineStr"/>
      <c r="AB672" t="inlineStr"/>
      <c r="AC672" t="inlineStr"/>
      <c r="AD672" t="inlineStr">
        <is>
          <t>לא נמצא בסריקת המפיצים</t>
        </is>
      </c>
      <c r="AE672" t="inlineStr">
        <is>
          <t>סריקת אתרי מפיצים</t>
        </is>
      </c>
      <c r="AG672" t="inlineStr"/>
      <c r="AH672" t="inlineStr"/>
      <c r="AJ672" t="inlineStr"/>
      <c r="AK672" t="inlineStr">
        <is>
          <t>info@intelagard.com</t>
        </is>
      </c>
      <c r="AN672" t="inlineStr">
        <is>
          <t>https://www.intelagard.com</t>
        </is>
      </c>
      <c r="AP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Y673" t="inlineStr">
        <is>
          <t>unknown</t>
        </is>
      </c>
      <c r="Z673" t="inlineStr"/>
      <c r="AA673" t="inlineStr"/>
      <c r="AB673" t="inlineStr"/>
      <c r="AC673" t="inlineStr"/>
      <c r="AD673" t="inlineStr">
        <is>
          <t>לא נמצא בסריקת המפיצים</t>
        </is>
      </c>
      <c r="AE673" t="inlineStr">
        <is>
          <t>סריקת אתרי מפיצים</t>
        </is>
      </c>
      <c r="AG673" t="inlineStr"/>
      <c r="AH673" t="inlineStr"/>
      <c r="AJ673" t="inlineStr">
        <is>
          <t>301-605-7762</t>
        </is>
      </c>
      <c r="AK673" t="inlineStr">
        <is>
          <t>info@intelixbio.com</t>
        </is>
      </c>
      <c r="AM673" t="inlineStr">
        <is>
          <t>https://www.intelixbio.com/#CONTACT</t>
        </is>
      </c>
      <c r="AN673" t="inlineStr">
        <is>
          <t>https://www.intelixbio.com/#CONTACT</t>
        </is>
      </c>
      <c r="AP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Y674" t="inlineStr">
        <is>
          <t>unknown</t>
        </is>
      </c>
      <c r="Z674" t="inlineStr"/>
      <c r="AA674" t="inlineStr"/>
      <c r="AB674" t="inlineStr"/>
      <c r="AC674" t="inlineStr"/>
      <c r="AD674" t="inlineStr">
        <is>
          <t>לא נמצא בסריקת המפיצים</t>
        </is>
      </c>
      <c r="AE674" t="inlineStr">
        <is>
          <t>סריקת אתרי מפיצים</t>
        </is>
      </c>
      <c r="AG674" t="inlineStr"/>
      <c r="AH674" t="inlineStr"/>
      <c r="AJ674" t="inlineStr">
        <is>
          <t>+12317998760</t>
        </is>
      </c>
      <c r="AK674" t="inlineStr">
        <is>
          <t>sales@interdynesystems.com</t>
        </is>
      </c>
      <c r="AM674" t="inlineStr">
        <is>
          <t>https://interdynesystems.com/contact/</t>
        </is>
      </c>
      <c r="AN674" t="inlineStr">
        <is>
          <t>https://interdynesystems.com/contact/</t>
        </is>
      </c>
      <c r="AP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Y675" t="inlineStr">
        <is>
          <t>unknown</t>
        </is>
      </c>
      <c r="Z675" t="inlineStr"/>
      <c r="AA675" t="inlineStr"/>
      <c r="AB675" t="inlineStr"/>
      <c r="AC675" t="inlineStr"/>
      <c r="AD675" t="inlineStr">
        <is>
          <t>לא נמצא בסריקת המפיצים</t>
        </is>
      </c>
      <c r="AE675" t="inlineStr">
        <is>
          <t>סריקת אתרי מפיצים</t>
        </is>
      </c>
      <c r="AG675" t="inlineStr"/>
      <c r="AH675" t="inlineStr"/>
      <c r="AJ675" t="inlineStr"/>
      <c r="AP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Y676" t="inlineStr">
        <is>
          <t>unknown</t>
        </is>
      </c>
      <c r="Z676" t="inlineStr"/>
      <c r="AA676" t="inlineStr"/>
      <c r="AB676" t="inlineStr"/>
      <c r="AC676" t="inlineStr"/>
      <c r="AD676" t="inlineStr">
        <is>
          <t>לא נמצא בסריקת המפיצים</t>
        </is>
      </c>
      <c r="AE676" t="inlineStr">
        <is>
          <t>סריקת אתרי מפיצים</t>
        </is>
      </c>
      <c r="AG676" t="inlineStr"/>
      <c r="AH676" t="inlineStr"/>
      <c r="AJ676" t="inlineStr">
        <is>
          <t>1150712764</t>
        </is>
      </c>
      <c r="AN676" t="inlineStr">
        <is>
          <t>https://intermetro.com.br/</t>
        </is>
      </c>
      <c r="AP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Y677" t="inlineStr">
        <is>
          <t>unknown</t>
        </is>
      </c>
      <c r="Z677" t="inlineStr"/>
      <c r="AA677" t="inlineStr"/>
      <c r="AB677" t="inlineStr"/>
      <c r="AC677" t="inlineStr"/>
      <c r="AD677" t="inlineStr">
        <is>
          <t>לא נמצא בסריקת המפיצים</t>
        </is>
      </c>
      <c r="AE677" t="inlineStr">
        <is>
          <t>סריקת אתרי מפיצים</t>
        </is>
      </c>
      <c r="AG677" t="inlineStr"/>
      <c r="AH677" t="inlineStr"/>
      <c r="AJ677" t="inlineStr"/>
      <c r="AP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Y678" t="inlineStr">
        <is>
          <t>unknown</t>
        </is>
      </c>
      <c r="Z678" t="inlineStr"/>
      <c r="AA678" t="inlineStr"/>
      <c r="AB678" t="inlineStr"/>
      <c r="AC678" t="inlineStr"/>
      <c r="AD678" t="inlineStr">
        <is>
          <t>לא נמצא בסריקת המפיצים</t>
        </is>
      </c>
      <c r="AE678" t="inlineStr">
        <is>
          <t>סריקת אתרי מפיצים</t>
        </is>
      </c>
      <c r="AG678" t="inlineStr"/>
      <c r="AH678" t="inlineStr"/>
      <c r="AJ678" t="inlineStr"/>
      <c r="AP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Y679" t="inlineStr">
        <is>
          <t>unknown</t>
        </is>
      </c>
      <c r="Z679" t="inlineStr"/>
      <c r="AA679" t="inlineStr"/>
      <c r="AB679" t="inlineStr"/>
      <c r="AC679" t="inlineStr"/>
      <c r="AD679" t="inlineStr">
        <is>
          <t>לא נמצא בסריקת המפיצים</t>
        </is>
      </c>
      <c r="AE679" t="inlineStr">
        <is>
          <t>סריקת אתרי מפיצים</t>
        </is>
      </c>
      <c r="AG679" t="inlineStr"/>
      <c r="AH679" t="inlineStr"/>
      <c r="AJ679" t="inlineStr">
        <is>
          <t>18008204722</t>
        </is>
      </c>
      <c r="AK679" t="inlineStr">
        <is>
          <t>sales@interplas.com</t>
        </is>
      </c>
      <c r="AM679" t="inlineStr">
        <is>
          <t>https://www.interplas.com/international-plastics-contact</t>
        </is>
      </c>
      <c r="AN679" t="inlineStr">
        <is>
          <t>https://www.interplas.com/international-plastics-contact</t>
        </is>
      </c>
      <c r="AP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is>
          <t>ארה"ב</t>
        </is>
      </c>
      <c r="K680" t="inlineStr">
        <is>
          <t>Troy</t>
        </is>
      </c>
      <c r="M680" t="inlineStr">
        <is>
          <t>1980</t>
        </is>
      </c>
      <c r="O680" t="inlineStr">
        <is>
          <t>company in Troy, United States</t>
        </is>
      </c>
      <c r="Y680" t="inlineStr">
        <is>
          <t>unknown</t>
        </is>
      </c>
      <c r="Z680" t="inlineStr"/>
      <c r="AA680" t="inlineStr"/>
      <c r="AB680" t="inlineStr"/>
      <c r="AC680" t="inlineStr"/>
      <c r="AD680" t="inlineStr">
        <is>
          <t>לא נמצא בחיפוש ראשוני</t>
        </is>
      </c>
      <c r="AE680" t="inlineStr">
        <is>
          <t>חיפוש חלקי</t>
        </is>
      </c>
      <c r="AG680" t="inlineStr"/>
      <c r="AH680" t="inlineStr"/>
      <c r="AI680" t="inlineStr">
        <is>
          <t>Interscience cites distributors in 130+ countries; no Israeli partner in results (Analytics-Shop US/UK, DKSH Australia, Fisher).</t>
        </is>
      </c>
      <c r="AJ680" t="inlineStr"/>
      <c r="AL680" t="inlineStr">
        <is>
          <t>Troy</t>
        </is>
      </c>
      <c r="AM680" t="inlineStr">
        <is>
          <t>https://www.interscience.com/en/</t>
        </is>
      </c>
      <c r="AN680" t="inlineStr">
        <is>
          <t>https://www.interscience.com/en/</t>
        </is>
      </c>
      <c r="AO680" t="inlineStr">
        <is>
          <t>Q30282491</t>
        </is>
      </c>
      <c r="AP680" t="inlineStr">
        <is>
          <t>https://www.dutscher.com/search?initialFilters=brand:Interscience | https://www.thomassci.com/browse-by/suppliers/interscience | https://www.wikidata.org/wiki/Q30282491 | https://www.interscience.com/en/</t>
        </is>
      </c>
    </row>
    <row r="681">
      <c r="A681" t="n">
        <v>680</v>
      </c>
      <c r="B681" t="inlineStr">
        <is>
          <t>ION Bioscience</t>
        </is>
      </c>
      <c r="C681" t="inlineStr">
        <is>
          <t>Q</t>
        </is>
      </c>
      <c r="F681" t="inlineStr">
        <is>
          <t>yes</t>
        </is>
      </c>
      <c r="H681" t="inlineStr">
        <is>
          <t>https://ionbiosciences.com</t>
        </is>
      </c>
      <c r="I681" t="inlineStr">
        <is>
          <t>clearbit_verified</t>
        </is>
      </c>
      <c r="J681" t="inlineStr"/>
      <c r="Y681" t="inlineStr">
        <is>
          <t>unknown</t>
        </is>
      </c>
      <c r="Z681" t="inlineStr"/>
      <c r="AA681" t="inlineStr"/>
      <c r="AB681" t="inlineStr"/>
      <c r="AC681" t="inlineStr"/>
      <c r="AD681" t="inlineStr">
        <is>
          <t>לא נמצא בסריקת המפיצים</t>
        </is>
      </c>
      <c r="AE681" t="inlineStr">
        <is>
          <t>סריקת אתרי מפיצים</t>
        </is>
      </c>
      <c r="AG681" t="inlineStr"/>
      <c r="AH681" t="inlineStr"/>
      <c r="AJ681" t="inlineStr">
        <is>
          <t>(877) 219-8048</t>
        </is>
      </c>
      <c r="AK681" t="inlineStr">
        <is>
          <t>sales@ionbiosciences.com</t>
        </is>
      </c>
      <c r="AM681" t="inlineStr">
        <is>
          <t>https://ionbiosciences.com/contact/</t>
        </is>
      </c>
      <c r="AN681" t="inlineStr">
        <is>
          <t>https://ionbiosciences.com/contact/</t>
        </is>
      </c>
      <c r="AP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Y682" t="inlineStr">
        <is>
          <t>unknown</t>
        </is>
      </c>
      <c r="Z682" t="inlineStr"/>
      <c r="AA682" t="inlineStr"/>
      <c r="AB682" t="inlineStr"/>
      <c r="AC682" t="inlineStr"/>
      <c r="AD682" t="inlineStr">
        <is>
          <t>לא נמצא בסריקת המפיצים</t>
        </is>
      </c>
      <c r="AE682" t="inlineStr">
        <is>
          <t>סריקת אתרי מפיצים</t>
        </is>
      </c>
      <c r="AG682" t="inlineStr"/>
      <c r="AH682" t="inlineStr"/>
      <c r="AJ682" t="inlineStr">
        <is>
          <t>650-383-7515</t>
        </is>
      </c>
      <c r="AK682" t="inlineStr">
        <is>
          <t>info@iqbiosciences.com</t>
        </is>
      </c>
      <c r="AM682" t="inlineStr">
        <is>
          <t>https://iqbiosciences.com/contact-us/</t>
        </is>
      </c>
      <c r="AN682" t="inlineStr">
        <is>
          <t>https://iqbiosciences.com/contact-us/</t>
        </is>
      </c>
      <c r="AP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Y683" t="inlineStr">
        <is>
          <t>unknown</t>
        </is>
      </c>
      <c r="Z683" t="inlineStr"/>
      <c r="AA683" t="inlineStr"/>
      <c r="AB683" t="inlineStr"/>
      <c r="AC683" t="inlineStr"/>
      <c r="AD683" t="inlineStr">
        <is>
          <t>לא נמצא בסריקת המפיצים</t>
        </is>
      </c>
      <c r="AE683" t="inlineStr">
        <is>
          <t>סריקת אתרי מפיצים</t>
        </is>
      </c>
      <c r="AG683" t="inlineStr"/>
      <c r="AH683" t="inlineStr"/>
      <c r="AJ683" t="inlineStr">
        <is>
          <t>844-200-5664</t>
        </is>
      </c>
      <c r="AK683" t="inlineStr">
        <is>
          <t>customerservice@ironclad.com</t>
        </is>
      </c>
      <c r="AM683" t="inlineStr">
        <is>
          <t>https://ironclad.com/pages/customer-service.html</t>
        </is>
      </c>
      <c r="AN683" t="inlineStr">
        <is>
          <t>https://ironclad.com/pages/customer-service.html</t>
        </is>
      </c>
      <c r="AP683" t="inlineStr">
        <is>
          <t>https://www.thomassci.com/browse-by/suppliers/ironclad | https://ironclad.com/pages/customer-service.html</t>
        </is>
      </c>
    </row>
    <row r="684">
      <c r="A684" t="n">
        <v>683</v>
      </c>
      <c r="B684" t="inlineStr">
        <is>
          <t>Isocapt</t>
        </is>
      </c>
      <c r="C684" t="inlineStr">
        <is>
          <t>Q</t>
        </is>
      </c>
      <c r="F684" t="inlineStr">
        <is>
          <t>yes</t>
        </is>
      </c>
      <c r="H684" t="inlineStr">
        <is>
          <t>https://isocaptllc.com</t>
        </is>
      </c>
      <c r="I684" t="inlineStr">
        <is>
          <t>clearbit</t>
        </is>
      </c>
      <c r="J684" t="inlineStr"/>
      <c r="Y684" t="inlineStr">
        <is>
          <t>unknown</t>
        </is>
      </c>
      <c r="Z684" t="inlineStr"/>
      <c r="AA684" t="inlineStr"/>
      <c r="AB684" t="inlineStr"/>
      <c r="AC684" t="inlineStr"/>
      <c r="AD684" t="inlineStr">
        <is>
          <t>לא נמצא בסריקת המפיצים</t>
        </is>
      </c>
      <c r="AE684" t="inlineStr">
        <is>
          <t>סריקת אתרי מפיצים</t>
        </is>
      </c>
      <c r="AG684" t="inlineStr"/>
      <c r="AH684" t="inlineStr"/>
      <c r="AJ684" t="inlineStr"/>
      <c r="AP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Y685" t="inlineStr">
        <is>
          <t>unknown</t>
        </is>
      </c>
      <c r="Z685" t="inlineStr"/>
      <c r="AA685" t="inlineStr"/>
      <c r="AB685" t="inlineStr"/>
      <c r="AC685" t="inlineStr"/>
      <c r="AD685" t="inlineStr">
        <is>
          <t>לא נמצא בסריקת המפיצים</t>
        </is>
      </c>
      <c r="AE685" t="inlineStr">
        <is>
          <t>סריקת אתרי מפיצים</t>
        </is>
      </c>
      <c r="AG685" t="inlineStr"/>
      <c r="AH685" t="inlineStr"/>
      <c r="AJ685" t="inlineStr">
        <is>
          <t>+441252235758</t>
        </is>
      </c>
      <c r="AK685" t="inlineStr">
        <is>
          <t>sales@istscientific.com</t>
        </is>
      </c>
      <c r="AM685" t="inlineStr">
        <is>
          <t>https://istscientific.com/contact/</t>
        </is>
      </c>
      <c r="AN685" t="inlineStr">
        <is>
          <t>https://istscientific.com/contact/</t>
        </is>
      </c>
      <c r="AP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Y686" t="inlineStr">
        <is>
          <t>unknown</t>
        </is>
      </c>
      <c r="Z686" t="inlineStr"/>
      <c r="AA686" t="inlineStr"/>
      <c r="AB686" t="inlineStr"/>
      <c r="AC686" t="inlineStr"/>
      <c r="AD686" t="inlineStr">
        <is>
          <t>לא נמצא בסריקת המפיצים</t>
        </is>
      </c>
      <c r="AE686" t="inlineStr">
        <is>
          <t>סריקת אתרי מפיצים</t>
        </is>
      </c>
      <c r="AG686" t="inlineStr"/>
      <c r="AH686" t="inlineStr"/>
      <c r="AJ686" t="inlineStr"/>
      <c r="AP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Y687" t="inlineStr">
        <is>
          <t>unknown</t>
        </is>
      </c>
      <c r="Z687" t="inlineStr"/>
      <c r="AA687" t="inlineStr"/>
      <c r="AB687" t="inlineStr"/>
      <c r="AC687" t="inlineStr"/>
      <c r="AD687" t="inlineStr">
        <is>
          <t>לא נמצא בסריקת המפיצים</t>
        </is>
      </c>
      <c r="AE687" t="inlineStr">
        <is>
          <t>סריקת אתרי מפיצים</t>
        </is>
      </c>
      <c r="AG687" t="inlineStr"/>
      <c r="AH687" t="inlineStr"/>
      <c r="AJ687" t="inlineStr"/>
      <c r="AP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Y688" t="inlineStr">
        <is>
          <t>unknown</t>
        </is>
      </c>
      <c r="Z688" t="inlineStr"/>
      <c r="AA688" t="inlineStr"/>
      <c r="AB688" t="inlineStr"/>
      <c r="AC688" t="inlineStr"/>
      <c r="AD688" t="inlineStr">
        <is>
          <t>לא נמצא בחיפוש ראשוני</t>
        </is>
      </c>
      <c r="AE688" t="inlineStr">
        <is>
          <t>חיפוש חלקי</t>
        </is>
      </c>
      <c r="AG688" t="inlineStr"/>
      <c r="AH688" t="inlineStr"/>
      <c r="AI688" t="inlineStr">
        <is>
          <t>Results entirely unrelated (film distributors, law firm); nothing about J.G. Finneran.</t>
        </is>
      </c>
      <c r="AJ688" t="inlineStr"/>
      <c r="AP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Y689" t="inlineStr">
        <is>
          <t>unknown</t>
        </is>
      </c>
      <c r="Z689" t="inlineStr"/>
      <c r="AA689" t="inlineStr"/>
      <c r="AB689" t="inlineStr"/>
      <c r="AC689" t="inlineStr"/>
      <c r="AD689" t="inlineStr">
        <is>
          <t>לא נמצא בסריקת המפיצים</t>
        </is>
      </c>
      <c r="AE689" t="inlineStr">
        <is>
          <t>סריקת אתרי מפיצים</t>
        </is>
      </c>
      <c r="AG689" t="inlineStr"/>
      <c r="AH689" t="inlineStr"/>
      <c r="AJ689" t="inlineStr"/>
      <c r="AP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Y690" t="inlineStr">
        <is>
          <t>unknown</t>
        </is>
      </c>
      <c r="Z690" t="inlineStr"/>
      <c r="AA690" t="inlineStr"/>
      <c r="AB690" t="inlineStr"/>
      <c r="AC690" t="inlineStr"/>
      <c r="AD690" t="inlineStr">
        <is>
          <t>מפיץ/נציג בישראל</t>
        </is>
      </c>
      <c r="AE690" t="inlineStr">
        <is>
          <t>חיפוש חלקי</t>
        </is>
      </c>
      <c r="AF690" t="n">
        <v>2026</v>
      </c>
      <c r="AG690" t="inlineStr">
        <is>
          <t>Enco Scientific Services Ltd. (Enco Diagnostics)</t>
        </is>
      </c>
      <c r="AH690" t="inlineStr">
        <is>
          <t>Enco Scientific Services Ltd. (Enco Diagnostics):</t>
        </is>
      </c>
      <c r="AJ690" t="inlineStr">
        <is>
          <t>+441638782616</t>
        </is>
      </c>
      <c r="AK690" t="inlineStr">
        <is>
          <t>info@jacksonimmuno.com</t>
        </is>
      </c>
      <c r="AM690" t="inlineStr">
        <is>
          <t>https://www.jacksonimmuno.com/company/contact-us/technical-help</t>
        </is>
      </c>
      <c r="AN690" t="inlineStr">
        <is>
          <t>https://www.jacksonimmuno.com/company/contact-us/technical-help</t>
        </is>
      </c>
      <c r="AP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Y691" t="inlineStr">
        <is>
          <t>unknown</t>
        </is>
      </c>
      <c r="Z691" t="inlineStr"/>
      <c r="AA691" t="inlineStr"/>
      <c r="AB691" t="inlineStr"/>
      <c r="AC691" t="inlineStr"/>
      <c r="AD691" t="inlineStr">
        <is>
          <t>לא נמצא בסריקת המפיצים</t>
        </is>
      </c>
      <c r="AE691" t="inlineStr">
        <is>
          <t>סריקת אתרי מפיצים</t>
        </is>
      </c>
      <c r="AG691" t="inlineStr"/>
      <c r="AH691" t="inlineStr"/>
      <c r="AJ691" t="inlineStr"/>
      <c r="AP691" t="inlineStr">
        <is>
          <t>https://www.thomassci.com/browse-by/suppliers/jaece</t>
        </is>
      </c>
    </row>
    <row r="692">
      <c r="A692" t="n">
        <v>691</v>
      </c>
      <c r="B692" t="inlineStr">
        <is>
          <t>Jaece Industries</t>
        </is>
      </c>
      <c r="C692" t="inlineStr">
        <is>
          <t>Q</t>
        </is>
      </c>
      <c r="F692" t="inlineStr">
        <is>
          <t>yes</t>
        </is>
      </c>
      <c r="J692" t="inlineStr"/>
      <c r="Y692" t="inlineStr">
        <is>
          <t>unknown</t>
        </is>
      </c>
      <c r="Z692" t="inlineStr"/>
      <c r="AA692" t="inlineStr"/>
      <c r="AB692" t="inlineStr"/>
      <c r="AC692" t="inlineStr"/>
      <c r="AD692" t="inlineStr">
        <is>
          <t>לא נמצא בסריקת המפיצים</t>
        </is>
      </c>
      <c r="AE692" t="inlineStr">
        <is>
          <t>סריקת אתרי מפיצים</t>
        </is>
      </c>
      <c r="AG692" t="inlineStr"/>
      <c r="AH692" t="inlineStr"/>
      <c r="AJ692" t="inlineStr"/>
      <c r="AP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P693" t="n">
        <v>400</v>
      </c>
      <c r="Q693" t="n">
        <v>2024</v>
      </c>
      <c r="R693" t="inlineStr">
        <is>
          <t>estimate</t>
        </is>
      </c>
      <c r="S693" t="inlineStr">
        <is>
          <t>prior</t>
        </is>
      </c>
      <c r="T693" t="n">
        <v>80</v>
      </c>
      <c r="U693" t="inlineStr">
        <is>
          <t>JPY ~12 billion (trade estimate; private)</t>
        </is>
      </c>
      <c r="V693" t="inlineStr">
        <is>
          <t>FY2024 (estimate)</t>
        </is>
      </c>
      <c r="W693" t="inlineStr">
        <is>
          <t>estimate</t>
        </is>
      </c>
      <c r="X693" t="inlineStr">
        <is>
          <t>prior</t>
        </is>
      </c>
      <c r="Y693" t="inlineStr">
        <is>
          <t>estimate</t>
        </is>
      </c>
      <c r="Z693" t="inlineStr">
        <is>
          <t>J-1500</t>
        </is>
      </c>
      <c r="AA693" t="inlineStr">
        <is>
          <t>FT/IR-4X / FT/IR-6X</t>
        </is>
      </c>
      <c r="AB693" t="inlineStr">
        <is>
          <t>V-700 series (V-780)</t>
        </is>
      </c>
      <c r="AC693" t="inlineStr">
        <is>
          <t>prior</t>
        </is>
      </c>
      <c r="AD693" t="inlineStr">
        <is>
          <t>מפיץ/נציג בישראל</t>
        </is>
      </c>
      <c r="AE693" t="inlineStr">
        <is>
          <t>אומת</t>
        </is>
      </c>
      <c r="AF693" t="n">
        <v>2026</v>
      </c>
      <c r="AG693" t="inlineStr">
        <is>
          <t>Ophir Analytical Ltd.</t>
        </is>
      </c>
      <c r="AH693" t="inlineStr">
        <is>
          <t>Ophir Analytical Ltd.: +972 3-902-2277</t>
        </is>
      </c>
      <c r="AI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J693" t="inlineStr"/>
      <c r="AL693" t="inlineStr">
        <is>
          <t>2967-5 Ishikawa-machi, Hachioji-shi, Tokyo, Japan</t>
        </is>
      </c>
      <c r="AM693" t="inlineStr">
        <is>
          <t>https://www.jasco-global.com/contact-us/</t>
        </is>
      </c>
      <c r="AN693" t="inlineStr">
        <is>
          <t>https://us.metoree.com/companies/177732/</t>
        </is>
      </c>
      <c r="AP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Y694" t="inlineStr">
        <is>
          <t>unknown</t>
        </is>
      </c>
      <c r="Z694" t="inlineStr"/>
      <c r="AA694" t="inlineStr"/>
      <c r="AB694" t="inlineStr"/>
      <c r="AC694" t="inlineStr"/>
      <c r="AD694" t="inlineStr">
        <is>
          <t>לא נמצא בחיפוש ראשוני</t>
        </is>
      </c>
      <c r="AE694" t="inlineStr">
        <is>
          <t>חיפוש חלקי</t>
        </is>
      </c>
      <c r="AG694" t="inlineStr"/>
      <c r="AH694" t="inlineStr"/>
      <c r="AI694" t="inlineStr">
        <is>
          <t>No result links Jeio Tech (Daejeon, Korea / Des Plaines, IL) to Israel; Israeli distributor hits (Tech Top, Phoenix Technologies, Eastronics) are for unrelated electronics/audio brands.</t>
        </is>
      </c>
      <c r="AJ694" t="inlineStr"/>
      <c r="AN694" t="inlineStr">
        <is>
          <t>https://jeiotech.com/</t>
        </is>
      </c>
      <c r="AP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Y695" t="inlineStr">
        <is>
          <t>unknown</t>
        </is>
      </c>
      <c r="Z695" t="inlineStr"/>
      <c r="AA695" t="inlineStr"/>
      <c r="AB695" t="inlineStr"/>
      <c r="AC695" t="inlineStr"/>
      <c r="AD695" t="inlineStr">
        <is>
          <t>לא נמצא בסריקת המפיצים</t>
        </is>
      </c>
      <c r="AE695" t="inlineStr">
        <is>
          <t>סריקת אתרי מפיצים</t>
        </is>
      </c>
      <c r="AG695" t="inlineStr"/>
      <c r="AH695" t="inlineStr"/>
      <c r="AJ695" t="inlineStr">
        <is>
          <t>805-965-3668</t>
        </is>
      </c>
      <c r="AK695" t="inlineStr">
        <is>
          <t>sales@jensenglobal.com</t>
        </is>
      </c>
      <c r="AM695" t="inlineStr">
        <is>
          <t>https://jensenglobal.com/pages/contact</t>
        </is>
      </c>
      <c r="AN695" t="inlineStr">
        <is>
          <t>https://jensenglobal.com/pages/contact</t>
        </is>
      </c>
      <c r="AP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P696" t="n">
        <v>2000</v>
      </c>
      <c r="Q696" t="n">
        <v>2024</v>
      </c>
      <c r="R696" t="inlineStr">
        <is>
          <t>estimate</t>
        </is>
      </c>
      <c r="S696" t="inlineStr">
        <is>
          <t>prior</t>
        </is>
      </c>
      <c r="T696" t="n">
        <v>400</v>
      </c>
      <c r="U696" t="inlineStr">
        <is>
          <t>approx. USD 400 million (third-party directory estimate)</t>
        </is>
      </c>
      <c r="V696" t="inlineStr">
        <is>
          <t>n/a (directory estimate seen Oct 2026)</t>
        </is>
      </c>
      <c r="W696" t="inlineStr">
        <is>
          <t>estimate</t>
        </is>
      </c>
      <c r="X696" t="inlineStr">
        <is>
          <t>prior</t>
        </is>
      </c>
      <c r="Y696" t="inlineStr">
        <is>
          <t>estimate</t>
        </is>
      </c>
      <c r="Z696" t="inlineStr">
        <is>
          <t>Jenway spectrophotometers</t>
        </is>
      </c>
      <c r="AA696" t="inlineStr">
        <is>
          <t>Environmental Express HotBlock</t>
        </is>
      </c>
      <c r="AB696" t="inlineStr">
        <is>
          <t>Stuart / Techne benchtop equipment</t>
        </is>
      </c>
      <c r="AC696" t="inlineStr">
        <is>
          <t>prior</t>
        </is>
      </c>
      <c r="AD696" t="inlineStr">
        <is>
          <t>מפיץ/נציג בישראל</t>
        </is>
      </c>
      <c r="AE696" t="inlineStr">
        <is>
          <t>אומת</t>
        </is>
      </c>
      <c r="AF696" t="n">
        <v>2026</v>
      </c>
      <c r="AG696" t="inlineStr">
        <is>
          <t>Medent Scientific Instruments</t>
        </is>
      </c>
      <c r="AH696" t="inlineStr">
        <is>
          <t>Medent Scientific Instruments: +972 72-395-0508 (sales); +972 8-683-6306 (service) info@medent.co.il</t>
        </is>
      </c>
      <c r="AI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696" t="inlineStr">
        <is>
          <t>+1 800-323-4340</t>
        </is>
      </c>
      <c r="AK696" t="inlineStr">
        <is>
          <t>sales@antylia.com</t>
        </is>
      </c>
      <c r="AL696" t="inlineStr">
        <is>
          <t>625 East Bunker Court, Vernon Hills, IL 60061, USA</t>
        </is>
      </c>
      <c r="AN696" t="inlineStr">
        <is>
          <t>https://www.thomasnet.com/company/cole-parmer-1148924/profile</t>
        </is>
      </c>
      <c r="AP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P697" t="n">
        <v>3604</v>
      </c>
      <c r="Q697" t="n">
        <v>2025</v>
      </c>
      <c r="R697" t="inlineStr">
        <is>
          <t>company</t>
        </is>
      </c>
      <c r="S697" t="inlineStr">
        <is>
          <t>prior</t>
        </is>
      </c>
      <c r="T697" t="n">
        <v>1202</v>
      </c>
      <c r="U697" t="inlineStr">
        <is>
          <t>JPY 179,353 million</t>
        </is>
      </c>
      <c r="V697" t="inlineStr">
        <is>
          <t>FY ended Mar-2026</t>
        </is>
      </c>
      <c r="W697" t="inlineStr">
        <is>
          <t>company</t>
        </is>
      </c>
      <c r="X697" t="inlineStr">
        <is>
          <t>prior</t>
        </is>
      </c>
      <c r="Y697" t="inlineStr">
        <is>
          <t>reported</t>
        </is>
      </c>
      <c r="Z697" t="inlineStr">
        <is>
          <t>JEM-ARM300F2 GRAND ARM2</t>
        </is>
      </c>
      <c r="AA697" t="inlineStr">
        <is>
          <t>JSM-IT800 / JSM-7900F</t>
        </is>
      </c>
      <c r="AB697" t="inlineStr">
        <is>
          <t>JNM-ECZ Luminous (ECZL)</t>
        </is>
      </c>
      <c r="AC697" t="inlineStr">
        <is>
          <t>prior</t>
        </is>
      </c>
      <c r="AD697" t="inlineStr">
        <is>
          <t>מפיץ/נציג בישראל</t>
        </is>
      </c>
      <c r="AE697" t="inlineStr">
        <is>
          <t>אומת</t>
        </is>
      </c>
      <c r="AF697" t="n">
        <v>2026</v>
      </c>
      <c r="AG697" t="inlineStr">
        <is>
          <t>Bargal Analytical Instruments Ltd.</t>
        </is>
      </c>
      <c r="AH697" t="inlineStr">
        <is>
          <t>Bargal Analytical Instruments Ltd.: +972-3-979-6533 sales@bargal.co.il</t>
        </is>
      </c>
      <c r="AI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J697" t="inlineStr">
        <is>
          <t>+81 42 543 1111</t>
        </is>
      </c>
      <c r="AL697" t="inlineStr">
        <is>
          <t>3-1-2 Musashino, Akishima, Tokyo 196-8558, Japan</t>
        </is>
      </c>
      <c r="AM697" t="inlineStr">
        <is>
          <t>https://www.jeol.com/contacts/products.php</t>
        </is>
      </c>
      <c r="AN697" t="inlineStr">
        <is>
          <t>https://www.globaldata.com/company-profile/jeol-ltd/locations/</t>
        </is>
      </c>
      <c r="AP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Y698" t="inlineStr">
        <is>
          <t>unknown</t>
        </is>
      </c>
      <c r="Z698" t="inlineStr"/>
      <c r="AA698" t="inlineStr"/>
      <c r="AB698" t="inlineStr"/>
      <c r="AC698" t="inlineStr"/>
      <c r="AD698" t="inlineStr">
        <is>
          <t>לא נמצא בסריקת המפיצים</t>
        </is>
      </c>
      <c r="AE698" t="inlineStr">
        <is>
          <t>סריקת אתרי מפיצים</t>
        </is>
      </c>
      <c r="AG698" t="inlineStr"/>
      <c r="AH698" t="inlineStr"/>
      <c r="AJ698" t="inlineStr"/>
      <c r="AP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Y699" t="inlineStr">
        <is>
          <t>unknown</t>
        </is>
      </c>
      <c r="Z699" t="inlineStr"/>
      <c r="AA699" t="inlineStr"/>
      <c r="AB699" t="inlineStr"/>
      <c r="AC699" t="inlineStr"/>
      <c r="AD699" t="inlineStr">
        <is>
          <t>לא נמצא בסריקת המפיצים</t>
        </is>
      </c>
      <c r="AE699" t="inlineStr">
        <is>
          <t>סריקת אתרי מפיצים</t>
        </is>
      </c>
      <c r="AG699" t="inlineStr"/>
      <c r="AH699" t="inlineStr"/>
      <c r="AJ699" t="inlineStr">
        <is>
          <t>+34 937 700 877</t>
        </is>
      </c>
      <c r="AM699" t="inlineStr">
        <is>
          <t>https://grupo-selecta.com/contacto/</t>
        </is>
      </c>
      <c r="AN699" t="inlineStr">
        <is>
          <t>https://grupo-selecta.com/contacto/</t>
        </is>
      </c>
      <c r="AP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Y700" t="inlineStr">
        <is>
          <t>unknown</t>
        </is>
      </c>
      <c r="Z700" t="inlineStr"/>
      <c r="AA700" t="inlineStr"/>
      <c r="AB700" t="inlineStr"/>
      <c r="AC700" t="inlineStr"/>
      <c r="AD700" t="inlineStr">
        <is>
          <t>לא נמצא בסריקת המפיצים</t>
        </is>
      </c>
      <c r="AE700" t="inlineStr">
        <is>
          <t>סריקת אתרי מפיצים</t>
        </is>
      </c>
      <c r="AG700" t="inlineStr"/>
      <c r="AH700" t="inlineStr"/>
      <c r="AJ700" t="inlineStr"/>
      <c r="AP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P701" t="n">
        <v>423</v>
      </c>
      <c r="Q701" t="n">
        <v>2023</v>
      </c>
      <c r="R701" t="inlineStr">
        <is>
          <t>company</t>
        </is>
      </c>
      <c r="S701" t="inlineStr">
        <is>
          <t>prior</t>
        </is>
      </c>
      <c r="T701" t="n">
        <v>71.8</v>
      </c>
      <c r="U701" t="inlineStr">
        <is>
          <t>EUR 65.3 million</t>
        </is>
      </c>
      <c r="V701" t="inlineStr">
        <is>
          <t>FY2023</t>
        </is>
      </c>
      <c r="W701" t="inlineStr">
        <is>
          <t>company</t>
        </is>
      </c>
      <c r="X701" t="inlineStr">
        <is>
          <t>prior</t>
        </is>
      </c>
      <c r="Y701" t="inlineStr">
        <is>
          <t>mixed</t>
        </is>
      </c>
      <c r="Z701" t="inlineStr">
        <is>
          <t>PRESTO</t>
        </is>
      </c>
      <c r="AA701" t="inlineStr">
        <is>
          <t>CORIO / DYNEO / MAGIO</t>
        </is>
      </c>
      <c r="AB701" t="inlineStr">
        <is>
          <t>FL / FC series</t>
        </is>
      </c>
      <c r="AC701" t="inlineStr">
        <is>
          <t>prior</t>
        </is>
      </c>
      <c r="AD701" t="inlineStr">
        <is>
          <t>מפיץ/נציג בישראל</t>
        </is>
      </c>
      <c r="AE701" t="inlineStr">
        <is>
          <t>אומת</t>
        </is>
      </c>
      <c r="AF701" t="n">
        <v>2026</v>
      </c>
      <c r="AG701" t="inlineStr">
        <is>
          <t>Labotal Scientific Equipment Ltd.</t>
        </is>
      </c>
      <c r="AH701" t="inlineStr">
        <is>
          <t>Labotal Scientific Equipment Ltd.: +972 2-579-9222 Sales@labotal.co.il</t>
        </is>
      </c>
      <c r="AI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J701" t="inlineStr">
        <is>
          <t>+49 7823 51-0</t>
        </is>
      </c>
      <c r="AK701" t="inlineStr">
        <is>
          <t>info@julabo.com</t>
        </is>
      </c>
      <c r="AL701" t="inlineStr">
        <is>
          <t>Gerhard-Juchheim-Strasse 1, 77960 Seelbach, Germany</t>
        </is>
      </c>
      <c r="AM701" t="inlineStr">
        <is>
          <t>https://julabo.com/en/contact</t>
        </is>
      </c>
      <c r="AN701" t="inlineStr">
        <is>
          <t>https://www.julabo.com/en/company/locations</t>
        </is>
      </c>
      <c r="AP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https://www.julabo.com/en-us/contact</t>
        </is>
      </c>
    </row>
    <row r="702">
      <c r="A702" t="n">
        <v>701</v>
      </c>
      <c r="B702" t="inlineStr">
        <is>
          <t>Justman Brush</t>
        </is>
      </c>
      <c r="C702" t="inlineStr">
        <is>
          <t>T</t>
        </is>
      </c>
      <c r="E702" t="inlineStr">
        <is>
          <t>https://www.thomassci.com/browse-by/suppliers/justman-brush</t>
        </is>
      </c>
      <c r="F702" t="inlineStr"/>
      <c r="J702" t="inlineStr"/>
      <c r="Y702" t="inlineStr">
        <is>
          <t>unknown</t>
        </is>
      </c>
      <c r="Z702" t="inlineStr"/>
      <c r="AA702" t="inlineStr"/>
      <c r="AB702" t="inlineStr"/>
      <c r="AC702" t="inlineStr"/>
      <c r="AD702" t="inlineStr">
        <is>
          <t>לא נמצא בסריקת המפיצים</t>
        </is>
      </c>
      <c r="AE702" t="inlineStr">
        <is>
          <t>סריקת אתרי מפיצים</t>
        </is>
      </c>
      <c r="AG702" t="inlineStr"/>
      <c r="AH702" t="inlineStr"/>
      <c r="AJ702" t="inlineStr"/>
      <c r="AP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Y703" t="inlineStr">
        <is>
          <t>unknown</t>
        </is>
      </c>
      <c r="Z703" t="inlineStr">
        <is>
          <t>JUSTRITE Sure-Grip Yellow EX Flammable Safety Cabinet</t>
        </is>
      </c>
      <c r="AA703" t="inlineStr">
        <is>
          <t>Sure-Grip® EX Countertop and Compac Cabinets for Corrosives</t>
        </is>
      </c>
      <c r="AB703" t="inlineStr">
        <is>
          <t>Sure-Grip® EX Corrosives/Acid Steel Safety Cabinets</t>
        </is>
      </c>
      <c r="AC703" t="inlineStr">
        <is>
          <t>thomassci</t>
        </is>
      </c>
      <c r="AD703" t="inlineStr">
        <is>
          <t>לא נמצא בסריקת המפיצים</t>
        </is>
      </c>
      <c r="AE703" t="inlineStr">
        <is>
          <t>סריקת אתרי מפיצים</t>
        </is>
      </c>
      <c r="AG703" t="inlineStr"/>
      <c r="AH703" t="inlineStr"/>
      <c r="AJ703" t="inlineStr"/>
      <c r="AP703" t="inlineStr">
        <is>
          <t>https://www.thomassci.com/browse-by/suppliers/justrite</t>
        </is>
      </c>
    </row>
    <row r="704">
      <c r="A704" t="n">
        <v>703</v>
      </c>
      <c r="B704" t="inlineStr">
        <is>
          <t>KACTUS</t>
        </is>
      </c>
      <c r="C704" t="inlineStr">
        <is>
          <t>Q</t>
        </is>
      </c>
      <c r="F704" t="inlineStr">
        <is>
          <t>yes</t>
        </is>
      </c>
      <c r="J704" t="inlineStr"/>
      <c r="Y704" t="inlineStr">
        <is>
          <t>unknown</t>
        </is>
      </c>
      <c r="Z704" t="inlineStr"/>
      <c r="AA704" t="inlineStr"/>
      <c r="AB704" t="inlineStr"/>
      <c r="AC704" t="inlineStr"/>
      <c r="AD704" t="inlineStr">
        <is>
          <t>לא נמצא בסריקת המפיצים</t>
        </is>
      </c>
      <c r="AE704" t="inlineStr">
        <is>
          <t>סריקת אתרי מפיצים</t>
        </is>
      </c>
      <c r="AG704" t="inlineStr"/>
      <c r="AH704" t="inlineStr"/>
      <c r="AJ704" t="inlineStr"/>
      <c r="AP704" t="inlineStr">
        <is>
          <t>https://www.quartzy.com/suppliers</t>
        </is>
      </c>
    </row>
    <row r="705">
      <c r="A705" t="n">
        <v>704</v>
      </c>
      <c r="B705" t="inlineStr">
        <is>
          <t>KactusBio Inc</t>
        </is>
      </c>
      <c r="C705" t="inlineStr">
        <is>
          <t>T</t>
        </is>
      </c>
      <c r="E705" t="inlineStr">
        <is>
          <t>https://www.thomassci.com/browse-by/suppliers/kactusbio-inc</t>
        </is>
      </c>
      <c r="F705" t="inlineStr"/>
      <c r="J705" t="inlineStr"/>
      <c r="Y705" t="inlineStr">
        <is>
          <t>unknown</t>
        </is>
      </c>
      <c r="Z705" t="inlineStr"/>
      <c r="AA705" t="inlineStr"/>
      <c r="AB705" t="inlineStr"/>
      <c r="AC705" t="inlineStr"/>
      <c r="AD705" t="inlineStr">
        <is>
          <t>לא נמצא בסריקת המפיצים</t>
        </is>
      </c>
      <c r="AE705" t="inlineStr">
        <is>
          <t>סריקת אתרי מפיצים</t>
        </is>
      </c>
      <c r="AG705" t="inlineStr"/>
      <c r="AH705" t="inlineStr"/>
      <c r="AJ705" t="inlineStr"/>
      <c r="AP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Y706" t="inlineStr">
        <is>
          <t>unknown</t>
        </is>
      </c>
      <c r="Z706" t="inlineStr"/>
      <c r="AA706" t="inlineStr"/>
      <c r="AB706" t="inlineStr"/>
      <c r="AC706" t="inlineStr"/>
      <c r="AD706" t="inlineStr">
        <is>
          <t>לא נמצא בסריקת המפיצים</t>
        </is>
      </c>
      <c r="AE706" t="inlineStr">
        <is>
          <t>סריקת אתרי מפיצים</t>
        </is>
      </c>
      <c r="AG706" t="inlineStr"/>
      <c r="AH706" t="inlineStr"/>
      <c r="AJ706" t="inlineStr"/>
      <c r="AP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Y707" t="inlineStr">
        <is>
          <t>unknown</t>
        </is>
      </c>
      <c r="Z707" t="inlineStr"/>
      <c r="AA707" t="inlineStr"/>
      <c r="AB707" t="inlineStr"/>
      <c r="AC707" t="inlineStr"/>
      <c r="AD707" t="inlineStr">
        <is>
          <t>לא נמצא בסריקת המפיצים</t>
        </is>
      </c>
      <c r="AE707" t="inlineStr">
        <is>
          <t>סריקת אתרי מפיצים</t>
        </is>
      </c>
      <c r="AG707" t="inlineStr"/>
      <c r="AH707" t="inlineStr"/>
      <c r="AJ707" t="inlineStr">
        <is>
          <t>+18006004019</t>
        </is>
      </c>
      <c r="AK707" t="inlineStr">
        <is>
          <t>customerservice@kappler.com</t>
        </is>
      </c>
      <c r="AM707" t="inlineStr">
        <is>
          <t>https://www.kappler.com/contact/</t>
        </is>
      </c>
      <c r="AN707" t="inlineStr">
        <is>
          <t>https://www.kappler.com/contact/</t>
        </is>
      </c>
      <c r="AP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Y708" t="inlineStr">
        <is>
          <t>unknown</t>
        </is>
      </c>
      <c r="Z708" t="inlineStr"/>
      <c r="AA708" t="inlineStr"/>
      <c r="AB708" t="inlineStr"/>
      <c r="AC708" t="inlineStr"/>
      <c r="AD708" t="inlineStr">
        <is>
          <t>לא נמצא בחיפוש ראשוני</t>
        </is>
      </c>
      <c r="AE708" t="inlineStr">
        <is>
          <t>חיפוש חלקי</t>
        </is>
      </c>
      <c r="AG708" t="inlineStr"/>
      <c r="AH708" t="inlineStr"/>
      <c r="AI708" t="inlineStr">
        <is>
          <t>Only product listings and resellers in other countries (ThomasSci, Fisher, John Morris AU, Labex ZA); no Israeli distributor.</t>
        </is>
      </c>
      <c r="AJ708" t="inlineStr">
        <is>
          <t>508-429-6809</t>
        </is>
      </c>
      <c r="AK708" t="inlineStr">
        <is>
          <t>info@kdscientific.com</t>
        </is>
      </c>
      <c r="AN708" t="inlineStr">
        <is>
          <t>https://www.kdscientific.com/</t>
        </is>
      </c>
      <c r="AP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Y709" t="inlineStr">
        <is>
          <t>unknown</t>
        </is>
      </c>
      <c r="Z709" t="inlineStr"/>
      <c r="AA709" t="inlineStr"/>
      <c r="AB709" t="inlineStr"/>
      <c r="AC709" t="inlineStr"/>
      <c r="AD709" t="inlineStr">
        <is>
          <t>לא נמצא בסריקת המפיצים</t>
        </is>
      </c>
      <c r="AE709" t="inlineStr">
        <is>
          <t>סריקת אתרי מפיצים</t>
        </is>
      </c>
      <c r="AG709" t="inlineStr"/>
      <c r="AH709" t="inlineStr"/>
      <c r="AJ709" t="inlineStr"/>
      <c r="AP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Y710" t="inlineStr">
        <is>
          <t>unknown</t>
        </is>
      </c>
      <c r="Z710" t="inlineStr"/>
      <c r="AA710" t="inlineStr"/>
      <c r="AB710" t="inlineStr"/>
      <c r="AC710" t="inlineStr"/>
      <c r="AD710" t="inlineStr">
        <is>
          <t>לא נמצא בחיפוש ראשוני</t>
        </is>
      </c>
      <c r="AE710" t="inlineStr">
        <is>
          <t>חיפוש חלקי</t>
        </is>
      </c>
      <c r="AG710" t="inlineStr"/>
      <c r="AH710" t="inlineStr"/>
      <c r="AI710" t="inlineStr">
        <is>
          <t>Only a Panjiva trade-data listing (Brea, CA glassware imports); no Israel link.</t>
        </is>
      </c>
      <c r="AJ710" t="inlineStr">
        <is>
          <t>888-323-3585</t>
        </is>
      </c>
      <c r="AK710" t="inlineStr">
        <is>
          <t>customerservice@twdtradewinds.com</t>
        </is>
      </c>
      <c r="AM710" t="inlineStr">
        <is>
          <t>https://twdtradewinds.com/contact-us/</t>
        </is>
      </c>
      <c r="AN710" t="inlineStr">
        <is>
          <t>https://twdtradewinds.com/contact-us/</t>
        </is>
      </c>
      <c r="AP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Y711" t="inlineStr">
        <is>
          <t>unknown</t>
        </is>
      </c>
      <c r="Z711" t="inlineStr"/>
      <c r="AA711" t="inlineStr"/>
      <c r="AB711" t="inlineStr"/>
      <c r="AC711" t="inlineStr"/>
      <c r="AD711" t="inlineStr">
        <is>
          <t>לא נמצא בסריקת המפיצים</t>
        </is>
      </c>
      <c r="AE711" t="inlineStr">
        <is>
          <t>סריקת אתרי מפיצים</t>
        </is>
      </c>
      <c r="AG711" t="inlineStr"/>
      <c r="AH711" t="inlineStr"/>
      <c r="AJ711" t="inlineStr">
        <is>
          <t>18003314762</t>
        </is>
      </c>
      <c r="AK711" t="inlineStr">
        <is>
          <t>sales@kentelastomer.com</t>
        </is>
      </c>
      <c r="AM711" t="inlineStr">
        <is>
          <t>https://www.kentelastomer.com/whats-your-challenge/</t>
        </is>
      </c>
      <c r="AN711" t="inlineStr">
        <is>
          <t>https://www.kentelastomer.com/whats-your-challenge/</t>
        </is>
      </c>
      <c r="AP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Y712" t="inlineStr">
        <is>
          <t>unknown</t>
        </is>
      </c>
      <c r="Z712" t="inlineStr"/>
      <c r="AA712" t="inlineStr"/>
      <c r="AB712" t="inlineStr"/>
      <c r="AC712" t="inlineStr"/>
      <c r="AD712" t="inlineStr">
        <is>
          <t>לא נמצא בסריקת המפיצים</t>
        </is>
      </c>
      <c r="AE712" t="inlineStr">
        <is>
          <t>סריקת אתרי מפיצים</t>
        </is>
      </c>
      <c r="AG712" t="inlineStr"/>
      <c r="AH712" t="inlineStr"/>
      <c r="AJ712" t="inlineStr"/>
      <c r="AP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Y713" t="inlineStr">
        <is>
          <t>unknown</t>
        </is>
      </c>
      <c r="Z713" t="inlineStr"/>
      <c r="AA713" t="inlineStr"/>
      <c r="AB713" t="inlineStr"/>
      <c r="AC713" t="inlineStr"/>
      <c r="AD713" t="inlineStr">
        <is>
          <t>לא נמצא בסריקת המפיצים</t>
        </is>
      </c>
      <c r="AE713" t="inlineStr">
        <is>
          <t>סריקת אתרי מפיצים</t>
        </is>
      </c>
      <c r="AG713" t="inlineStr"/>
      <c r="AH713" t="inlineStr"/>
      <c r="AJ713" t="inlineStr"/>
      <c r="AP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Y714" t="inlineStr">
        <is>
          <t>unknown</t>
        </is>
      </c>
      <c r="Z714" t="inlineStr"/>
      <c r="AA714" t="inlineStr"/>
      <c r="AB714" t="inlineStr"/>
      <c r="AC714" t="inlineStr"/>
      <c r="AD714" t="inlineStr">
        <is>
          <t>לא נמצא בסריקת המפיצים</t>
        </is>
      </c>
      <c r="AE714" t="inlineStr">
        <is>
          <t>סריקת אתרי מפיצים</t>
        </is>
      </c>
      <c r="AG714" t="inlineStr"/>
      <c r="AH714" t="inlineStr"/>
      <c r="AJ714" t="inlineStr"/>
      <c r="AP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c r="Y715" t="inlineStr">
        <is>
          <t>unknown</t>
        </is>
      </c>
      <c r="Z715" t="inlineStr"/>
      <c r="AA715" t="inlineStr"/>
      <c r="AB715" t="inlineStr"/>
      <c r="AC715" t="inlineStr"/>
      <c r="AD715" t="inlineStr">
        <is>
          <t>לא נמצא בסריקת המפיצים</t>
        </is>
      </c>
      <c r="AE715" t="inlineStr">
        <is>
          <t>סריקת אתרי מפיצים</t>
        </is>
      </c>
      <c r="AG715" t="inlineStr"/>
      <c r="AH715" t="inlineStr"/>
      <c r="AJ715" t="inlineStr"/>
      <c r="AP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c r="Y716" t="inlineStr">
        <is>
          <t>unknown</t>
        </is>
      </c>
      <c r="Z716" t="inlineStr"/>
      <c r="AA716" t="inlineStr"/>
      <c r="AB716" t="inlineStr"/>
      <c r="AC716" t="inlineStr"/>
      <c r="AD716" t="inlineStr">
        <is>
          <t>לא נמצא בסריקת המפיצים</t>
        </is>
      </c>
      <c r="AE716" t="inlineStr">
        <is>
          <t>סריקת אתרי מפיצים</t>
        </is>
      </c>
      <c r="AG716" t="inlineStr"/>
      <c r="AH716" t="inlineStr"/>
      <c r="AJ716" t="inlineStr"/>
      <c r="AN716" t="inlineStr">
        <is>
          <t>https://www.kidde.com/</t>
        </is>
      </c>
      <c r="AP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Y717" t="inlineStr">
        <is>
          <t>unknown</t>
        </is>
      </c>
      <c r="Z717" t="inlineStr"/>
      <c r="AA717" t="inlineStr"/>
      <c r="AB717" t="inlineStr"/>
      <c r="AC717" t="inlineStr"/>
      <c r="AD717" t="inlineStr">
        <is>
          <t>לא נמצא בסריקת המפיצים</t>
        </is>
      </c>
      <c r="AE717" t="inlineStr">
        <is>
          <t>סריקת אתרי מפיצים</t>
        </is>
      </c>
      <c r="AG717" t="inlineStr"/>
      <c r="AH717" t="inlineStr"/>
      <c r="AJ717" t="inlineStr"/>
      <c r="AP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clearbit_verified</t>
        </is>
      </c>
      <c r="J718" t="inlineStr"/>
      <c r="Y718" t="inlineStr">
        <is>
          <t>unknown</t>
        </is>
      </c>
      <c r="Z718" t="inlineStr"/>
      <c r="AA718" t="inlineStr"/>
      <c r="AB718" t="inlineStr"/>
      <c r="AC718" t="inlineStr"/>
      <c r="AD718" t="inlineStr">
        <is>
          <t>לא נמצא בסריקת המפיצים</t>
        </is>
      </c>
      <c r="AE718" t="inlineStr">
        <is>
          <t>סריקת אתרי מפיצים</t>
        </is>
      </c>
      <c r="AG718" t="inlineStr"/>
      <c r="AH718" t="inlineStr"/>
      <c r="AJ718" t="inlineStr">
        <is>
          <t>75261-9100</t>
        </is>
      </c>
      <c r="AM718" t="inlineStr">
        <is>
          <t>https://www.kimberly-clark.com/en-us/investors/corporate-governance/contact-the-board</t>
        </is>
      </c>
      <c r="AN718" t="inlineStr">
        <is>
          <t>https://www.kimberly-clark.com/en-us/investors/corporate-governance/contact-the-board</t>
        </is>
      </c>
      <c r="AP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Y719" t="inlineStr">
        <is>
          <t>unknown</t>
        </is>
      </c>
      <c r="Z719" t="inlineStr"/>
      <c r="AA719" t="inlineStr"/>
      <c r="AB719" t="inlineStr"/>
      <c r="AC719" t="inlineStr"/>
      <c r="AD719" t="inlineStr">
        <is>
          <t>לא נמצא בסריקת המפיצים</t>
        </is>
      </c>
      <c r="AE719" t="inlineStr">
        <is>
          <t>סריקת אתרי מפיצים</t>
        </is>
      </c>
      <c r="AG719" t="inlineStr"/>
      <c r="AH719" t="inlineStr"/>
      <c r="AJ719" t="inlineStr"/>
      <c r="AP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Y720" t="inlineStr">
        <is>
          <t>unknown</t>
        </is>
      </c>
      <c r="Z720" t="inlineStr"/>
      <c r="AA720" t="inlineStr"/>
      <c r="AB720" t="inlineStr"/>
      <c r="AC720" t="inlineStr"/>
      <c r="AD720" t="inlineStr">
        <is>
          <t>לא נמצא בסריקת המפיצים</t>
        </is>
      </c>
      <c r="AE720" t="inlineStr">
        <is>
          <t>סריקת אתרי מפיצים</t>
        </is>
      </c>
      <c r="AG720" t="inlineStr"/>
      <c r="AH720" t="inlineStr"/>
      <c r="AJ720" t="inlineStr"/>
      <c r="AP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P721" t="n">
        <v>1800</v>
      </c>
      <c r="Q721" t="n">
        <v>2025</v>
      </c>
      <c r="R721" t="inlineStr">
        <is>
          <t>company</t>
        </is>
      </c>
      <c r="S721" t="inlineStr">
        <is>
          <t>prior</t>
        </is>
      </c>
      <c r="T721" t="n">
        <v>106</v>
      </c>
      <c r="U721" t="inlineStr">
        <is>
          <t>USD 105.7 million</t>
        </is>
      </c>
      <c r="V721" t="inlineStr">
        <is>
          <t>FY2023</t>
        </is>
      </c>
      <c r="W721" t="inlineStr">
        <is>
          <t>estimate</t>
        </is>
      </c>
      <c r="X721" t="inlineStr">
        <is>
          <t>prior</t>
        </is>
      </c>
      <c r="Y721" t="inlineStr">
        <is>
          <t>mixed</t>
        </is>
      </c>
      <c r="Z721" t="inlineStr">
        <is>
          <t>DURAN laboratory glass bottles</t>
        </is>
      </c>
      <c r="AA721" t="inlineStr">
        <is>
          <t>WHEATON vials &amp; serum bottles</t>
        </is>
      </c>
      <c r="AB721" t="inlineStr">
        <is>
          <t>KIMBLE KIMAX glassware</t>
        </is>
      </c>
      <c r="AC721" t="inlineStr">
        <is>
          <t>prior</t>
        </is>
      </c>
      <c r="AD721" t="inlineStr">
        <is>
          <t>מפיץ/נציג בישראל</t>
        </is>
      </c>
      <c r="AE721" t="inlineStr">
        <is>
          <t>חיפוש חלקי</t>
        </is>
      </c>
      <c r="AF721" t="n">
        <v>2026</v>
      </c>
      <c r="AG721" t="inlineStr">
        <is>
          <t>Danyel Biotech Ltd. (Gamida for Life group)</t>
        </is>
      </c>
      <c r="AH721" t="inlineStr">
        <is>
          <t>Danyel Biotech Ltd. (Gamida for Life group): 1-800-711-911 (also +972 8-936-6066)</t>
        </is>
      </c>
      <c r="AI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721" t="inlineStr">
        <is>
          <t>+49 9342 802-0</t>
        </is>
      </c>
      <c r="AL721" t="inlineStr">
        <is>
          <t>Otto-Schott-Str. 21, 97877 Wertheim, Germany</t>
        </is>
      </c>
      <c r="AM721" t="inlineStr">
        <is>
          <t>https://www.dwk.com/request-a-quote</t>
        </is>
      </c>
      <c r="AN721" t="inlineStr">
        <is>
          <t>https://dwk.com/na/locations/wertheim-germany</t>
        </is>
      </c>
      <c r="AP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Y722" t="inlineStr">
        <is>
          <t>unknown</t>
        </is>
      </c>
      <c r="Z722" t="inlineStr"/>
      <c r="AA722" t="inlineStr"/>
      <c r="AB722" t="inlineStr"/>
      <c r="AC722" t="inlineStr"/>
      <c r="AD722" t="inlineStr">
        <is>
          <t>לא נמצא בסריקת המפיצים</t>
        </is>
      </c>
      <c r="AE722" t="inlineStr">
        <is>
          <t>סריקת אתרי מפיצים</t>
        </is>
      </c>
      <c r="AG722" t="inlineStr"/>
      <c r="AH722" t="inlineStr"/>
      <c r="AJ722" t="inlineStr">
        <is>
          <t>18002413146</t>
        </is>
      </c>
      <c r="AM722" t="inlineStr">
        <is>
          <t>https://www.kcprofessional.com/en-us/contact-us</t>
        </is>
      </c>
      <c r="AN722" t="inlineStr">
        <is>
          <t>https://www.kcprofessional.com/en-us/contact-us</t>
        </is>
      </c>
      <c r="AP722" t="inlineStr">
        <is>
          <t>https://www.dutscher.com/search?initialFilters=brand:Kimtech | https://www.kcprofessional.com/en-us/contact-us</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Y723" t="inlineStr">
        <is>
          <t>unknown</t>
        </is>
      </c>
      <c r="Z723" t="inlineStr"/>
      <c r="AA723" t="inlineStr"/>
      <c r="AB723" t="inlineStr"/>
      <c r="AC723" t="inlineStr"/>
      <c r="AD723" t="inlineStr">
        <is>
          <t>לא נמצא בסריקת המפיצים</t>
        </is>
      </c>
      <c r="AE723" t="inlineStr">
        <is>
          <t>סריקת אתרי מפיצים</t>
        </is>
      </c>
      <c r="AG723" t="inlineStr"/>
      <c r="AH723" t="inlineStr"/>
      <c r="AJ723" t="inlineStr">
        <is>
          <t>+41 41 259 65 65</t>
        </is>
      </c>
      <c r="AK723" t="inlineStr">
        <is>
          <t>sales@kinematica.ch</t>
        </is>
      </c>
      <c r="AM723" t="inlineStr">
        <is>
          <t>https://kinematica.ch/contact/</t>
        </is>
      </c>
      <c r="AN723" t="inlineStr">
        <is>
          <t>https://kinematica.ch/contact/</t>
        </is>
      </c>
      <c r="AP723" t="inlineStr">
        <is>
          <t>https://www.thomassci.com/browse-by/suppliers/kinematica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clearbit_verified</t>
        </is>
      </c>
      <c r="J724" t="inlineStr"/>
      <c r="Y724" t="inlineStr">
        <is>
          <t>unknown</t>
        </is>
      </c>
      <c r="Z724" t="inlineStr"/>
      <c r="AA724" t="inlineStr"/>
      <c r="AB724" t="inlineStr"/>
      <c r="AC724" t="inlineStr"/>
      <c r="AD724" t="inlineStr">
        <is>
          <t>לא נמצא בסריקת המפיצים</t>
        </is>
      </c>
      <c r="AE724" t="inlineStr">
        <is>
          <t>סריקת אתרי מפיצים</t>
        </is>
      </c>
      <c r="AG724" t="inlineStr"/>
      <c r="AH724" t="inlineStr"/>
      <c r="AJ724" t="inlineStr"/>
      <c r="AK724" t="inlineStr">
        <is>
          <t>sales@kinesis.com</t>
        </is>
      </c>
      <c r="AM724" t="inlineStr">
        <is>
          <t>https://kinesis-ergo.com/support/contact-a-technician/</t>
        </is>
      </c>
      <c r="AN724" t="inlineStr">
        <is>
          <t>https://kinesis-ergo.com/support/contact-a-technician/</t>
        </is>
      </c>
      <c r="AP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https://www.kingfisherbiotech.com</t>
        </is>
      </c>
      <c r="I725" t="inlineStr">
        <is>
          <t>manual</t>
        </is>
      </c>
      <c r="J725" t="inlineStr"/>
      <c r="O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Y725" t="inlineStr">
        <is>
          <t>unknown</t>
        </is>
      </c>
      <c r="Z725" t="inlineStr"/>
      <c r="AA725" t="inlineStr"/>
      <c r="AB725" t="inlineStr"/>
      <c r="AC725" t="inlineStr"/>
      <c r="AD725" t="inlineStr">
        <is>
          <t>לא נמצא בחיפוש ראשוני</t>
        </is>
      </c>
      <c r="AE725" t="inlineStr">
        <is>
          <t>חיפוש חלקי</t>
        </is>
      </c>
      <c r="AG725" t="inlineStr"/>
      <c r="AH725" t="inlineStr"/>
      <c r="AI725" t="inlineStr">
        <is>
          <t>Kingfisher Biotech (veterinary/species-specific reagents) results show NZ (Mediray) and EU (Clinisciences) resellers; Israeli distributor pages (Enco, Rhenium, Agentek, Syntezza) do not list Kingfisher.</t>
        </is>
      </c>
      <c r="AJ725" t="inlineStr"/>
      <c r="AN725" t="inlineStr">
        <is>
          <t>https://www.kingfisherbiotech.com/</t>
        </is>
      </c>
      <c r="AP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Y726" t="inlineStr">
        <is>
          <t>unknown</t>
        </is>
      </c>
      <c r="Z726" t="inlineStr"/>
      <c r="AA726" t="inlineStr"/>
      <c r="AB726" t="inlineStr"/>
      <c r="AC726" t="inlineStr"/>
      <c r="AD726" t="inlineStr">
        <is>
          <t>לא נמצא בסריקת המפיצים</t>
        </is>
      </c>
      <c r="AE726" t="inlineStr">
        <is>
          <t>סריקת אתרי מפיצים</t>
        </is>
      </c>
      <c r="AG726" t="inlineStr"/>
      <c r="AH726" t="inlineStr"/>
      <c r="AJ726" t="inlineStr"/>
      <c r="AP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Y727" t="inlineStr">
        <is>
          <t>unknown</t>
        </is>
      </c>
      <c r="Z727" t="inlineStr"/>
      <c r="AA727" t="inlineStr"/>
      <c r="AB727" t="inlineStr"/>
      <c r="AC727" t="inlineStr"/>
      <c r="AD727" t="inlineStr">
        <is>
          <t>לא נמצא בסריקת המפיצים</t>
        </is>
      </c>
      <c r="AE727" t="inlineStr">
        <is>
          <t>סריקת אתרי מפיצים</t>
        </is>
      </c>
      <c r="AG727" t="inlineStr"/>
      <c r="AH727" t="inlineStr"/>
      <c r="AJ727" t="inlineStr">
        <is>
          <t>281-405-0888</t>
        </is>
      </c>
      <c r="AM727" t="inlineStr">
        <is>
          <t>https://kmact.com/pages/contact-us</t>
        </is>
      </c>
      <c r="AN727" t="inlineStr">
        <is>
          <t>https://kmact.com/pages/contact-us</t>
        </is>
      </c>
      <c r="AP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Y728" t="inlineStr">
        <is>
          <t>unknown</t>
        </is>
      </c>
      <c r="Z728" t="inlineStr"/>
      <c r="AA728" t="inlineStr"/>
      <c r="AB728" t="inlineStr"/>
      <c r="AC728" t="inlineStr"/>
      <c r="AD728" t="inlineStr">
        <is>
          <t>לא ברור</t>
        </is>
      </c>
      <c r="AE728" t="inlineStr">
        <is>
          <t>חיפוש חלקי</t>
        </is>
      </c>
      <c r="AG728" t="inlineStr"/>
      <c r="AH728" t="inlineStr"/>
      <c r="AI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J728" t="inlineStr"/>
      <c r="AP728" t="inlineStr">
        <is>
          <t>https://www.dutscher.com/search?initialFilters=brand:KNF | https://www.thomassci.com/browse-by/suppliers/knf</t>
        </is>
      </c>
    </row>
    <row r="729">
      <c r="A729" t="n">
        <v>728</v>
      </c>
      <c r="B729" t="inlineStr">
        <is>
          <t>KNF Neuberger</t>
        </is>
      </c>
      <c r="C729" t="inlineStr">
        <is>
          <t>Q</t>
        </is>
      </c>
      <c r="F729" t="inlineStr">
        <is>
          <t>yes</t>
        </is>
      </c>
      <c r="J729" t="inlineStr"/>
      <c r="Y729" t="inlineStr">
        <is>
          <t>unknown</t>
        </is>
      </c>
      <c r="Z729" t="inlineStr"/>
      <c r="AA729" t="inlineStr"/>
      <c r="AB729" t="inlineStr"/>
      <c r="AC729" t="inlineStr"/>
      <c r="AD729" t="inlineStr">
        <is>
          <t>לא נמצא בסריקת המפיצים</t>
        </is>
      </c>
      <c r="AE729" t="inlineStr">
        <is>
          <t>סריקת אתרי מפיצים</t>
        </is>
      </c>
      <c r="AG729" t="inlineStr"/>
      <c r="AH729" t="inlineStr"/>
      <c r="AJ729" t="inlineStr"/>
      <c r="AP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Y730" t="inlineStr">
        <is>
          <t>unknown</t>
        </is>
      </c>
      <c r="Z730" t="inlineStr"/>
      <c r="AA730" t="inlineStr"/>
      <c r="AB730" t="inlineStr"/>
      <c r="AC730" t="inlineStr"/>
      <c r="AD730" t="inlineStr">
        <is>
          <t>לא נמצא בסריקת המפיצים</t>
        </is>
      </c>
      <c r="AE730" t="inlineStr">
        <is>
          <t>סריקת אתרי מפיצים</t>
        </is>
      </c>
      <c r="AG730" t="inlineStr"/>
      <c r="AH730" t="inlineStr"/>
      <c r="AJ730" t="inlineStr"/>
      <c r="AP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Y731" t="inlineStr">
        <is>
          <t>unknown</t>
        </is>
      </c>
      <c r="Z731" t="inlineStr"/>
      <c r="AA731" t="inlineStr"/>
      <c r="AB731" t="inlineStr"/>
      <c r="AC731" t="inlineStr"/>
      <c r="AD731" t="inlineStr">
        <is>
          <t>לא נמצא בחיפוש ראשוני</t>
        </is>
      </c>
      <c r="AE731" t="inlineStr">
        <is>
          <t>חיפוש חלקי</t>
        </is>
      </c>
      <c r="AG731" t="inlineStr"/>
      <c r="AH731" t="inlineStr"/>
      <c r="AI731" t="inlineStr">
        <is>
          <t>No result mentions Kord-Valmark at all; hits are unrelated Israeli valve/fittings and industrial distributor listings.</t>
        </is>
      </c>
      <c r="AJ731" t="inlineStr"/>
      <c r="AP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Y732" t="inlineStr">
        <is>
          <t>unknown</t>
        </is>
      </c>
      <c r="Z732" t="inlineStr"/>
      <c r="AA732" t="inlineStr"/>
      <c r="AB732" t="inlineStr"/>
      <c r="AC732" t="inlineStr"/>
      <c r="AD732" t="inlineStr">
        <is>
          <t>לא נמצא בסריקת המפיצים</t>
        </is>
      </c>
      <c r="AE732" t="inlineStr">
        <is>
          <t>סריקת אתרי מפיצים</t>
        </is>
      </c>
      <c r="AG732" t="inlineStr"/>
      <c r="AH732" t="inlineStr"/>
      <c r="AJ732" t="inlineStr"/>
      <c r="AP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Y733" t="inlineStr">
        <is>
          <t>unknown</t>
        </is>
      </c>
      <c r="Z733" t="inlineStr"/>
      <c r="AA733" t="inlineStr"/>
      <c r="AB733" t="inlineStr"/>
      <c r="AC733" t="inlineStr"/>
      <c r="AD733" t="inlineStr">
        <is>
          <t>לא נמצא בסריקת המפיצים</t>
        </is>
      </c>
      <c r="AE733" t="inlineStr">
        <is>
          <t>סריקת אתרי מפיצים</t>
        </is>
      </c>
      <c r="AG733" t="inlineStr"/>
      <c r="AH733" t="inlineStr"/>
      <c r="AJ733" t="inlineStr">
        <is>
          <t>123-456-7890</t>
        </is>
      </c>
      <c r="AK733" t="inlineStr">
        <is>
          <t>sales@krusetape.com</t>
        </is>
      </c>
      <c r="AM733" t="inlineStr">
        <is>
          <t>https://krusetape.com/contact/</t>
        </is>
      </c>
      <c r="AN733" t="inlineStr">
        <is>
          <t>https://krusetape.com/contact/</t>
        </is>
      </c>
      <c r="AP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Y734" t="inlineStr">
        <is>
          <t>unknown</t>
        </is>
      </c>
      <c r="Z734" t="inlineStr"/>
      <c r="AA734" t="inlineStr"/>
      <c r="AB734" t="inlineStr"/>
      <c r="AC734" t="inlineStr"/>
      <c r="AD734" t="inlineStr">
        <is>
          <t>לא נמצא בסריקת המפיצים</t>
        </is>
      </c>
      <c r="AE734" t="inlineStr">
        <is>
          <t>סריקת אתרי מפיצים</t>
        </is>
      </c>
      <c r="AG734" t="inlineStr"/>
      <c r="AH734" t="inlineStr"/>
      <c r="AJ734" t="inlineStr"/>
      <c r="AP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Y735" t="inlineStr">
        <is>
          <t>unknown</t>
        </is>
      </c>
      <c r="Z735" t="inlineStr"/>
      <c r="AA735" t="inlineStr"/>
      <c r="AB735" t="inlineStr"/>
      <c r="AC735" t="inlineStr"/>
      <c r="AD735" t="inlineStr">
        <is>
          <t>לא נמצא בסריקת המפיצים</t>
        </is>
      </c>
      <c r="AE735" t="inlineStr">
        <is>
          <t>סריקת אתרי מפיצים</t>
        </is>
      </c>
      <c r="AG735" t="inlineStr"/>
      <c r="AH735" t="inlineStr"/>
      <c r="AJ735" t="inlineStr"/>
      <c r="AK735" t="inlineStr">
        <is>
          <t>sales@labarmor.com</t>
        </is>
      </c>
      <c r="AM735" t="inlineStr">
        <is>
          <t>https://www.labarmor.com/contact</t>
        </is>
      </c>
      <c r="AN735" t="inlineStr">
        <is>
          <t>https://www.labarmor.com/contact</t>
        </is>
      </c>
      <c r="AP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Y736" t="inlineStr">
        <is>
          <t>unknown</t>
        </is>
      </c>
      <c r="Z736" t="inlineStr"/>
      <c r="AA736" t="inlineStr"/>
      <c r="AB736" t="inlineStr"/>
      <c r="AC736" t="inlineStr"/>
      <c r="AD736" t="inlineStr">
        <is>
          <t>לא נמצא בסריקת המפיצים</t>
        </is>
      </c>
      <c r="AE736" t="inlineStr">
        <is>
          <t>סריקת אתרי מפיצים</t>
        </is>
      </c>
      <c r="AG736" t="inlineStr"/>
      <c r="AH736" t="inlineStr"/>
      <c r="AJ736" t="inlineStr">
        <is>
          <t>800-372-5798</t>
        </is>
      </c>
      <c r="AK736" t="inlineStr">
        <is>
          <t>sales@labbioreagents.com</t>
        </is>
      </c>
      <c r="AM736" t="inlineStr">
        <is>
          <t>https://labbioreagents.com/index.php?route=information/contact</t>
        </is>
      </c>
      <c r="AN736" t="inlineStr">
        <is>
          <t>https://labbioreagents.com/index.php?route=information/contact</t>
        </is>
      </c>
      <c r="AP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Y737" t="inlineStr">
        <is>
          <t>unknown</t>
        </is>
      </c>
      <c r="Z737" t="inlineStr"/>
      <c r="AA737" t="inlineStr"/>
      <c r="AB737" t="inlineStr"/>
      <c r="AC737" t="inlineStr"/>
      <c r="AD737" t="inlineStr">
        <is>
          <t>לא נמצא בסריקת המפיצים</t>
        </is>
      </c>
      <c r="AE737" t="inlineStr">
        <is>
          <t>סריקת אתרי מפיצים</t>
        </is>
      </c>
      <c r="AG737" t="inlineStr"/>
      <c r="AH737" t="inlineStr"/>
      <c r="AJ737" t="inlineStr"/>
      <c r="AP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Y738" t="inlineStr">
        <is>
          <t>unknown</t>
        </is>
      </c>
      <c r="Z738" t="inlineStr"/>
      <c r="AA738" t="inlineStr"/>
      <c r="AB738" t="inlineStr"/>
      <c r="AC738" t="inlineStr"/>
      <c r="AD738" t="inlineStr">
        <is>
          <t>לא נמצא בחיפוש ראשוני</t>
        </is>
      </c>
      <c r="AE738" t="inlineStr">
        <is>
          <t>חיפוש חלקי</t>
        </is>
      </c>
      <c r="AG738" t="inlineStr"/>
      <c r="AH738" t="inlineStr"/>
      <c r="AI738" t="inlineStr">
        <is>
          <t>LabChem Inc. (Pittsburgh) listing only; a Fujifilm Wako 'LabChem' distributor page (different brand) cut off before Israel; Agentek/Enco/Rhenium appeared with no link.</t>
        </is>
      </c>
      <c r="AJ738" t="inlineStr"/>
      <c r="AP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Y739" t="inlineStr">
        <is>
          <t>unknown</t>
        </is>
      </c>
      <c r="Z739" t="inlineStr">
        <is>
          <t>Eclipse™ Macro 10mL Pipet Tips for Popular Pipettors</t>
        </is>
      </c>
      <c r="AA739" t="inlineStr">
        <is>
          <t>Microtube Storage Racks</t>
        </is>
      </c>
      <c r="AB739" t="inlineStr">
        <is>
          <t>Eclipse™ 200µL Graduated Pipet Tips</t>
        </is>
      </c>
      <c r="AC739" t="inlineStr">
        <is>
          <t>thomassci</t>
        </is>
      </c>
      <c r="AD739" t="inlineStr">
        <is>
          <t>לא נמצא בחיפוש ראשוני</t>
        </is>
      </c>
      <c r="AE739" t="inlineStr">
        <is>
          <t>חיפוש חלקי</t>
        </is>
      </c>
      <c r="AG739" t="inlineStr"/>
      <c r="AH739" t="inlineStr"/>
      <c r="AI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J739" t="inlineStr">
        <is>
          <t>+1.707.766.2100</t>
        </is>
      </c>
      <c r="AK739" t="inlineStr">
        <is>
          <t>info@labcon.com</t>
        </is>
      </c>
      <c r="AM739" t="inlineStr">
        <is>
          <t>https://www.labcon.com/contact.html</t>
        </is>
      </c>
      <c r="AN739" t="inlineStr">
        <is>
          <t>https://www.labcon.com/contact.html</t>
        </is>
      </c>
      <c r="AP739" t="inlineStr">
        <is>
          <t>https://www.dutscher.com/search?initialFilters=brand:Labcon | https://www.quartzy.com/suppliers | https://www.thomassci.com/browse-by/suppliers/labcon | https://www.labcon.com/contact.html</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P740" t="n">
        <v>375</v>
      </c>
      <c r="R740" t="inlineStr">
        <is>
          <t>company</t>
        </is>
      </c>
      <c r="S740" t="inlineStr">
        <is>
          <t>prior</t>
        </is>
      </c>
      <c r="T740" t="n">
        <v>42.6</v>
      </c>
      <c r="U740" t="inlineStr">
        <is>
          <t>approx. USD 42.6 million (third-party estimate)</t>
        </is>
      </c>
      <c r="V740" t="inlineStr">
        <is>
          <t>n/a (aggregator estimate seen Oct 2026)</t>
        </is>
      </c>
      <c r="W740" t="inlineStr">
        <is>
          <t>estimate</t>
        </is>
      </c>
      <c r="X740" t="inlineStr">
        <is>
          <t>prior</t>
        </is>
      </c>
      <c r="Y740" t="inlineStr">
        <is>
          <t>estimate</t>
        </is>
      </c>
      <c r="Z740" t="inlineStr">
        <is>
          <t>Protector fume hoods (XStream / Premier)</t>
        </is>
      </c>
      <c r="AA740" t="inlineStr">
        <is>
          <t>FreeZone freeze dryers</t>
        </is>
      </c>
      <c r="AB740" t="inlineStr">
        <is>
          <t>Purifier Logic+ biosafety cabinets</t>
        </is>
      </c>
      <c r="AC740" t="inlineStr">
        <is>
          <t>prior</t>
        </is>
      </c>
      <c r="AD740" t="inlineStr">
        <is>
          <t>מפיץ/נציג בישראל</t>
        </is>
      </c>
      <c r="AE740" t="inlineStr">
        <is>
          <t>אומת</t>
        </is>
      </c>
      <c r="AF740" t="n">
        <v>2026</v>
      </c>
      <c r="AG740" t="inlineStr">
        <is>
          <t>Labotal Scientific Equipment Ltd.</t>
        </is>
      </c>
      <c r="AH740" t="inlineStr">
        <is>
          <t>Labotal Scientific Equipment Ltd.: +972 2-579-9222 Sales@labotal.co.il</t>
        </is>
      </c>
      <c r="AI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J740" t="inlineStr">
        <is>
          <t>+1 816-333-8811</t>
        </is>
      </c>
      <c r="AL740" t="inlineStr">
        <is>
          <t>8811 Prospect Ave, Kansas City, MO 64132, USA</t>
        </is>
      </c>
      <c r="AM740" t="inlineStr">
        <is>
          <t>https://www.labconco.com/contact</t>
        </is>
      </c>
      <c r="AN740" t="inlineStr">
        <is>
          <t>https://www.labconco.com/faq</t>
        </is>
      </c>
      <c r="AP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Y741" t="inlineStr">
        <is>
          <t>unknown</t>
        </is>
      </c>
      <c r="Z741" t="inlineStr"/>
      <c r="AA741" t="inlineStr"/>
      <c r="AB741" t="inlineStr"/>
      <c r="AC741" t="inlineStr"/>
      <c r="AD741" t="inlineStr">
        <is>
          <t>לא נמצא בסריקת המפיצים</t>
        </is>
      </c>
      <c r="AE741" t="inlineStr">
        <is>
          <t>סריקת אתרי מפיצים</t>
        </is>
      </c>
      <c r="AG741" t="inlineStr"/>
      <c r="AH741" t="inlineStr"/>
      <c r="AJ741" t="inlineStr"/>
      <c r="AP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Y742" t="inlineStr">
        <is>
          <t>unknown</t>
        </is>
      </c>
      <c r="Z742" t="inlineStr"/>
      <c r="AA742" t="inlineStr"/>
      <c r="AB742" t="inlineStr"/>
      <c r="AC742" t="inlineStr"/>
      <c r="AD742" t="inlineStr">
        <is>
          <t>לא נמצא בסריקת המפיצים</t>
        </is>
      </c>
      <c r="AE742" t="inlineStr">
        <is>
          <t>סריקת אתרי מפיצים</t>
        </is>
      </c>
      <c r="AG742" t="inlineStr"/>
      <c r="AH742" t="inlineStr"/>
      <c r="AJ742" t="inlineStr"/>
      <c r="AP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Y743" t="inlineStr">
        <is>
          <t>unknown</t>
        </is>
      </c>
      <c r="Z743" t="inlineStr"/>
      <c r="AA743" t="inlineStr"/>
      <c r="AB743" t="inlineStr"/>
      <c r="AC743" t="inlineStr"/>
      <c r="AD743" t="inlineStr">
        <is>
          <t>לא נמצא בחיפוש ראשוני</t>
        </is>
      </c>
      <c r="AE743" t="inlineStr">
        <is>
          <t>חיפוש חלקי</t>
        </is>
      </c>
      <c r="AG743" t="inlineStr"/>
      <c r="AH743" t="inlineStr"/>
      <c r="AI743" t="inlineStr">
        <is>
          <t>Labnet International (Edison, NJ) sells via a dealer network and a GlobalData profile cites presence in the Middle East, but no Israeli dealer is named; results are US/UK/FR resellers.</t>
        </is>
      </c>
      <c r="AJ743" t="inlineStr"/>
      <c r="AP743" t="inlineStr">
        <is>
          <t>https://www.dutscher.com/search?initialFilters=brand:Labnet | https://www.thomassci.com/browse-by/suppliers/labnet</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Y744" t="inlineStr">
        <is>
          <t>unknown</t>
        </is>
      </c>
      <c r="Z744" t="inlineStr"/>
      <c r="AA744" t="inlineStr"/>
      <c r="AB744" t="inlineStr"/>
      <c r="AC744" t="inlineStr"/>
      <c r="AD744" t="inlineStr">
        <is>
          <t>לא נמצא בחיפוש ראשוני</t>
        </is>
      </c>
      <c r="AE744" t="inlineStr">
        <is>
          <t>חיפוש חלקי</t>
        </is>
      </c>
      <c r="AG744" t="inlineStr"/>
      <c r="AH744" t="inlineStr"/>
      <c r="AI744" t="inlineStr">
        <is>
          <t>Labplas cites 175+ independent distributors in 60+ countries; none named for Israel in results (Rhenium, S.L. Moran surfaced without a Labplas link).</t>
        </is>
      </c>
      <c r="AJ744" t="inlineStr">
        <is>
          <t>+14506497343</t>
        </is>
      </c>
      <c r="AN744" t="inlineStr">
        <is>
          <t>https://labplas.com/fr_CA/</t>
        </is>
      </c>
      <c r="AP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Y745" t="inlineStr">
        <is>
          <t>unknown</t>
        </is>
      </c>
      <c r="Z745" t="inlineStr"/>
      <c r="AA745" t="inlineStr"/>
      <c r="AB745" t="inlineStr"/>
      <c r="AC745" t="inlineStr"/>
      <c r="AD745" t="inlineStr">
        <is>
          <t>לא נמצא בחיפוש ראשוני</t>
        </is>
      </c>
      <c r="AE745" t="inlineStr">
        <is>
          <t>חיפוש חלקי</t>
        </is>
      </c>
      <c r="AG745" t="inlineStr"/>
      <c r="AH745" t="inlineStr"/>
      <c r="AI745" t="inlineStr">
        <is>
          <t>LabRepCo is itself a US East-Coast regional distributor (Horsham, PA); no international channel found.</t>
        </is>
      </c>
      <c r="AJ745" t="inlineStr">
        <is>
          <t>800-521-0754</t>
        </is>
      </c>
      <c r="AK745" t="inlineStr">
        <is>
          <t>info@labrepco.com</t>
        </is>
      </c>
      <c r="AM745" t="inlineStr">
        <is>
          <t>https://www.labrepco.com/contact</t>
        </is>
      </c>
      <c r="AN745" t="inlineStr">
        <is>
          <t>https://www.labrepco.com/contact</t>
        </is>
      </c>
      <c r="AP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Y746" t="inlineStr">
        <is>
          <t>unknown</t>
        </is>
      </c>
      <c r="Z746" t="inlineStr"/>
      <c r="AA746" t="inlineStr"/>
      <c r="AB746" t="inlineStr"/>
      <c r="AC746" t="inlineStr"/>
      <c r="AD746" t="inlineStr">
        <is>
          <t>לא נמצא בחיפוש ראשוני</t>
        </is>
      </c>
      <c r="AE746" t="inlineStr">
        <is>
          <t>חיפוש חלקי</t>
        </is>
      </c>
      <c r="AG746" t="inlineStr"/>
      <c r="AH746" t="inlineStr"/>
      <c r="AI746" t="inlineStr">
        <is>
          <t>LabStrong (Dubuque, Iowa) results are US-only (it is itself a US distributor for Synoptics); Israeli distributor pages (Enco, Rhenium, Agentek) do not mention LabStrong.</t>
        </is>
      </c>
      <c r="AJ746" t="inlineStr"/>
      <c r="AP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Y747" t="inlineStr">
        <is>
          <t>unknown</t>
        </is>
      </c>
      <c r="Z747" t="inlineStr"/>
      <c r="AA747" t="inlineStr"/>
      <c r="AB747" t="inlineStr"/>
      <c r="AC747" t="inlineStr"/>
      <c r="AD747" t="inlineStr">
        <is>
          <t>לא נמצא בסריקת המפיצים</t>
        </is>
      </c>
      <c r="AE747" t="inlineStr">
        <is>
          <t>סריקת אתרי מפיצים</t>
        </is>
      </c>
      <c r="AG747" t="inlineStr"/>
      <c r="AH747" t="inlineStr"/>
      <c r="AJ747" t="inlineStr"/>
      <c r="AP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Y748" t="inlineStr">
        <is>
          <t>unknown</t>
        </is>
      </c>
      <c r="Z748" t="inlineStr"/>
      <c r="AA748" t="inlineStr"/>
      <c r="AB748" t="inlineStr"/>
      <c r="AC748" t="inlineStr"/>
      <c r="AD748" t="inlineStr">
        <is>
          <t>לא נמצא בסריקת המפיצים</t>
        </is>
      </c>
      <c r="AE748" t="inlineStr">
        <is>
          <t>סריקת אתרי מפיצים</t>
        </is>
      </c>
      <c r="AG748" t="inlineStr"/>
      <c r="AH748" t="inlineStr"/>
      <c r="AJ748" t="inlineStr"/>
      <c r="AP748" t="inlineStr">
        <is>
          <t>https://www.thomassci.com/browse-by/suppliers/lakeland-industries</t>
        </is>
      </c>
    </row>
    <row r="749">
      <c r="A749" t="n">
        <v>748</v>
      </c>
      <c r="B749" t="inlineStr">
        <is>
          <t>Lamda Biotech</t>
        </is>
      </c>
      <c r="C749" t="inlineStr">
        <is>
          <t>Q</t>
        </is>
      </c>
      <c r="F749" t="inlineStr">
        <is>
          <t>yes</t>
        </is>
      </c>
      <c r="H749" t="inlineStr">
        <is>
          <t>https://www.lamdabio.com</t>
        </is>
      </c>
      <c r="I749" t="inlineStr">
        <is>
          <t>manual</t>
        </is>
      </c>
      <c r="J749" t="inlineStr"/>
      <c r="Y749" t="inlineStr">
        <is>
          <t>unknown</t>
        </is>
      </c>
      <c r="Z749" t="inlineStr"/>
      <c r="AA749" t="inlineStr"/>
      <c r="AB749" t="inlineStr"/>
      <c r="AC749" t="inlineStr"/>
      <c r="AD749" t="inlineStr">
        <is>
          <t>לא נמצא בסריקת המפיצים</t>
        </is>
      </c>
      <c r="AE749" t="inlineStr">
        <is>
          <t>סריקת אתרי מפיצים</t>
        </is>
      </c>
      <c r="AG749" t="inlineStr"/>
      <c r="AH749" t="inlineStr"/>
      <c r="AJ749" t="inlineStr">
        <is>
          <t>1-800-631-5009</t>
        </is>
      </c>
      <c r="AM749" t="inlineStr">
        <is>
          <t>https://research.moleculardesigns.com/contact-us/</t>
        </is>
      </c>
      <c r="AN749" t="inlineStr">
        <is>
          <t>https://research.moleculardesigns.com/contact-us/</t>
        </is>
      </c>
      <c r="AP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Y750" t="inlineStr">
        <is>
          <t>unknown</t>
        </is>
      </c>
      <c r="Z750" t="inlineStr"/>
      <c r="AA750" t="inlineStr"/>
      <c r="AB750" t="inlineStr"/>
      <c r="AC750" t="inlineStr"/>
      <c r="AD750" t="inlineStr">
        <is>
          <t>לא נמצא בסריקת המפיצים</t>
        </is>
      </c>
      <c r="AE750" t="inlineStr">
        <is>
          <t>סריקת אתרי מפיצים</t>
        </is>
      </c>
      <c r="AG750" t="inlineStr"/>
      <c r="AH750" t="inlineStr"/>
      <c r="AJ750" t="inlineStr">
        <is>
          <t>+18003443100</t>
        </is>
      </c>
      <c r="AM750" t="inlineStr">
        <is>
          <t>https://lamotte.com/contact-us/</t>
        </is>
      </c>
      <c r="AN750" t="inlineStr">
        <is>
          <t>https://lamotte.com/contact-us/</t>
        </is>
      </c>
      <c r="AP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Y751" t="inlineStr">
        <is>
          <t>unknown</t>
        </is>
      </c>
      <c r="Z751" t="inlineStr"/>
      <c r="AA751" t="inlineStr"/>
      <c r="AB751" t="inlineStr"/>
      <c r="AC751" t="inlineStr"/>
      <c r="AD751" t="inlineStr">
        <is>
          <t>לא נמצא בסריקת המפיצים</t>
        </is>
      </c>
      <c r="AE751" t="inlineStr">
        <is>
          <t>סריקת אתרי מפיצים</t>
        </is>
      </c>
      <c r="AG751" t="inlineStr"/>
      <c r="AH751" t="inlineStr"/>
      <c r="AJ751" t="inlineStr"/>
      <c r="AP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P752" t="n">
        <v>600</v>
      </c>
      <c r="Q752" t="n">
        <v>2025</v>
      </c>
      <c r="R752" t="inlineStr">
        <is>
          <t>company</t>
        </is>
      </c>
      <c r="S752" t="inlineStr">
        <is>
          <t>prior</t>
        </is>
      </c>
      <c r="T752" t="n">
        <v>110</v>
      </c>
      <c r="U752" t="inlineStr">
        <is>
          <t>EUR ~100 million (group)</t>
        </is>
      </c>
      <c r="V752" t="inlineStr">
        <is>
          <t>FY2024</t>
        </is>
      </c>
      <c r="W752" t="inlineStr">
        <is>
          <t>company</t>
        </is>
      </c>
      <c r="X752" t="inlineStr">
        <is>
          <t>prior</t>
        </is>
      </c>
      <c r="Y752" t="inlineStr">
        <is>
          <t>reported</t>
        </is>
      </c>
      <c r="Z752" t="inlineStr">
        <is>
          <t>Integral</t>
        </is>
      </c>
      <c r="AA752" t="inlineStr">
        <is>
          <t>PRO / ECO / Alpha</t>
        </is>
      </c>
      <c r="AB752" t="inlineStr">
        <is>
          <t>Ultracool / Variocool</t>
        </is>
      </c>
      <c r="AC752" t="inlineStr">
        <is>
          <t>prior</t>
        </is>
      </c>
      <c r="AD752" t="inlineStr">
        <is>
          <t>מפיץ/נציג בישראל</t>
        </is>
      </c>
      <c r="AE752" t="inlineStr">
        <is>
          <t>אומת</t>
        </is>
      </c>
      <c r="AF752" t="n">
        <v>2026</v>
      </c>
      <c r="AG752" t="inlineStr">
        <is>
          <t>Medent Scientific Instruments; Citrine Solutions; Avni &amp; Son</t>
        </is>
      </c>
      <c r="AH752" t="inlineStr">
        <is>
          <t>Medent Scientific Instruments: +972 72-395-0508 (sales); +972 8-683-6306 (service) info@medent.co.il; Citrine Solutions:; Avni &amp; Son: +972-4-821-9989 info@avni-son.co.il</t>
        </is>
      </c>
      <c r="AI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J752" t="inlineStr">
        <is>
          <t>+49 9343 503-0</t>
        </is>
      </c>
      <c r="AK752" t="inlineStr">
        <is>
          <t>info@lauda.de</t>
        </is>
      </c>
      <c r="AL752" t="inlineStr">
        <is>
          <t>Laudaplatz 1, 97922 Lauda-Königshofen, Germany</t>
        </is>
      </c>
      <c r="AM752" t="inlineStr">
        <is>
          <t>https://www.lauda.de/de/kontakt</t>
        </is>
      </c>
      <c r="AN752" t="inlineStr">
        <is>
          <t>https://lauda.de/en/imprint</t>
        </is>
      </c>
      <c r="AP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https://www.lauda.de/de/kontakt</t>
        </is>
      </c>
    </row>
    <row r="753">
      <c r="A753" t="n">
        <v>752</v>
      </c>
      <c r="B753" t="inlineStr">
        <is>
          <t>Laxco Inc.</t>
        </is>
      </c>
      <c r="C753" t="inlineStr">
        <is>
          <t>T</t>
        </is>
      </c>
      <c r="E753" t="inlineStr">
        <is>
          <t>https://www.thomassci.com/browse-by/suppliers/laxco-inc-</t>
        </is>
      </c>
      <c r="F753" t="inlineStr"/>
      <c r="J753" t="inlineStr"/>
      <c r="Y753" t="inlineStr">
        <is>
          <t>unknown</t>
        </is>
      </c>
      <c r="Z753" t="inlineStr"/>
      <c r="AA753" t="inlineStr"/>
      <c r="AB753" t="inlineStr"/>
      <c r="AC753" t="inlineStr"/>
      <c r="AD753" t="inlineStr">
        <is>
          <t>לא נמצא בסריקת המפיצים</t>
        </is>
      </c>
      <c r="AE753" t="inlineStr">
        <is>
          <t>סריקת אתרי מפיצים</t>
        </is>
      </c>
      <c r="AG753" t="inlineStr"/>
      <c r="AH753" t="inlineStr"/>
      <c r="AJ753" t="inlineStr"/>
      <c r="AP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Y754" t="inlineStr">
        <is>
          <t>unknown</t>
        </is>
      </c>
      <c r="Z754" t="inlineStr"/>
      <c r="AA754" t="inlineStr"/>
      <c r="AB754" t="inlineStr"/>
      <c r="AC754" t="inlineStr"/>
      <c r="AD754" t="inlineStr">
        <is>
          <t>לא נמצא בסריקת המפיצים</t>
        </is>
      </c>
      <c r="AE754" t="inlineStr">
        <is>
          <t>סריקת אתרי מפיצים</t>
        </is>
      </c>
      <c r="AG754" t="inlineStr"/>
      <c r="AH754" t="inlineStr"/>
      <c r="AJ754" t="inlineStr"/>
      <c r="AN754" t="inlineStr">
        <is>
          <t>https://quantimol.com/collections/biochemical-reagents</t>
        </is>
      </c>
      <c r="AP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Y755" t="inlineStr">
        <is>
          <t>unknown</t>
        </is>
      </c>
      <c r="Z755" t="inlineStr"/>
      <c r="AA755" t="inlineStr"/>
      <c r="AB755" t="inlineStr"/>
      <c r="AC755" t="inlineStr"/>
      <c r="AD755" t="inlineStr">
        <is>
          <t>לא נמצא בסריקת המפיצים</t>
        </is>
      </c>
      <c r="AE755" t="inlineStr">
        <is>
          <t>סריקת אתרי מפיצים</t>
        </is>
      </c>
      <c r="AG755" t="inlineStr"/>
      <c r="AH755" t="inlineStr"/>
      <c r="AJ755" t="inlineStr"/>
      <c r="AP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Y756" t="inlineStr">
        <is>
          <t>unknown</t>
        </is>
      </c>
      <c r="Z756" t="inlineStr"/>
      <c r="AA756" t="inlineStr"/>
      <c r="AB756" t="inlineStr"/>
      <c r="AC756" t="inlineStr"/>
      <c r="AD756" t="inlineStr">
        <is>
          <t>לא נמצא בסריקת המפיצים</t>
        </is>
      </c>
      <c r="AE756" t="inlineStr">
        <is>
          <t>סריקת אתרי מפיצים</t>
        </is>
      </c>
      <c r="AG756" t="inlineStr"/>
      <c r="AH756" t="inlineStr"/>
      <c r="AJ756" t="inlineStr"/>
      <c r="AP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Y757" t="inlineStr">
        <is>
          <t>unknown</t>
        </is>
      </c>
      <c r="Z757" t="inlineStr"/>
      <c r="AA757" t="inlineStr"/>
      <c r="AB757" t="inlineStr"/>
      <c r="AC757" t="inlineStr"/>
      <c r="AD757" t="inlineStr">
        <is>
          <t>לא נמצא בסריקת המפיצים</t>
        </is>
      </c>
      <c r="AE757" t="inlineStr">
        <is>
          <t>סריקת אתרי מפיצים</t>
        </is>
      </c>
      <c r="AG757" t="inlineStr"/>
      <c r="AH757" t="inlineStr"/>
      <c r="AJ757" t="inlineStr">
        <is>
          <t>1-800-404-9677</t>
        </is>
      </c>
      <c r="AM757" t="inlineStr">
        <is>
          <t>https://store.legacypaperpkg.com/contact-us</t>
        </is>
      </c>
      <c r="AN757" t="inlineStr">
        <is>
          <t>https://store.legacypaperpkg.com/contact-us</t>
        </is>
      </c>
      <c r="AP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P758" t="n">
        <v>3500</v>
      </c>
      <c r="Q758" t="n">
        <v>2025</v>
      </c>
      <c r="R758" t="inlineStr">
        <is>
          <t>estimate</t>
        </is>
      </c>
      <c r="S758" t="inlineStr">
        <is>
          <t>prior</t>
        </is>
      </c>
      <c r="T758" t="n">
        <v>7300</v>
      </c>
      <c r="U758" t="inlineStr">
        <is>
          <t>USD 7.3 billion (Danaher Life Sciences segment)</t>
        </is>
      </c>
      <c r="V758" t="inlineStr">
        <is>
          <t>FY2025</t>
        </is>
      </c>
      <c r="W758" t="inlineStr">
        <is>
          <t>segment</t>
        </is>
      </c>
      <c r="X758" t="inlineStr">
        <is>
          <t>prior</t>
        </is>
      </c>
      <c r="Y758" t="inlineStr">
        <is>
          <t>mixed</t>
        </is>
      </c>
      <c r="Z758" t="inlineStr">
        <is>
          <t>STELLARIS</t>
        </is>
      </c>
      <c r="AA758" t="inlineStr">
        <is>
          <t>Mica</t>
        </is>
      </c>
      <c r="AB758" t="inlineStr">
        <is>
          <t>THUNDER Imagers</t>
        </is>
      </c>
      <c r="AC758" t="inlineStr">
        <is>
          <t>prior</t>
        </is>
      </c>
      <c r="AD758" t="inlineStr">
        <is>
          <t>מפיץ/נציג בישראל</t>
        </is>
      </c>
      <c r="AE758" t="inlineStr">
        <is>
          <t>חיפוש חלקי</t>
        </is>
      </c>
      <c r="AF758" t="n">
        <v>2026</v>
      </c>
      <c r="AG758" t="inlineStr">
        <is>
          <t>Lapidot Group (Ophthalmic Surgery Unit); Rhenium Ltd.</t>
        </is>
      </c>
      <c r="AH758" t="inlineStr">
        <is>
          <t>Lapidot Group (Ophthalmic Surgery Unit): +972-4-6309630 / +972-74-7797836 customerservice@lapidot.com; Rhenium Ltd.: +972 8-955-8888</t>
        </is>
      </c>
      <c r="AI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J758" t="inlineStr">
        <is>
          <t>+49 6441 29-0</t>
        </is>
      </c>
      <c r="AL758" t="inlineStr">
        <is>
          <t>Ernst-Leitz-Strasse 17-37, 35578 Wetzlar, Germany</t>
        </is>
      </c>
      <c r="AM758" t="inlineStr">
        <is>
          <t>https://www.leica-microsystems.com/contact/ideation/</t>
        </is>
      </c>
      <c r="AN758" t="inlineStr">
        <is>
          <t>https://www.leica-microsystems.com/company/imprint/</t>
        </is>
      </c>
      <c r="AP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Y759" t="inlineStr">
        <is>
          <t>unknown</t>
        </is>
      </c>
      <c r="Z759" t="inlineStr"/>
      <c r="AA759" t="inlineStr"/>
      <c r="AB759" t="inlineStr"/>
      <c r="AC759" t="inlineStr"/>
      <c r="AD759" t="inlineStr">
        <is>
          <t>לא נמצא בסריקת המפיצים</t>
        </is>
      </c>
      <c r="AE759" t="inlineStr">
        <is>
          <t>סריקת אתרי מפיצים</t>
        </is>
      </c>
      <c r="AG759" t="inlineStr"/>
      <c r="AH759" t="inlineStr"/>
      <c r="AJ759" t="inlineStr">
        <is>
          <t>30328-4014 404</t>
        </is>
      </c>
      <c r="AM759" t="inlineStr">
        <is>
          <t>https://www.lenabio.com/contact-us.html</t>
        </is>
      </c>
      <c r="AN759" t="inlineStr">
        <is>
          <t>https://www.lenabio.com/contact-us.html</t>
        </is>
      </c>
      <c r="AP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Y760" t="inlineStr">
        <is>
          <t>unknown</t>
        </is>
      </c>
      <c r="Z760" t="inlineStr"/>
      <c r="AA760" t="inlineStr"/>
      <c r="AB760" t="inlineStr"/>
      <c r="AC760" t="inlineStr"/>
      <c r="AD760" t="inlineStr">
        <is>
          <t>לא נמצא בסריקת המפיצים</t>
        </is>
      </c>
      <c r="AE760" t="inlineStr">
        <is>
          <t>סריקת אתרי מפיצים</t>
        </is>
      </c>
      <c r="AG760" t="inlineStr"/>
      <c r="AH760" t="inlineStr"/>
      <c r="AJ760" t="inlineStr">
        <is>
          <t>800.663.6324</t>
        </is>
      </c>
      <c r="AK760" t="inlineStr">
        <is>
          <t>sales@leneta.com</t>
        </is>
      </c>
      <c r="AM760" t="inlineStr">
        <is>
          <t>https://leneta.com/contact/</t>
        </is>
      </c>
      <c r="AN760" t="inlineStr">
        <is>
          <t>https://leneta.com/contact/</t>
        </is>
      </c>
      <c r="AP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Y761" t="inlineStr">
        <is>
          <t>unknown</t>
        </is>
      </c>
      <c r="Z761" t="inlineStr"/>
      <c r="AA761" t="inlineStr"/>
      <c r="AB761" t="inlineStr"/>
      <c r="AC761" t="inlineStr"/>
      <c r="AD761" t="inlineStr">
        <is>
          <t>לא נמצא בסריקת המפיצים</t>
        </is>
      </c>
      <c r="AE761" t="inlineStr">
        <is>
          <t>סריקת אתרי מפיצים</t>
        </is>
      </c>
      <c r="AG761" t="inlineStr"/>
      <c r="AH761" t="inlineStr"/>
      <c r="AJ761" t="inlineStr"/>
      <c r="AM761" t="inlineStr">
        <is>
          <t>https://www.lepurebiotech.com/contact-us-2/</t>
        </is>
      </c>
      <c r="AN761" t="inlineStr">
        <is>
          <t>https://www.lepurebiotech.com/contact-us-2/</t>
        </is>
      </c>
      <c r="AP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Y762" t="inlineStr">
        <is>
          <t>unknown</t>
        </is>
      </c>
      <c r="Z762" t="inlineStr"/>
      <c r="AA762" t="inlineStr"/>
      <c r="AB762" t="inlineStr"/>
      <c r="AC762" t="inlineStr"/>
      <c r="AD762" t="inlineStr">
        <is>
          <t>לא נמצא בחיפוש ראשוני</t>
        </is>
      </c>
      <c r="AE762" t="inlineStr">
        <is>
          <t>חיפוש חלקי</t>
        </is>
      </c>
      <c r="AG762" t="inlineStr"/>
      <c r="AH762" t="inlineStr"/>
      <c r="AI762" t="inlineStr">
        <is>
          <t>Only LevGo company profiles (Berkeley, CA; smartSpatula) and unrelated Israeli distributors (Rhenium, Agentek, Enco, Ornat).</t>
        </is>
      </c>
      <c r="AJ762" t="inlineStr"/>
      <c r="AP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Y763" t="inlineStr">
        <is>
          <t>unknown</t>
        </is>
      </c>
      <c r="Z763" t="inlineStr"/>
      <c r="AA763" t="inlineStr"/>
      <c r="AB763" t="inlineStr"/>
      <c r="AC763" t="inlineStr"/>
      <c r="AD763" t="inlineStr">
        <is>
          <t>לא נמצא בסריקת המפיצים</t>
        </is>
      </c>
      <c r="AE763" t="inlineStr">
        <is>
          <t>סריקת אתרי מפיצים</t>
        </is>
      </c>
      <c r="AG763" t="inlineStr"/>
      <c r="AH763" t="inlineStr"/>
      <c r="AJ763" t="inlineStr"/>
      <c r="AP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Y764" t="inlineStr">
        <is>
          <t>unknown</t>
        </is>
      </c>
      <c r="Z764" t="inlineStr"/>
      <c r="AA764" t="inlineStr"/>
      <c r="AB764" t="inlineStr"/>
      <c r="AC764" t="inlineStr"/>
      <c r="AD764" t="inlineStr">
        <is>
          <t>לא נמצא בסריקת המפיצים</t>
        </is>
      </c>
      <c r="AE764" t="inlineStr">
        <is>
          <t>סריקת אתרי מפיצים</t>
        </is>
      </c>
      <c r="AG764" t="inlineStr"/>
      <c r="AH764" t="inlineStr"/>
      <c r="AJ764" t="inlineStr">
        <is>
          <t>+441992470757</t>
        </is>
      </c>
      <c r="AM764" t="inlineStr">
        <is>
          <t>https://www.biosearchtech.com/support/contact-us</t>
        </is>
      </c>
      <c r="AN764" t="inlineStr">
        <is>
          <t>https://www.biosearchtech.com/support/contact-us</t>
        </is>
      </c>
      <c r="AP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Y765" t="inlineStr">
        <is>
          <t>unknown</t>
        </is>
      </c>
      <c r="Z765" t="inlineStr"/>
      <c r="AA765" t="inlineStr"/>
      <c r="AB765" t="inlineStr"/>
      <c r="AC765" t="inlineStr"/>
      <c r="AD765" t="inlineStr">
        <is>
          <t>לא נמצא בסריקת המפיצים</t>
        </is>
      </c>
      <c r="AE765" t="inlineStr">
        <is>
          <t>סריקת אתרי מפיצים</t>
        </is>
      </c>
      <c r="AG765" t="inlineStr"/>
      <c r="AH765" t="inlineStr"/>
      <c r="AJ765" t="inlineStr"/>
      <c r="AP765" t="inlineStr">
        <is>
          <t>https://www.thomassci.com/browse-by/suppliers/lgp</t>
        </is>
      </c>
    </row>
    <row r="766">
      <c r="A766" t="n">
        <v>765</v>
      </c>
      <c r="B766" t="inlineStr">
        <is>
          <t>LH Technologies</t>
        </is>
      </c>
      <c r="C766" t="inlineStr">
        <is>
          <t>T</t>
        </is>
      </c>
      <c r="E766" t="inlineStr">
        <is>
          <t>https://www.thomassci.com/browse-by/suppliers/lh-technologies</t>
        </is>
      </c>
      <c r="F766" t="inlineStr"/>
      <c r="J766" t="inlineStr"/>
      <c r="Y766" t="inlineStr">
        <is>
          <t>unknown</t>
        </is>
      </c>
      <c r="Z766" t="inlineStr"/>
      <c r="AA766" t="inlineStr"/>
      <c r="AB766" t="inlineStr"/>
      <c r="AC766" t="inlineStr"/>
      <c r="AD766" t="inlineStr">
        <is>
          <t>לא נמצא בסריקת המפיצים</t>
        </is>
      </c>
      <c r="AE766" t="inlineStr">
        <is>
          <t>סריקת אתרי מפיצים</t>
        </is>
      </c>
      <c r="AG766" t="inlineStr"/>
      <c r="AH766" t="inlineStr"/>
      <c r="AJ766" t="inlineStr"/>
      <c r="AP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Y767" t="inlineStr">
        <is>
          <t>unknown</t>
        </is>
      </c>
      <c r="Z767" t="inlineStr"/>
      <c r="AA767" t="inlineStr"/>
      <c r="AB767" t="inlineStr"/>
      <c r="AC767" t="inlineStr"/>
      <c r="AD767" t="inlineStr">
        <is>
          <t>לא נמצא בסריקת המפיצים</t>
        </is>
      </c>
      <c r="AE767" t="inlineStr">
        <is>
          <t>סריקת אתרי מפיצים</t>
        </is>
      </c>
      <c r="AG767" t="inlineStr"/>
      <c r="AH767" t="inlineStr"/>
      <c r="AJ767" t="inlineStr"/>
      <c r="AP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Y768" t="inlineStr">
        <is>
          <t>unknown</t>
        </is>
      </c>
      <c r="Z768" t="inlineStr"/>
      <c r="AA768" t="inlineStr"/>
      <c r="AB768" t="inlineStr"/>
      <c r="AC768" t="inlineStr"/>
      <c r="AD768" t="inlineStr">
        <is>
          <t>לא נמצא בסריקת המפיצים</t>
        </is>
      </c>
      <c r="AE768" t="inlineStr">
        <is>
          <t>סריקת אתרי מפיצים</t>
        </is>
      </c>
      <c r="AG768" t="inlineStr"/>
      <c r="AH768" t="inlineStr"/>
      <c r="AJ768" t="inlineStr"/>
      <c r="AP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Y769" t="inlineStr">
        <is>
          <t>unknown</t>
        </is>
      </c>
      <c r="Z769" t="inlineStr"/>
      <c r="AA769" t="inlineStr"/>
      <c r="AB769" t="inlineStr"/>
      <c r="AC769" t="inlineStr"/>
      <c r="AD769" t="inlineStr">
        <is>
          <t>לא נמצא בסריקת המפיצים</t>
        </is>
      </c>
      <c r="AE769" t="inlineStr">
        <is>
          <t>סריקת אתרי מפיצים</t>
        </is>
      </c>
      <c r="AG769" t="inlineStr"/>
      <c r="AH769" t="inlineStr"/>
      <c r="AJ769" t="inlineStr">
        <is>
          <t>18008285656</t>
        </is>
      </c>
      <c r="AM769" t="inlineStr">
        <is>
          <t>https://www.liberty-ind.com/contact-us/</t>
        </is>
      </c>
      <c r="AN769" t="inlineStr">
        <is>
          <t>https://www.liberty-ind.com/contact-us/</t>
        </is>
      </c>
      <c r="AP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Y770" t="inlineStr">
        <is>
          <t>unknown</t>
        </is>
      </c>
      <c r="Z770" t="inlineStr"/>
      <c r="AA770" t="inlineStr"/>
      <c r="AB770" t="inlineStr"/>
      <c r="AC770" t="inlineStr"/>
      <c r="AD770" t="inlineStr">
        <is>
          <t>לא נמצא בסריקת המפיצים</t>
        </is>
      </c>
      <c r="AE770" t="inlineStr">
        <is>
          <t>סריקת אתרי מפיצים</t>
        </is>
      </c>
      <c r="AG770" t="inlineStr"/>
      <c r="AH770" t="inlineStr"/>
      <c r="AJ770" t="inlineStr"/>
      <c r="AP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Y771" t="inlineStr">
        <is>
          <t>unknown</t>
        </is>
      </c>
      <c r="Z771" t="inlineStr"/>
      <c r="AA771" t="inlineStr"/>
      <c r="AB771" t="inlineStr"/>
      <c r="AC771" t="inlineStr"/>
      <c r="AD771" t="inlineStr">
        <is>
          <t>לא נמצא בסריקת המפיצים</t>
        </is>
      </c>
      <c r="AE771" t="inlineStr">
        <is>
          <t>סריקת אתרי מפיצים</t>
        </is>
      </c>
      <c r="AG771" t="inlineStr"/>
      <c r="AH771" t="inlineStr"/>
      <c r="AJ771" t="inlineStr">
        <is>
          <t>(817) 840-7855</t>
        </is>
      </c>
      <c r="AK771" t="inlineStr">
        <is>
          <t>info@lifecyclebio.com</t>
        </is>
      </c>
      <c r="AM771" t="inlineStr">
        <is>
          <t>https://www.lifecyclebio.com/contact-us-new</t>
        </is>
      </c>
      <c r="AN771" t="inlineStr">
        <is>
          <t>https://www.lifecyclebio.com/contact-us-new</t>
        </is>
      </c>
      <c r="AP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Y772" t="inlineStr">
        <is>
          <t>unknown</t>
        </is>
      </c>
      <c r="Z772" t="inlineStr"/>
      <c r="AA772" t="inlineStr"/>
      <c r="AB772" t="inlineStr"/>
      <c r="AC772" t="inlineStr"/>
      <c r="AD772" t="inlineStr">
        <is>
          <t>לא נמצא בסריקת המפיצים</t>
        </is>
      </c>
      <c r="AE772" t="inlineStr">
        <is>
          <t>סריקת אתרי מפיצים</t>
        </is>
      </c>
      <c r="AG772" t="inlineStr"/>
      <c r="AH772" t="inlineStr"/>
      <c r="AJ772" t="inlineStr"/>
      <c r="AP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Y773" t="inlineStr">
        <is>
          <t>unknown</t>
        </is>
      </c>
      <c r="Z773" t="inlineStr"/>
      <c r="AA773" t="inlineStr"/>
      <c r="AB773" t="inlineStr"/>
      <c r="AC773" t="inlineStr"/>
      <c r="AD773" t="inlineStr">
        <is>
          <t>לא נמצא בסריקת המפיצים</t>
        </is>
      </c>
      <c r="AE773" t="inlineStr">
        <is>
          <t>סריקת אתרי מפיצים</t>
        </is>
      </c>
      <c r="AG773" t="inlineStr"/>
      <c r="AH773" t="inlineStr"/>
      <c r="AJ773" t="inlineStr"/>
      <c r="AP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Y774" t="inlineStr">
        <is>
          <t>unknown</t>
        </is>
      </c>
      <c r="Z774" t="inlineStr"/>
      <c r="AA774" t="inlineStr"/>
      <c r="AB774" t="inlineStr"/>
      <c r="AC774" t="inlineStr"/>
      <c r="AD774" t="inlineStr">
        <is>
          <t>לא נמצא בסריקת המפיצים</t>
        </is>
      </c>
      <c r="AE774" t="inlineStr">
        <is>
          <t>סריקת אתרי מפיצים</t>
        </is>
      </c>
      <c r="AG774" t="inlineStr"/>
      <c r="AH774" t="inlineStr"/>
      <c r="AJ774" t="inlineStr">
        <is>
          <t>800-526-2125</t>
        </is>
      </c>
      <c r="AK774" t="inlineStr">
        <is>
          <t>info@lifesignmed.com</t>
        </is>
      </c>
      <c r="AM774" t="inlineStr">
        <is>
          <t>https://lifesignmed.com/Contact</t>
        </is>
      </c>
      <c r="AN774" t="inlineStr">
        <is>
          <t>https://lifesignmed.com/Contact</t>
        </is>
      </c>
      <c r="AP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Y775" t="inlineStr">
        <is>
          <t>unknown</t>
        </is>
      </c>
      <c r="Z775" t="inlineStr"/>
      <c r="AA775" t="inlineStr"/>
      <c r="AB775" t="inlineStr"/>
      <c r="AC775" t="inlineStr"/>
      <c r="AD775" t="inlineStr">
        <is>
          <t>לא נמצא בסריקת המפיצים</t>
        </is>
      </c>
      <c r="AE775" t="inlineStr">
        <is>
          <t>סריקת אתרי מפיצים</t>
        </is>
      </c>
      <c r="AG775" t="inlineStr"/>
      <c r="AH775" t="inlineStr"/>
      <c r="AJ775" t="inlineStr"/>
      <c r="AP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Y776" t="inlineStr">
        <is>
          <t>unknown</t>
        </is>
      </c>
      <c r="Z776" t="inlineStr"/>
      <c r="AA776" t="inlineStr"/>
      <c r="AB776" t="inlineStr"/>
      <c r="AC776" t="inlineStr"/>
      <c r="AD776" t="inlineStr">
        <is>
          <t>לא נמצא בסריקת המפיצים</t>
        </is>
      </c>
      <c r="AE776" t="inlineStr">
        <is>
          <t>סריקת אתרי מפיצים</t>
        </is>
      </c>
      <c r="AG776" t="inlineStr"/>
      <c r="AH776" t="inlineStr"/>
      <c r="AJ776" t="inlineStr">
        <is>
          <t>+39 0858930745</t>
        </is>
      </c>
      <c r="AM776" t="inlineStr">
        <is>
          <t>https://liofilchem.com/contact-us.html</t>
        </is>
      </c>
      <c r="AN776" t="inlineStr">
        <is>
          <t>https://liofilchem.com/contact-us.html</t>
        </is>
      </c>
      <c r="AP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Y777" t="inlineStr">
        <is>
          <t>unknown</t>
        </is>
      </c>
      <c r="Z777" t="inlineStr"/>
      <c r="AA777" t="inlineStr"/>
      <c r="AB777" t="inlineStr"/>
      <c r="AC777" t="inlineStr"/>
      <c r="AD777" t="inlineStr">
        <is>
          <t>מפיץ/נציג בישראל</t>
        </is>
      </c>
      <c r="AE777" t="inlineStr">
        <is>
          <t>סריקת אתרי מפיצים</t>
        </is>
      </c>
      <c r="AF777" t="n">
        <v>2026</v>
      </c>
      <c r="AG777" t="inlineStr">
        <is>
          <t>distributor of Recombinant Proteins, Antibodies, Cell Line, ELISA Kit</t>
        </is>
      </c>
      <c r="AH777" t="inlineStr">
        <is>
          <t>distributor of Recombinant Proteins, Antibodies, Cell Line, ELISA Kit: 054-5544004 info@doronscientific.com</t>
        </is>
      </c>
      <c r="AJ777" t="inlineStr"/>
      <c r="AP777" t="inlineStr">
        <is>
          <t>https://www.quartzy.com/suppliers | https://doronscientific.com/products/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Y778" t="inlineStr">
        <is>
          <t>unknown</t>
        </is>
      </c>
      <c r="Z778" t="inlineStr"/>
      <c r="AA778" t="inlineStr"/>
      <c r="AB778" t="inlineStr"/>
      <c r="AC778" t="inlineStr"/>
      <c r="AD778" t="inlineStr">
        <is>
          <t>לא נמצא בסריקת המפיצים</t>
        </is>
      </c>
      <c r="AE778" t="inlineStr">
        <is>
          <t>סריקת אתרי מפיצים</t>
        </is>
      </c>
      <c r="AG778" t="inlineStr"/>
      <c r="AH778" t="inlineStr"/>
      <c r="AJ778" t="inlineStr"/>
      <c r="AP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Y779" t="inlineStr">
        <is>
          <t>unknown</t>
        </is>
      </c>
      <c r="Z779" t="inlineStr"/>
      <c r="AA779" t="inlineStr"/>
      <c r="AB779" t="inlineStr"/>
      <c r="AC779" t="inlineStr"/>
      <c r="AD779" t="inlineStr">
        <is>
          <t>לא נמצא בסריקת המפיצים</t>
        </is>
      </c>
      <c r="AE779" t="inlineStr">
        <is>
          <t>סריקת אתרי מפיצים</t>
        </is>
      </c>
      <c r="AG779" t="inlineStr"/>
      <c r="AH779" t="inlineStr"/>
      <c r="AJ779" t="inlineStr"/>
      <c r="AN779" t="inlineStr">
        <is>
          <t>https://www.lkpkg.com/s/</t>
        </is>
      </c>
      <c r="AP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Y780" t="inlineStr">
        <is>
          <t>unknown</t>
        </is>
      </c>
      <c r="Z780" t="inlineStr"/>
      <c r="AA780" t="inlineStr"/>
      <c r="AB780" t="inlineStr"/>
      <c r="AC780" t="inlineStr"/>
      <c r="AD780" t="inlineStr">
        <is>
          <t>לא נמצא בסריקת המפיצים</t>
        </is>
      </c>
      <c r="AE780" t="inlineStr">
        <is>
          <t>סריקת אתרי מפיצים</t>
        </is>
      </c>
      <c r="AG780" t="inlineStr"/>
      <c r="AH780" t="inlineStr"/>
      <c r="AJ780" t="inlineStr"/>
      <c r="AP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clearbit_verified</t>
        </is>
      </c>
      <c r="J781" t="inlineStr"/>
      <c r="Y781" t="inlineStr">
        <is>
          <t>unknown</t>
        </is>
      </c>
      <c r="Z781" t="inlineStr"/>
      <c r="AA781" t="inlineStr"/>
      <c r="AB781" t="inlineStr"/>
      <c r="AC781" t="inlineStr"/>
      <c r="AD781" t="inlineStr">
        <is>
          <t>לא נמצא בסריקת המפיצים</t>
        </is>
      </c>
      <c r="AE781" t="inlineStr">
        <is>
          <t>סריקת אתרי מפיצים</t>
        </is>
      </c>
      <c r="AG781" t="inlineStr"/>
      <c r="AH781" t="inlineStr"/>
      <c r="AJ781" t="inlineStr">
        <is>
          <t>800-624-7767</t>
        </is>
      </c>
      <c r="AM781" t="inlineStr">
        <is>
          <t>https://www.loctiteproducts.com/meta/contact.html</t>
        </is>
      </c>
      <c r="AN781" t="inlineStr">
        <is>
          <t>https://www.loctiteproducts.com/meta/contact.html</t>
        </is>
      </c>
      <c r="AP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Y782" t="inlineStr">
        <is>
          <t>unknown</t>
        </is>
      </c>
      <c r="Z782" t="inlineStr"/>
      <c r="AA782" t="inlineStr"/>
      <c r="AB782" t="inlineStr"/>
      <c r="AC782" t="inlineStr"/>
      <c r="AD782" t="inlineStr">
        <is>
          <t>לא נמצא בסריקת המפיצים</t>
        </is>
      </c>
      <c r="AE782" t="inlineStr">
        <is>
          <t>סריקת אתרי מפיצים</t>
        </is>
      </c>
      <c r="AG782" t="inlineStr"/>
      <c r="AH782" t="inlineStr"/>
      <c r="AJ782" t="inlineStr">
        <is>
          <t>866-577-4477</t>
        </is>
      </c>
      <c r="AK782" t="inlineStr">
        <is>
          <t>support@simprosys.com</t>
        </is>
      </c>
      <c r="AM782" t="inlineStr">
        <is>
          <t>https://www.logisticssupply.com/pages/contact</t>
        </is>
      </c>
      <c r="AN782" t="inlineStr">
        <is>
          <t>https://www.logisticssupply.com/pages/contact</t>
        </is>
      </c>
      <c r="AP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Y783" t="inlineStr">
        <is>
          <t>unknown</t>
        </is>
      </c>
      <c r="Z783" t="inlineStr"/>
      <c r="AA783" t="inlineStr"/>
      <c r="AB783" t="inlineStr"/>
      <c r="AC783" t="inlineStr"/>
      <c r="AD783" t="inlineStr">
        <is>
          <t>לא נמצא בסריקת המפיצים</t>
        </is>
      </c>
      <c r="AE783" t="inlineStr">
        <is>
          <t>סריקת אתרי מפיצים</t>
        </is>
      </c>
      <c r="AG783" t="inlineStr"/>
      <c r="AH783" t="inlineStr"/>
      <c r="AJ783" t="inlineStr">
        <is>
          <t>+82 (31) 478-4185</t>
        </is>
      </c>
      <c r="AK783" t="inlineStr">
        <is>
          <t>enquiries@atascientific.com.au</t>
        </is>
      </c>
      <c r="AM783" t="inlineStr">
        <is>
          <t>https://logosbio.com/contact-us/</t>
        </is>
      </c>
      <c r="AN783" t="inlineStr">
        <is>
          <t>https://logosbio.com/contact-us/</t>
        </is>
      </c>
      <c r="AP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Y784" t="inlineStr">
        <is>
          <t>unknown</t>
        </is>
      </c>
      <c r="Z784" t="inlineStr"/>
      <c r="AA784" t="inlineStr"/>
      <c r="AB784" t="inlineStr"/>
      <c r="AC784" t="inlineStr"/>
      <c r="AD784" t="inlineStr">
        <is>
          <t>לא נמצא בסריקת המפיצים</t>
        </is>
      </c>
      <c r="AE784" t="inlineStr">
        <is>
          <t>סריקת אתרי מפיצים</t>
        </is>
      </c>
      <c r="AG784" t="inlineStr"/>
      <c r="AH784" t="inlineStr"/>
      <c r="AJ784" t="inlineStr"/>
      <c r="AP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Y785" t="inlineStr">
        <is>
          <t>unknown</t>
        </is>
      </c>
      <c r="Z785" t="inlineStr"/>
      <c r="AA785" t="inlineStr"/>
      <c r="AB785" t="inlineStr"/>
      <c r="AC785" t="inlineStr"/>
      <c r="AD785" t="inlineStr">
        <is>
          <t>לא נמצא בסריקת המפיצים</t>
        </is>
      </c>
      <c r="AE785" t="inlineStr">
        <is>
          <t>סריקת אתרי מפיצים</t>
        </is>
      </c>
      <c r="AG785" t="inlineStr"/>
      <c r="AH785" t="inlineStr"/>
      <c r="AJ785" t="inlineStr"/>
      <c r="AP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Y786" t="inlineStr">
        <is>
          <t>unknown</t>
        </is>
      </c>
      <c r="Z786" t="inlineStr"/>
      <c r="AA786" t="inlineStr"/>
      <c r="AB786" t="inlineStr"/>
      <c r="AC786" t="inlineStr"/>
      <c r="AD786" t="inlineStr">
        <is>
          <t>לא נמצא בסריקת המפיצים</t>
        </is>
      </c>
      <c r="AE786" t="inlineStr">
        <is>
          <t>סריקת אתרי מפיצים</t>
        </is>
      </c>
      <c r="AG786" t="inlineStr"/>
      <c r="AH786" t="inlineStr"/>
      <c r="AJ786" t="inlineStr"/>
      <c r="AP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Y787" t="inlineStr">
        <is>
          <t>unknown</t>
        </is>
      </c>
      <c r="Z787" t="inlineStr"/>
      <c r="AA787" t="inlineStr"/>
      <c r="AB787" t="inlineStr"/>
      <c r="AC787" t="inlineStr"/>
      <c r="AD787" t="inlineStr">
        <is>
          <t>מפיץ/נציג בישראל</t>
        </is>
      </c>
      <c r="AE787" t="inlineStr">
        <is>
          <t>חיפוש חלקי</t>
        </is>
      </c>
      <c r="AG787" t="inlineStr">
        <is>
          <t>Ornat BioChemicals &amp; Lab Equipment Ltd.</t>
        </is>
      </c>
      <c r="AH787" t="inlineStr">
        <is>
          <t>Ornat BioChemicals &amp; Lab Equipment Ltd.:</t>
        </is>
      </c>
      <c r="AJ787" t="inlineStr"/>
      <c r="AP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Y788" t="inlineStr">
        <is>
          <t>unknown</t>
        </is>
      </c>
      <c r="Z788" t="inlineStr"/>
      <c r="AA788" t="inlineStr"/>
      <c r="AB788" t="inlineStr"/>
      <c r="AC788" t="inlineStr"/>
      <c r="AD788" t="inlineStr">
        <is>
          <t>לא נמצא בסריקת המפיצים</t>
        </is>
      </c>
      <c r="AE788" t="inlineStr">
        <is>
          <t>סריקת אתרי מפיצים</t>
        </is>
      </c>
      <c r="AG788" t="inlineStr"/>
      <c r="AH788" t="inlineStr"/>
      <c r="AJ788" t="inlineStr">
        <is>
          <t>941.756.6410</t>
        </is>
      </c>
      <c r="AK788" t="inlineStr">
        <is>
          <t>sales@lovibond.us</t>
        </is>
      </c>
      <c r="AM788" t="inlineStr">
        <is>
          <t>https://www.lovibond.com/usa-en/top-meta-navigation/contact-us</t>
        </is>
      </c>
      <c r="AN788" t="inlineStr">
        <is>
          <t>https://www.lovibond.com/usa-en/top-meta-navigation/contact-us</t>
        </is>
      </c>
      <c r="AP788" t="inlineStr">
        <is>
          <t>https://www.thomassci.com/browse-by/suppliers/lovibond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Y789" t="inlineStr">
        <is>
          <t>unknown</t>
        </is>
      </c>
      <c r="Z789" t="inlineStr"/>
      <c r="AA789" t="inlineStr"/>
      <c r="AB789" t="inlineStr"/>
      <c r="AC789" t="inlineStr"/>
      <c r="AD789" t="inlineStr">
        <is>
          <t>לא נמצא בסריקת המפיצים</t>
        </is>
      </c>
      <c r="AE789" t="inlineStr">
        <is>
          <t>סריקת אתרי מפיצים</t>
        </is>
      </c>
      <c r="AG789" t="inlineStr"/>
      <c r="AH789" t="inlineStr"/>
      <c r="AJ789" t="inlineStr">
        <is>
          <t>404-255-9767</t>
        </is>
      </c>
      <c r="AM789" t="inlineStr">
        <is>
          <t>https://www.lpdtrade.com/</t>
        </is>
      </c>
      <c r="AN789" t="inlineStr">
        <is>
          <t>https://www.lpdtrade.com/</t>
        </is>
      </c>
      <c r="AP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Y790" t="inlineStr">
        <is>
          <t>unknown</t>
        </is>
      </c>
      <c r="Z790" t="inlineStr"/>
      <c r="AA790" t="inlineStr"/>
      <c r="AB790" t="inlineStr"/>
      <c r="AC790" t="inlineStr"/>
      <c r="AD790" t="inlineStr">
        <is>
          <t>לא נמצא בסריקת המפיצים</t>
        </is>
      </c>
      <c r="AE790" t="inlineStr">
        <is>
          <t>סריקת אתרי מפיצים</t>
        </is>
      </c>
      <c r="AG790" t="inlineStr"/>
      <c r="AH790" t="inlineStr"/>
      <c r="AJ790" t="inlineStr">
        <is>
          <t>+16172370665</t>
        </is>
      </c>
      <c r="AK790" t="inlineStr">
        <is>
          <t>info@lucidsci.com</t>
        </is>
      </c>
      <c r="AN790" t="inlineStr">
        <is>
          <t>https://lucidsci.com/</t>
        </is>
      </c>
      <c r="AP790" t="inlineStr">
        <is>
          <t>https://www.thomassci.com/browse-by/suppliers/lucid-scientific | https://lucidsci.com/</t>
        </is>
      </c>
    </row>
    <row r="791">
      <c r="A791" t="n">
        <v>790</v>
      </c>
      <c r="B791" t="inlineStr">
        <is>
          <t>Lucigen (including Epicentre)</t>
        </is>
      </c>
      <c r="C791" t="inlineStr">
        <is>
          <t>Q</t>
        </is>
      </c>
      <c r="F791" t="inlineStr">
        <is>
          <t>yes</t>
        </is>
      </c>
      <c r="J791" t="inlineStr"/>
      <c r="Y791" t="inlineStr">
        <is>
          <t>unknown</t>
        </is>
      </c>
      <c r="Z791" t="inlineStr"/>
      <c r="AA791" t="inlineStr"/>
      <c r="AB791" t="inlineStr"/>
      <c r="AC791" t="inlineStr"/>
      <c r="AD791" t="inlineStr">
        <is>
          <t>לא נמצא בסריקת המפיצים</t>
        </is>
      </c>
      <c r="AE791" t="inlineStr">
        <is>
          <t>סריקת אתרי מפיצים</t>
        </is>
      </c>
      <c r="AG791" t="inlineStr"/>
      <c r="AH791" t="inlineStr"/>
      <c r="AJ791" t="inlineStr"/>
      <c r="AP791" t="inlineStr">
        <is>
          <t>https://www.quartzy.com/suppliers</t>
        </is>
      </c>
    </row>
    <row r="792">
      <c r="A792" t="n">
        <v>791</v>
      </c>
      <c r="B792" t="inlineStr">
        <is>
          <t>Lumiprobe</t>
        </is>
      </c>
      <c r="C792" t="inlineStr">
        <is>
          <t>Q</t>
        </is>
      </c>
      <c r="F792" t="inlineStr">
        <is>
          <t>yes</t>
        </is>
      </c>
      <c r="H792" t="inlineStr">
        <is>
          <t>https://lumiprobe.com</t>
        </is>
      </c>
      <c r="I792" t="inlineStr">
        <is>
          <t>clearbit_verified</t>
        </is>
      </c>
      <c r="J792" t="inlineStr"/>
      <c r="Y792" t="inlineStr">
        <is>
          <t>unknown</t>
        </is>
      </c>
      <c r="Z792" t="inlineStr"/>
      <c r="AA792" t="inlineStr"/>
      <c r="AB792" t="inlineStr"/>
      <c r="AC792" t="inlineStr"/>
      <c r="AD792" t="inlineStr">
        <is>
          <t>לא נמצא בסריקת המפיצים</t>
        </is>
      </c>
      <c r="AE792" t="inlineStr">
        <is>
          <t>סריקת אתרי מפיצים</t>
        </is>
      </c>
      <c r="AG792" t="inlineStr"/>
      <c r="AH792" t="inlineStr"/>
      <c r="AJ792" t="inlineStr">
        <is>
          <t>+18889736353</t>
        </is>
      </c>
      <c r="AK792" t="inlineStr">
        <is>
          <t>order@lumiprobe.com</t>
        </is>
      </c>
      <c r="AM792" t="inlineStr">
        <is>
          <t>https://www.lumiprobe.com/contact</t>
        </is>
      </c>
      <c r="AN792" t="inlineStr">
        <is>
          <t>https://www.lumiprobe.com/contact</t>
        </is>
      </c>
      <c r="AP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Y793" t="inlineStr">
        <is>
          <t>unknown</t>
        </is>
      </c>
      <c r="Z793" t="inlineStr"/>
      <c r="AA793" t="inlineStr"/>
      <c r="AB793" t="inlineStr"/>
      <c r="AC793" t="inlineStr"/>
      <c r="AD793" t="inlineStr">
        <is>
          <t>לא נמצא בסריקת המפיצים</t>
        </is>
      </c>
      <c r="AE793" t="inlineStr">
        <is>
          <t>סריקת אתרי מפיצים</t>
        </is>
      </c>
      <c r="AG793" t="inlineStr"/>
      <c r="AH793" t="inlineStr"/>
      <c r="AJ793" t="inlineStr"/>
      <c r="AP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c r="Y794" t="inlineStr">
        <is>
          <t>unknown</t>
        </is>
      </c>
      <c r="Z794" t="inlineStr">
        <is>
          <t>Utility Cart / Utility Bins</t>
        </is>
      </c>
      <c r="AA794" t="inlineStr">
        <is>
          <t>Pneumatic Adjustable Height Flip-Top Student Desk/Nesting Desk</t>
        </is>
      </c>
      <c r="AB794" t="inlineStr">
        <is>
          <t>Reversable Double Sided Whiteboard</t>
        </is>
      </c>
      <c r="AC794" t="inlineStr">
        <is>
          <t>thomassci</t>
        </is>
      </c>
      <c r="AD794" t="inlineStr">
        <is>
          <t>לא נמצא בסריקת המפיצים</t>
        </is>
      </c>
      <c r="AE794" t="inlineStr">
        <is>
          <t>סריקת אתרי מפיצים</t>
        </is>
      </c>
      <c r="AG794" t="inlineStr"/>
      <c r="AH794" t="inlineStr"/>
      <c r="AJ794" t="inlineStr"/>
      <c r="AM794" t="inlineStr">
        <is>
          <t>https://luxor.tech/contact</t>
        </is>
      </c>
      <c r="AN794" t="inlineStr">
        <is>
          <t>https://luxor.tech/contact</t>
        </is>
      </c>
      <c r="AP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Y795" t="inlineStr">
        <is>
          <t>unknown</t>
        </is>
      </c>
      <c r="Z795" t="inlineStr"/>
      <c r="AA795" t="inlineStr"/>
      <c r="AB795" t="inlineStr"/>
      <c r="AC795" t="inlineStr"/>
      <c r="AD795" t="inlineStr">
        <is>
          <t>לא נמצא בסריקת המפיצים</t>
        </is>
      </c>
      <c r="AE795" t="inlineStr">
        <is>
          <t>סריקת אתרי מפיצים</t>
        </is>
      </c>
      <c r="AG795" t="inlineStr"/>
      <c r="AH795" t="inlineStr"/>
      <c r="AJ795" t="inlineStr">
        <is>
          <t>497951956130</t>
        </is>
      </c>
      <c r="AM795" t="inlineStr">
        <is>
          <t>https://lvl-technologies.com/unternehmen/lvl-team/</t>
        </is>
      </c>
      <c r="AN795" t="inlineStr">
        <is>
          <t>https://lvl-technologies.com/unternehmen/lvl-team/</t>
        </is>
      </c>
      <c r="AP795" t="inlineStr">
        <is>
          <t>https://www.thomassci.com/browse-by/suppliers/lvl-technologies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Y796" t="inlineStr">
        <is>
          <t>unknown</t>
        </is>
      </c>
      <c r="Z796" t="inlineStr"/>
      <c r="AA796" t="inlineStr"/>
      <c r="AB796" t="inlineStr"/>
      <c r="AC796" t="inlineStr"/>
      <c r="AD796" t="inlineStr">
        <is>
          <t>לא נמצא בסריקת המפיצים</t>
        </is>
      </c>
      <c r="AE796" t="inlineStr">
        <is>
          <t>סריקת אתרי מפיצים</t>
        </is>
      </c>
      <c r="AG796" t="inlineStr"/>
      <c r="AH796" t="inlineStr"/>
      <c r="AJ796" t="inlineStr">
        <is>
          <t>1-800-726-7345</t>
        </is>
      </c>
      <c r="AK796" t="inlineStr">
        <is>
          <t>info@lwscientific.com</t>
        </is>
      </c>
      <c r="AM796" t="inlineStr">
        <is>
          <t>https://www.lwscientific.com/pages/contact-us</t>
        </is>
      </c>
      <c r="AN796" t="inlineStr">
        <is>
          <t>https://www.lwscientific.com/pages/contact-us</t>
        </is>
      </c>
      <c r="AP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Y797" t="inlineStr">
        <is>
          <t>unknown</t>
        </is>
      </c>
      <c r="Z797" t="inlineStr"/>
      <c r="AA797" t="inlineStr"/>
      <c r="AB797" t="inlineStr"/>
      <c r="AC797" t="inlineStr"/>
      <c r="AD797" t="inlineStr">
        <is>
          <t>לא נמצא בסריקת המפיצים</t>
        </is>
      </c>
      <c r="AE797" t="inlineStr">
        <is>
          <t>סריקת אתרי מפיצים</t>
        </is>
      </c>
      <c r="AG797" t="inlineStr"/>
      <c r="AH797" t="inlineStr"/>
      <c r="AJ797" t="inlineStr"/>
      <c r="AP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Y798" t="inlineStr">
        <is>
          <t>unknown</t>
        </is>
      </c>
      <c r="Z798" t="inlineStr"/>
      <c r="AA798" t="inlineStr"/>
      <c r="AB798" t="inlineStr"/>
      <c r="AC798" t="inlineStr"/>
      <c r="AD798" t="inlineStr">
        <is>
          <t>לא נמצא בסריקת המפיצים</t>
        </is>
      </c>
      <c r="AE798" t="inlineStr">
        <is>
          <t>סריקת אתרי מפיצים</t>
        </is>
      </c>
      <c r="AG798" t="inlineStr"/>
      <c r="AH798" t="inlineStr"/>
      <c r="AJ798" t="inlineStr">
        <is>
          <t>+14045930462</t>
        </is>
      </c>
      <c r="AK798" t="inlineStr">
        <is>
          <t>hello@macbick.com</t>
        </is>
      </c>
      <c r="AM798" t="inlineStr">
        <is>
          <t>https://macbick.com/contact/</t>
        </is>
      </c>
      <c r="AN798" t="inlineStr">
        <is>
          <t>https://macbick.com/contact/</t>
        </is>
      </c>
      <c r="AP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Y799" t="inlineStr">
        <is>
          <t>unknown</t>
        </is>
      </c>
      <c r="Z799" t="inlineStr"/>
      <c r="AA799" t="inlineStr"/>
      <c r="AB799" t="inlineStr"/>
      <c r="AC799" t="inlineStr"/>
      <c r="AD799" t="inlineStr">
        <is>
          <t>מפיץ/נציג בישראל</t>
        </is>
      </c>
      <c r="AE799" t="inlineStr">
        <is>
          <t>חיפוש חלקי</t>
        </is>
      </c>
      <c r="AG799" t="inlineStr">
        <is>
          <t>Ornat BioChemicals &amp; Lab Equipment Ltd.</t>
        </is>
      </c>
      <c r="AH799" t="inlineStr">
        <is>
          <t>Ornat BioChemicals &amp; Lab Equipment Ltd.:</t>
        </is>
      </c>
      <c r="AJ799" t="inlineStr">
        <is>
          <t>+4924219690</t>
        </is>
      </c>
      <c r="AK799" t="inlineStr">
        <is>
          <t>sales@mn-net.com</t>
        </is>
      </c>
      <c r="AM799" t="inlineStr">
        <is>
          <t>https://www.mn-net.com/contact</t>
        </is>
      </c>
      <c r="AN799" t="inlineStr">
        <is>
          <t>https://www.mn-net.com/contact</t>
        </is>
      </c>
      <c r="AP799" t="inlineStr">
        <is>
          <t>https://www.dutscher.com/search?initialFilters=brand:Macherey+Nagel | https://www.thomassci.com/browse-by/suppliers/macherey-nagel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Y800" t="inlineStr">
        <is>
          <t>unknown</t>
        </is>
      </c>
      <c r="Z800" t="inlineStr"/>
      <c r="AA800" t="inlineStr"/>
      <c r="AB800" t="inlineStr"/>
      <c r="AC800" t="inlineStr"/>
      <c r="AD800" t="inlineStr">
        <is>
          <t>לא נמצא בסריקת המפיצים</t>
        </is>
      </c>
      <c r="AE800" t="inlineStr">
        <is>
          <t>סריקת אתרי מפיצים</t>
        </is>
      </c>
      <c r="AG800" t="inlineStr"/>
      <c r="AH800" t="inlineStr"/>
      <c r="AJ800" t="inlineStr">
        <is>
          <t>04424980701</t>
        </is>
      </c>
      <c r="AK800" t="inlineStr">
        <is>
          <t>info@maggenome.com</t>
        </is>
      </c>
      <c r="AM800" t="inlineStr">
        <is>
          <t>https://www.maggenome.com/contact-us/</t>
        </is>
      </c>
      <c r="AN800" t="inlineStr">
        <is>
          <t>https://www.maggenome.com/contact-us/</t>
        </is>
      </c>
      <c r="AP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Y801" t="inlineStr">
        <is>
          <t>unknown</t>
        </is>
      </c>
      <c r="Z801" t="inlineStr"/>
      <c r="AA801" t="inlineStr"/>
      <c r="AB801" t="inlineStr"/>
      <c r="AC801" t="inlineStr"/>
      <c r="AD801" t="inlineStr">
        <is>
          <t>לא נמצא בסריקת המפיצים</t>
        </is>
      </c>
      <c r="AE801" t="inlineStr">
        <is>
          <t>סריקת אתרי מפיצים</t>
        </is>
      </c>
      <c r="AG801" t="inlineStr"/>
      <c r="AH801" t="inlineStr"/>
      <c r="AJ801" t="inlineStr"/>
      <c r="AP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Y802" t="inlineStr">
        <is>
          <t>unknown</t>
        </is>
      </c>
      <c r="Z802" t="inlineStr"/>
      <c r="AA802" t="inlineStr"/>
      <c r="AB802" t="inlineStr"/>
      <c r="AC802" t="inlineStr"/>
      <c r="AD802" t="inlineStr">
        <is>
          <t>לא נמצא בסריקת המפיצים</t>
        </is>
      </c>
      <c r="AE802" t="inlineStr">
        <is>
          <t>סריקת אתרי מפיצים</t>
        </is>
      </c>
      <c r="AG802" t="inlineStr"/>
      <c r="AH802" t="inlineStr"/>
      <c r="AJ802" t="inlineStr"/>
      <c r="AP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Y803" t="inlineStr">
        <is>
          <t>unknown</t>
        </is>
      </c>
      <c r="Z803" t="inlineStr"/>
      <c r="AA803" t="inlineStr"/>
      <c r="AB803" t="inlineStr"/>
      <c r="AC803" t="inlineStr"/>
      <c r="AD803" t="inlineStr">
        <is>
          <t>לא נמצא בסריקת המפיצים</t>
        </is>
      </c>
      <c r="AE803" t="inlineStr">
        <is>
          <t>סריקת אתרי מפיצים</t>
        </is>
      </c>
      <c r="AG803" t="inlineStr"/>
      <c r="AH803" t="inlineStr"/>
      <c r="AJ803" t="inlineStr">
        <is>
          <t>800-289-6241</t>
        </is>
      </c>
      <c r="AM803" t="inlineStr">
        <is>
          <t>https://maglite.com/pages/contact</t>
        </is>
      </c>
      <c r="AN803" t="inlineStr">
        <is>
          <t>https://maglite.com/pages/contact</t>
        </is>
      </c>
      <c r="AP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Y804" t="inlineStr">
        <is>
          <t>unknown</t>
        </is>
      </c>
      <c r="Z804" t="inlineStr"/>
      <c r="AA804" t="inlineStr"/>
      <c r="AB804" t="inlineStr"/>
      <c r="AC804" t="inlineStr"/>
      <c r="AD804" t="inlineStr">
        <is>
          <t>לא נמצא בסריקת המפיצים</t>
        </is>
      </c>
      <c r="AE804" t="inlineStr">
        <is>
          <t>סריקת אתרי מפיצים</t>
        </is>
      </c>
      <c r="AG804" t="inlineStr"/>
      <c r="AH804" t="inlineStr"/>
      <c r="AJ804" t="inlineStr">
        <is>
          <t>+1 (408) 745-0104</t>
        </is>
      </c>
      <c r="AK804" t="inlineStr">
        <is>
          <t>contact@malaster.com</t>
        </is>
      </c>
      <c r="AM804" t="inlineStr">
        <is>
          <t>https://malaster.com/contact/</t>
        </is>
      </c>
      <c r="AN804" t="inlineStr">
        <is>
          <t>https://malaster.com/contact/</t>
        </is>
      </c>
      <c r="AP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Y805" t="inlineStr">
        <is>
          <t>unknown</t>
        </is>
      </c>
      <c r="Z805" t="inlineStr"/>
      <c r="AA805" t="inlineStr"/>
      <c r="AB805" t="inlineStr"/>
      <c r="AC805" t="inlineStr"/>
      <c r="AD805" t="inlineStr">
        <is>
          <t>לא נמצא בסריקת המפיצים</t>
        </is>
      </c>
      <c r="AE805" t="inlineStr">
        <is>
          <t>סריקת אתרי מפיצים</t>
        </is>
      </c>
      <c r="AG805" t="inlineStr"/>
      <c r="AH805" t="inlineStr"/>
      <c r="AJ805" t="inlineStr"/>
      <c r="AP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J806" t="inlineStr"/>
      <c r="Y806" t="inlineStr">
        <is>
          <t>unknown</t>
        </is>
      </c>
      <c r="Z806" t="inlineStr"/>
      <c r="AA806" t="inlineStr"/>
      <c r="AB806" t="inlineStr"/>
      <c r="AC806" t="inlineStr"/>
      <c r="AD806" t="inlineStr">
        <is>
          <t>לא נמצא בסריקת המפיצים</t>
        </is>
      </c>
      <c r="AE806" t="inlineStr">
        <is>
          <t>סריקת אתרי מפיצים</t>
        </is>
      </c>
      <c r="AG806" t="inlineStr"/>
      <c r="AH806" t="inlineStr"/>
      <c r="AJ806" t="inlineStr"/>
      <c r="AP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Y807" t="inlineStr">
        <is>
          <t>unknown</t>
        </is>
      </c>
      <c r="Z807" t="inlineStr"/>
      <c r="AA807" t="inlineStr"/>
      <c r="AB807" t="inlineStr"/>
      <c r="AC807" t="inlineStr"/>
      <c r="AD807" t="inlineStr">
        <is>
          <t>לא נמצא בסריקת המפיצים</t>
        </is>
      </c>
      <c r="AE807" t="inlineStr">
        <is>
          <t>סריקת אתרי מפיצים</t>
        </is>
      </c>
      <c r="AG807" t="inlineStr"/>
      <c r="AH807" t="inlineStr"/>
      <c r="AJ807" t="inlineStr"/>
      <c r="AP807" t="inlineStr">
        <is>
          <t>https://www.dutscher.com/search?initialFilters=brand:Marienfeld</t>
        </is>
      </c>
    </row>
    <row r="808">
      <c r="A808" t="n">
        <v>807</v>
      </c>
      <c r="B808" t="inlineStr">
        <is>
          <t>Market Forge</t>
        </is>
      </c>
      <c r="C808" t="inlineStr">
        <is>
          <t>T</t>
        </is>
      </c>
      <c r="E808" t="inlineStr">
        <is>
          <t>https://www.thomassci.com/browse-by/suppliers/market-forge</t>
        </is>
      </c>
      <c r="F808" t="inlineStr"/>
      <c r="J808" t="inlineStr"/>
      <c r="Y808" t="inlineStr">
        <is>
          <t>unknown</t>
        </is>
      </c>
      <c r="Z808" t="inlineStr"/>
      <c r="AA808" t="inlineStr"/>
      <c r="AB808" t="inlineStr"/>
      <c r="AC808" t="inlineStr"/>
      <c r="AD808" t="inlineStr">
        <is>
          <t>לא נמצא בסריקת המפיצים</t>
        </is>
      </c>
      <c r="AE808" t="inlineStr">
        <is>
          <t>סריקת אתרי מפיצים</t>
        </is>
      </c>
      <c r="AG808" t="inlineStr"/>
      <c r="AH808" t="inlineStr"/>
      <c r="AJ808" t="inlineStr"/>
      <c r="AP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Y809" t="inlineStr">
        <is>
          <t>unknown</t>
        </is>
      </c>
      <c r="Z809" t="inlineStr"/>
      <c r="AA809" t="inlineStr"/>
      <c r="AB809" t="inlineStr"/>
      <c r="AC809" t="inlineStr"/>
      <c r="AD809" t="inlineStr">
        <is>
          <t>לא נמצא בסריקת המפיצים</t>
        </is>
      </c>
      <c r="AE809" t="inlineStr">
        <is>
          <t>סריקת אתרי מפיצים</t>
        </is>
      </c>
      <c r="AG809" t="inlineStr"/>
      <c r="AH809" t="inlineStr"/>
      <c r="AJ809" t="inlineStr">
        <is>
          <t>+1.616.754.5601</t>
        </is>
      </c>
      <c r="AM809" t="inlineStr">
        <is>
          <t>https://www.marvelrefrigeration.com/contact-us</t>
        </is>
      </c>
      <c r="AN809" t="inlineStr">
        <is>
          <t>https://www.marvelrefrigeration.com/contact-us</t>
        </is>
      </c>
      <c r="AP809" t="inlineStr">
        <is>
          <t>https://www.thomassci.com/browse-by/suppliers/marvel | https://www.marvelrefrigeration.com/contact-us</t>
        </is>
      </c>
    </row>
    <row r="810">
      <c r="A810" t="n">
        <v>809</v>
      </c>
      <c r="B810" t="inlineStr">
        <is>
          <t>Maryland Plastics</t>
        </is>
      </c>
      <c r="C810" t="inlineStr">
        <is>
          <t>T</t>
        </is>
      </c>
      <c r="E810" t="inlineStr">
        <is>
          <t>https://www.thomassci.com/browse-by/suppliers/maryland-plastics</t>
        </is>
      </c>
      <c r="F810" t="inlineStr"/>
      <c r="J810" t="inlineStr"/>
      <c r="Y810" t="inlineStr">
        <is>
          <t>unknown</t>
        </is>
      </c>
      <c r="Z810" t="inlineStr"/>
      <c r="AA810" t="inlineStr"/>
      <c r="AB810" t="inlineStr"/>
      <c r="AC810" t="inlineStr"/>
      <c r="AD810" t="inlineStr">
        <is>
          <t>לא נמצא בסריקת המפיצים</t>
        </is>
      </c>
      <c r="AE810" t="inlineStr">
        <is>
          <t>סריקת אתרי מפיצים</t>
        </is>
      </c>
      <c r="AG810" t="inlineStr"/>
      <c r="AH810" t="inlineStr"/>
      <c r="AJ810" t="inlineStr"/>
      <c r="AP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Y811" t="inlineStr">
        <is>
          <t>unknown</t>
        </is>
      </c>
      <c r="Z811" t="inlineStr"/>
      <c r="AA811" t="inlineStr"/>
      <c r="AB811" t="inlineStr"/>
      <c r="AC811" t="inlineStr"/>
      <c r="AD811" t="inlineStr">
        <is>
          <t>לא נמצא בסריקת המפיצים</t>
        </is>
      </c>
      <c r="AE811" t="inlineStr">
        <is>
          <t>סריקת אתרי מפיצים</t>
        </is>
      </c>
      <c r="AG811" t="inlineStr"/>
      <c r="AH811" t="inlineStr"/>
      <c r="AJ811" t="inlineStr">
        <is>
          <t>262-633-7791</t>
        </is>
      </c>
      <c r="AK811" t="inlineStr">
        <is>
          <t>sales@masterappliance.com</t>
        </is>
      </c>
      <c r="AM811" t="inlineStr">
        <is>
          <t>https://www.masterappliance.com/contact-us/</t>
        </is>
      </c>
      <c r="AN811" t="inlineStr">
        <is>
          <t>https://www.masterappliance.com/contact-us/</t>
        </is>
      </c>
      <c r="AP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Y812" t="inlineStr">
        <is>
          <t>unknown</t>
        </is>
      </c>
      <c r="Z812" t="inlineStr"/>
      <c r="AA812" t="inlineStr"/>
      <c r="AB812" t="inlineStr"/>
      <c r="AC812" t="inlineStr"/>
      <c r="AD812" t="inlineStr">
        <is>
          <t>לא נמצא בסריקת המפיצים</t>
        </is>
      </c>
      <c r="AE812" t="inlineStr">
        <is>
          <t>סריקת אתרי מפיצים</t>
        </is>
      </c>
      <c r="AG812" t="inlineStr"/>
      <c r="AH812" t="inlineStr"/>
      <c r="AJ812" t="inlineStr"/>
      <c r="AP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Y813" t="inlineStr">
        <is>
          <t>unknown</t>
        </is>
      </c>
      <c r="Z813" t="inlineStr"/>
      <c r="AA813" t="inlineStr"/>
      <c r="AB813" t="inlineStr"/>
      <c r="AC813" t="inlineStr"/>
      <c r="AD813" t="inlineStr">
        <is>
          <t>לא נמצא בסריקת המפיצים</t>
        </is>
      </c>
      <c r="AE813" t="inlineStr">
        <is>
          <t>סריקת אתרי מפיצים</t>
        </is>
      </c>
      <c r="AG813" t="inlineStr"/>
      <c r="AH813" t="inlineStr"/>
      <c r="AJ813" t="inlineStr"/>
      <c r="AP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Y814" t="inlineStr">
        <is>
          <t>unknown</t>
        </is>
      </c>
      <c r="Z814" t="inlineStr"/>
      <c r="AA814" t="inlineStr"/>
      <c r="AB814" t="inlineStr"/>
      <c r="AC814" t="inlineStr"/>
      <c r="AD814" t="inlineStr">
        <is>
          <t>לא נמצא בסריקת המפיצים</t>
        </is>
      </c>
      <c r="AE814" t="inlineStr">
        <is>
          <t>סריקת אתרי מפיצים</t>
        </is>
      </c>
      <c r="AG814" t="inlineStr"/>
      <c r="AH814" t="inlineStr"/>
      <c r="AJ814" t="inlineStr"/>
      <c r="AP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Y815" t="inlineStr">
        <is>
          <t>unknown</t>
        </is>
      </c>
      <c r="Z815" t="inlineStr"/>
      <c r="AA815" t="inlineStr"/>
      <c r="AB815" t="inlineStr"/>
      <c r="AC815" t="inlineStr"/>
      <c r="AD815" t="inlineStr">
        <is>
          <t>לא נמצא בסריקת המפיצים</t>
        </is>
      </c>
      <c r="AE815" t="inlineStr">
        <is>
          <t>סריקת אתרי מפיצים</t>
        </is>
      </c>
      <c r="AG815" t="inlineStr"/>
      <c r="AH815" t="inlineStr"/>
      <c r="AJ815" t="inlineStr"/>
      <c r="AP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Y816" t="inlineStr">
        <is>
          <t>unknown</t>
        </is>
      </c>
      <c r="Z816" t="inlineStr"/>
      <c r="AA816" t="inlineStr"/>
      <c r="AB816" t="inlineStr"/>
      <c r="AC816" t="inlineStr"/>
      <c r="AD816" t="inlineStr">
        <is>
          <t>לא נמצא בסריקת המפיצים</t>
        </is>
      </c>
      <c r="AE816" t="inlineStr">
        <is>
          <t>סריקת אתרי מפיצים</t>
        </is>
      </c>
      <c r="AG816" t="inlineStr"/>
      <c r="AH816" t="inlineStr"/>
      <c r="AJ816" t="inlineStr"/>
      <c r="AP816" t="inlineStr">
        <is>
          <t>https://www.thomassci.com/browse-by/suppliers/mbp</t>
        </is>
      </c>
    </row>
    <row r="817">
      <c r="A817" t="n">
        <v>816</v>
      </c>
      <c r="B817" t="inlineStr">
        <is>
          <t>McKesson</t>
        </is>
      </c>
      <c r="C817" t="inlineStr">
        <is>
          <t>Q</t>
        </is>
      </c>
      <c r="F817" t="inlineStr">
        <is>
          <t>yes</t>
        </is>
      </c>
      <c r="H817" t="inlineStr">
        <is>
          <t>https://mckesson.com</t>
        </is>
      </c>
      <c r="I817" t="inlineStr">
        <is>
          <t>clearbit_verified</t>
        </is>
      </c>
      <c r="J817" t="inlineStr"/>
      <c r="Y817" t="inlineStr">
        <is>
          <t>unknown</t>
        </is>
      </c>
      <c r="Z817" t="inlineStr"/>
      <c r="AA817" t="inlineStr"/>
      <c r="AB817" t="inlineStr"/>
      <c r="AC817" t="inlineStr"/>
      <c r="AD817" t="inlineStr">
        <is>
          <t>לא נמצא בסריקת המפיצים</t>
        </is>
      </c>
      <c r="AE817" t="inlineStr">
        <is>
          <t>סריקת אתרי מפיצים</t>
        </is>
      </c>
      <c r="AG817" t="inlineStr"/>
      <c r="AH817" t="inlineStr"/>
      <c r="AJ817" t="inlineStr"/>
      <c r="AM817" t="inlineStr">
        <is>
          <t>https://www.mckesson.com/contact-us/</t>
        </is>
      </c>
      <c r="AN817" t="inlineStr">
        <is>
          <t>https://www.mckesson.com/contact-us/</t>
        </is>
      </c>
      <c r="AP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Y818" t="inlineStr">
        <is>
          <t>unknown</t>
        </is>
      </c>
      <c r="Z818" t="inlineStr"/>
      <c r="AA818" t="inlineStr"/>
      <c r="AB818" t="inlineStr"/>
      <c r="AC818" t="inlineStr"/>
      <c r="AD818" t="inlineStr">
        <is>
          <t>לא נמצא בסריקת המפיצים</t>
        </is>
      </c>
      <c r="AE818" t="inlineStr">
        <is>
          <t>סריקת אתרי מפיצים</t>
        </is>
      </c>
      <c r="AG818" t="inlineStr"/>
      <c r="AH818" t="inlineStr"/>
      <c r="AJ818" t="inlineStr"/>
      <c r="AP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Y819" t="inlineStr">
        <is>
          <t>unknown</t>
        </is>
      </c>
      <c r="Z819" t="inlineStr"/>
      <c r="AA819" t="inlineStr"/>
      <c r="AB819" t="inlineStr"/>
      <c r="AC819" t="inlineStr"/>
      <c r="AD819" t="inlineStr">
        <is>
          <t>לא נמצא בסריקת המפיצים</t>
        </is>
      </c>
      <c r="AE819" t="inlineStr">
        <is>
          <t>סריקת אתרי מפיצים</t>
        </is>
      </c>
      <c r="AG819" t="inlineStr"/>
      <c r="AH819" t="inlineStr"/>
      <c r="AJ819" t="inlineStr">
        <is>
          <t>800.955.6887</t>
        </is>
      </c>
      <c r="AK819" t="inlineStr">
        <is>
          <t>inquiries@mcrsafety.com</t>
        </is>
      </c>
      <c r="AM819" t="inlineStr">
        <is>
          <t>https://www.mcrsafety.com/catalogs-safety-guides/contact-resource-guide/</t>
        </is>
      </c>
      <c r="AN819" t="inlineStr">
        <is>
          <t>https://www.mcrsafety.com/catalogs-safety-guides/contact-resource-guide/</t>
        </is>
      </c>
      <c r="AP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Y820" t="inlineStr">
        <is>
          <t>unknown</t>
        </is>
      </c>
      <c r="Z820" t="inlineStr"/>
      <c r="AA820" t="inlineStr"/>
      <c r="AB820" t="inlineStr"/>
      <c r="AC820" t="inlineStr"/>
      <c r="AD820" t="inlineStr">
        <is>
          <t>לא נמצא בחיפוש ראשוני</t>
        </is>
      </c>
      <c r="AE820" t="inlineStr">
        <is>
          <t>חיפוש חלקי</t>
        </is>
      </c>
      <c r="AG820" t="inlineStr"/>
      <c r="AH820" t="inlineStr"/>
      <c r="AI820" t="inlineStr">
        <is>
          <t>Only company directory profiles (Harrisburg PA / Advanced Microdevices, Ambala India); no Israel information.</t>
        </is>
      </c>
      <c r="AJ820" t="inlineStr"/>
      <c r="AP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clearbit_verified</t>
        </is>
      </c>
      <c r="J821" t="inlineStr"/>
      <c r="Y821" t="inlineStr">
        <is>
          <t>unknown</t>
        </is>
      </c>
      <c r="Z821" t="inlineStr"/>
      <c r="AA821" t="inlineStr"/>
      <c r="AB821" t="inlineStr"/>
      <c r="AC821" t="inlineStr"/>
      <c r="AD821" t="inlineStr">
        <is>
          <t>לא נמצא בסריקת המפיצים</t>
        </is>
      </c>
      <c r="AE821" t="inlineStr">
        <is>
          <t>סריקת אתרי מפיצים</t>
        </is>
      </c>
      <c r="AG821" t="inlineStr"/>
      <c r="AH821" t="inlineStr"/>
      <c r="AJ821" t="inlineStr">
        <is>
          <t>609-228-6898</t>
        </is>
      </c>
      <c r="AK821" t="inlineStr">
        <is>
          <t>sales@medchemexpress.com</t>
        </is>
      </c>
      <c r="AM821" t="inlineStr">
        <is>
          <t>https://www.medchemexpress.com/contact-us.html</t>
        </is>
      </c>
      <c r="AN821" t="inlineStr">
        <is>
          <t>https://www.medchemexpress.com/contact-us.html</t>
        </is>
      </c>
      <c r="AP821" t="inlineStr">
        <is>
          <t>https://www.quartzy.com/suppliers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Y822" t="inlineStr">
        <is>
          <t>unknown</t>
        </is>
      </c>
      <c r="Z822" t="inlineStr"/>
      <c r="AA822" t="inlineStr"/>
      <c r="AB822" t="inlineStr"/>
      <c r="AC822" t="inlineStr"/>
      <c r="AD822" t="inlineStr">
        <is>
          <t>לא נמצא בסריקת המפיצים</t>
        </is>
      </c>
      <c r="AE822" t="inlineStr">
        <is>
          <t>סריקת אתרי מפיצים</t>
        </is>
      </c>
      <c r="AG822" t="inlineStr"/>
      <c r="AH822" t="inlineStr"/>
      <c r="AJ822" t="inlineStr"/>
      <c r="AP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Y823" t="inlineStr">
        <is>
          <t>unknown</t>
        </is>
      </c>
      <c r="Z823" t="inlineStr"/>
      <c r="AA823" t="inlineStr"/>
      <c r="AB823" t="inlineStr"/>
      <c r="AC823" t="inlineStr"/>
      <c r="AD823" t="inlineStr">
        <is>
          <t>לא נמצא בסריקת המפיצים</t>
        </is>
      </c>
      <c r="AE823" t="inlineStr">
        <is>
          <t>סריקת אתרי מפיצים</t>
        </is>
      </c>
      <c r="AG823" t="inlineStr"/>
      <c r="AH823" t="inlineStr"/>
      <c r="AJ823" t="inlineStr">
        <is>
          <t>1-800-645-7042</t>
        </is>
      </c>
      <c r="AM823" t="inlineStr">
        <is>
          <t>https://www.halyardhealth.com/customer-support</t>
        </is>
      </c>
      <c r="AN823" t="inlineStr">
        <is>
          <t>https://www.halyardhealth.com/customer-support</t>
        </is>
      </c>
      <c r="AP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Y824" t="inlineStr">
        <is>
          <t>unknown</t>
        </is>
      </c>
      <c r="Z824" t="inlineStr"/>
      <c r="AA824" t="inlineStr"/>
      <c r="AB824" t="inlineStr"/>
      <c r="AC824" t="inlineStr"/>
      <c r="AD824" t="inlineStr">
        <is>
          <t>לא נמצא בסריקת המפיצים</t>
        </is>
      </c>
      <c r="AE824" t="inlineStr">
        <is>
          <t>סריקת אתרי מפיצים</t>
        </is>
      </c>
      <c r="AG824" t="inlineStr"/>
      <c r="AH824" t="inlineStr"/>
      <c r="AJ824" t="inlineStr"/>
      <c r="AP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Y825" t="inlineStr">
        <is>
          <t>unknown</t>
        </is>
      </c>
      <c r="Z825" t="inlineStr"/>
      <c r="AA825" t="inlineStr"/>
      <c r="AB825" t="inlineStr"/>
      <c r="AC825" t="inlineStr"/>
      <c r="AD825" t="inlineStr">
        <is>
          <t>לא נמצא בסריקת המפיצים</t>
        </is>
      </c>
      <c r="AE825" t="inlineStr">
        <is>
          <t>סריקת אתרי מפיצים</t>
        </is>
      </c>
      <c r="AG825" t="inlineStr"/>
      <c r="AH825" t="inlineStr"/>
      <c r="AJ825" t="inlineStr"/>
      <c r="AP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Y826" t="inlineStr">
        <is>
          <t>unknown</t>
        </is>
      </c>
      <c r="Z826" t="inlineStr"/>
      <c r="AA826" t="inlineStr"/>
      <c r="AB826" t="inlineStr"/>
      <c r="AC826" t="inlineStr"/>
      <c r="AD826" t="inlineStr">
        <is>
          <t>לא נמצא בסריקת המפיצים</t>
        </is>
      </c>
      <c r="AE826" t="inlineStr">
        <is>
          <t>סריקת אתרי מפיצים</t>
        </is>
      </c>
      <c r="AG826" t="inlineStr"/>
      <c r="AH826" t="inlineStr"/>
      <c r="AJ826" t="inlineStr">
        <is>
          <t>+1-404-855-3655</t>
        </is>
      </c>
      <c r="AK826" t="inlineStr">
        <is>
          <t>orders@medipurpose.com</t>
        </is>
      </c>
      <c r="AM826" t="inlineStr">
        <is>
          <t>https://medipurpose.com/contact/</t>
        </is>
      </c>
      <c r="AN826" t="inlineStr">
        <is>
          <t>https://medipurpose.com/contact/</t>
        </is>
      </c>
      <c r="AP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Y827" t="inlineStr">
        <is>
          <t>unknown</t>
        </is>
      </c>
      <c r="Z827" t="inlineStr"/>
      <c r="AA827" t="inlineStr"/>
      <c r="AB827" t="inlineStr"/>
      <c r="AC827" t="inlineStr"/>
      <c r="AD827" t="inlineStr">
        <is>
          <t>לא נמצא בסריקת המפיצים</t>
        </is>
      </c>
      <c r="AE827" t="inlineStr">
        <is>
          <t>סריקת אתרי מפיצים</t>
        </is>
      </c>
      <c r="AG827" t="inlineStr"/>
      <c r="AH827" t="inlineStr"/>
      <c r="AJ827" t="inlineStr"/>
      <c r="AK827" t="inlineStr">
        <is>
          <t>sales@medisca.com</t>
        </is>
      </c>
      <c r="AN827" t="inlineStr">
        <is>
          <t>https://www.medisca.com/regions</t>
        </is>
      </c>
      <c r="AP827" t="inlineStr">
        <is>
          <t>https://www.thomassci.com/browse-by/suppliers/medisca | https://www.medisca.com/regions</t>
        </is>
      </c>
    </row>
    <row r="828">
      <c r="A828" t="n">
        <v>827</v>
      </c>
      <c r="B828" t="inlineStr">
        <is>
          <t>MedKoo Biosciences</t>
        </is>
      </c>
      <c r="C828" t="inlineStr">
        <is>
          <t>Q</t>
        </is>
      </c>
      <c r="F828" t="inlineStr">
        <is>
          <t>yes</t>
        </is>
      </c>
      <c r="J828" t="inlineStr"/>
      <c r="Y828" t="inlineStr">
        <is>
          <t>unknown</t>
        </is>
      </c>
      <c r="Z828" t="inlineStr"/>
      <c r="AA828" t="inlineStr"/>
      <c r="AB828" t="inlineStr"/>
      <c r="AC828" t="inlineStr"/>
      <c r="AD828" t="inlineStr">
        <is>
          <t>מפיץ/נציג בישראל</t>
        </is>
      </c>
      <c r="AE828" t="inlineStr">
        <is>
          <t>סריקת אתרי מפיצים</t>
        </is>
      </c>
      <c r="AF828" t="n">
        <v>2026</v>
      </c>
      <c r="AG828" t="inlineStr">
        <is>
          <t>distributor of Recombinant Proteins, Antibodies, Cell Line, ELISA Kit</t>
        </is>
      </c>
      <c r="AH828" t="inlineStr">
        <is>
          <t>distributor of Recombinant Proteins, Antibodies, Cell Line, ELISA Kit: 054-5544004 info@doronscientific.com</t>
        </is>
      </c>
      <c r="AJ828" t="inlineStr"/>
      <c r="AP828" t="inlineStr">
        <is>
          <t>https://www.quartzy.com/suppliers | https://doronscientific.com/products/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Y829" t="inlineStr">
        <is>
          <t>unknown</t>
        </is>
      </c>
      <c r="Z829" t="inlineStr"/>
      <c r="AA829" t="inlineStr"/>
      <c r="AB829" t="inlineStr"/>
      <c r="AC829" t="inlineStr"/>
      <c r="AD829" t="inlineStr">
        <is>
          <t>לא נמצא בחיפוש ראשוני</t>
        </is>
      </c>
      <c r="AE829" t="inlineStr">
        <is>
          <t>חיפוש חלקי</t>
        </is>
      </c>
      <c r="AG829" t="inlineStr"/>
      <c r="AH829" t="inlineStr"/>
      <c r="AI829" t="inlineStr">
        <is>
          <t>Medline Industries (Northfield, IL) profiles cite 90-125 countries but no Israel channel appeared. Target website medline.org.ua is wrong.</t>
        </is>
      </c>
      <c r="AJ829" t="inlineStr"/>
      <c r="AP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Y830" t="inlineStr">
        <is>
          <t>unknown</t>
        </is>
      </c>
      <c r="Z830" t="inlineStr"/>
      <c r="AA830" t="inlineStr"/>
      <c r="AB830" t="inlineStr"/>
      <c r="AC830" t="inlineStr"/>
      <c r="AD830" t="inlineStr">
        <is>
          <t>לא נמצא בסריקת המפיצים</t>
        </is>
      </c>
      <c r="AE830" t="inlineStr">
        <is>
          <t>סריקת אתרי מפיצים</t>
        </is>
      </c>
      <c r="AG830" t="inlineStr"/>
      <c r="AH830" t="inlineStr"/>
      <c r="AJ830" t="inlineStr">
        <is>
          <t>9413593129</t>
        </is>
      </c>
      <c r="AM830" t="inlineStr">
        <is>
          <t>https://medone.com/contact/#contact</t>
        </is>
      </c>
      <c r="AN830" t="inlineStr">
        <is>
          <t>https://medone.com/contact/#contact</t>
        </is>
      </c>
      <c r="AP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Y831" t="inlineStr">
        <is>
          <t>unknown</t>
        </is>
      </c>
      <c r="Z831" t="inlineStr"/>
      <c r="AA831" t="inlineStr"/>
      <c r="AB831" t="inlineStr"/>
      <c r="AC831" t="inlineStr"/>
      <c r="AD831" t="inlineStr">
        <is>
          <t>לא נמצא בסריקת המפיצים</t>
        </is>
      </c>
      <c r="AE831" t="inlineStr">
        <is>
          <t>סריקת אתרי מפיצים</t>
        </is>
      </c>
      <c r="AG831" t="inlineStr"/>
      <c r="AH831" t="inlineStr"/>
      <c r="AJ831" t="inlineStr"/>
      <c r="AP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Y832" t="inlineStr">
        <is>
          <t>unknown</t>
        </is>
      </c>
      <c r="Z832" t="inlineStr"/>
      <c r="AA832" t="inlineStr"/>
      <c r="AB832" t="inlineStr"/>
      <c r="AC832" t="inlineStr"/>
      <c r="AD832" t="inlineStr">
        <is>
          <t>לא נמצא בסריקת המפיצים</t>
        </is>
      </c>
      <c r="AE832" t="inlineStr">
        <is>
          <t>סריקת אתרי מפיצים</t>
        </is>
      </c>
      <c r="AG832" t="inlineStr"/>
      <c r="AH832" t="inlineStr"/>
      <c r="AJ832" t="inlineStr"/>
      <c r="AP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P833" t="n">
        <v>550</v>
      </c>
      <c r="Q833" t="n">
        <v>2024</v>
      </c>
      <c r="R833" t="inlineStr">
        <is>
          <t>company</t>
        </is>
      </c>
      <c r="S833" t="inlineStr">
        <is>
          <t>prior</t>
        </is>
      </c>
      <c r="T833" t="n">
        <v>93.2</v>
      </c>
      <c r="U833" t="inlineStr">
        <is>
          <t>EUR 84.7 million</t>
        </is>
      </c>
      <c r="V833" t="inlineStr">
        <is>
          <t>FY2024</t>
        </is>
      </c>
      <c r="W833" t="inlineStr">
        <is>
          <t>company</t>
        </is>
      </c>
      <c r="X833" t="inlineStr">
        <is>
          <t>prior</t>
        </is>
      </c>
      <c r="Y833" t="inlineStr">
        <is>
          <t>mixed</t>
        </is>
      </c>
      <c r="Z833" t="inlineStr">
        <is>
          <t>UN / UF series</t>
        </is>
      </c>
      <c r="AA833" t="inlineStr">
        <is>
          <t>IN / IF / ICO series</t>
        </is>
      </c>
      <c r="AB833" t="inlineStr">
        <is>
          <t>HPP / ICH series</t>
        </is>
      </c>
      <c r="AC833" t="inlineStr">
        <is>
          <t>prior</t>
        </is>
      </c>
      <c r="AD833" t="inlineStr">
        <is>
          <t>מפיץ/נציג בישראל</t>
        </is>
      </c>
      <c r="AE833" t="inlineStr">
        <is>
          <t>אומת</t>
        </is>
      </c>
      <c r="AF833" t="n">
        <v>2026</v>
      </c>
      <c r="AG833" t="inlineStr">
        <is>
          <t>Medent Scientific Instruments</t>
        </is>
      </c>
      <c r="AH833" t="inlineStr">
        <is>
          <t>Medent Scientific Instruments: +972 72-395-0508 (sales); +972 8-683-6306 (service) info@medent.co.il</t>
        </is>
      </c>
      <c r="AI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J833" t="inlineStr">
        <is>
          <t>+49 9122 925-0</t>
        </is>
      </c>
      <c r="AK833" t="inlineStr">
        <is>
          <t>sales@memmert.com</t>
        </is>
      </c>
      <c r="AL833" t="inlineStr">
        <is>
          <t>Äußere Rittersbacher Straße 38, 91126 Schwabach, Germany</t>
        </is>
      </c>
      <c r="AN833" t="inlineStr">
        <is>
          <t>https://arablab.german-pavilion.com/en/sites/exhibitors/145084</t>
        </is>
      </c>
      <c r="AP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t>
        </is>
      </c>
    </row>
    <row r="834">
      <c r="A834" t="n">
        <v>833</v>
      </c>
      <c r="B834" t="inlineStr">
        <is>
          <t>Menda</t>
        </is>
      </c>
      <c r="C834" t="inlineStr">
        <is>
          <t>T</t>
        </is>
      </c>
      <c r="E834" t="inlineStr">
        <is>
          <t>https://www.thomassci.com/browse-by/suppliers/menda</t>
        </is>
      </c>
      <c r="F834" t="inlineStr"/>
      <c r="J834" t="inlineStr"/>
      <c r="Y834" t="inlineStr">
        <is>
          <t>unknown</t>
        </is>
      </c>
      <c r="Z834" t="inlineStr"/>
      <c r="AA834" t="inlineStr"/>
      <c r="AB834" t="inlineStr"/>
      <c r="AC834" t="inlineStr"/>
      <c r="AD834" t="inlineStr">
        <is>
          <t>לא נמצא בסריקת המפיצים</t>
        </is>
      </c>
      <c r="AE834" t="inlineStr">
        <is>
          <t>סריקת אתרי מפיצים</t>
        </is>
      </c>
      <c r="AG834" t="inlineStr"/>
      <c r="AH834" t="inlineStr"/>
      <c r="AJ834" t="inlineStr"/>
      <c r="AP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Y835" t="inlineStr">
        <is>
          <t>unknown</t>
        </is>
      </c>
      <c r="Z835" t="inlineStr"/>
      <c r="AA835" t="inlineStr"/>
      <c r="AB835" t="inlineStr"/>
      <c r="AC835" t="inlineStr"/>
      <c r="AD835" t="inlineStr">
        <is>
          <t>לא נמצא בחיפוש ראשוני</t>
        </is>
      </c>
      <c r="AE835" t="inlineStr">
        <is>
          <t>חיפוש חלקי</t>
        </is>
      </c>
      <c r="AG835" t="inlineStr"/>
      <c r="AH835" t="inlineStr"/>
      <c r="AI835" t="inlineStr">
        <is>
          <t>Mercedes Medical / Mercedes Scientific (Sarasota and Lakewood Ranch, FL; a BD distributor) results are all US; Israeli hits (Medtechnica, Eldan, A.L. Medi-Market) are not linked to it.</t>
        </is>
      </c>
      <c r="AJ835" t="inlineStr"/>
      <c r="AN835" t="inlineStr">
        <is>
          <t>https://www.mercedesscientific.com</t>
        </is>
      </c>
      <c r="AP835" t="inlineStr">
        <is>
          <t>https://www.quartzy.com/suppliers | https://www.thomassci.com/browse-by/suppliers/mercedes-medical | https://www.mercedesscientific.com</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P836" t="n">
        <v>62461</v>
      </c>
      <c r="Q836" t="n">
        <v>2025</v>
      </c>
      <c r="R836" t="inlineStr">
        <is>
          <t>parent</t>
        </is>
      </c>
      <c r="S836" t="inlineStr">
        <is>
          <t>prior</t>
        </is>
      </c>
      <c r="T836" t="n">
        <v>9900</v>
      </c>
      <c r="U836" t="inlineStr">
        <is>
          <t>EUR 9.0 billion</t>
        </is>
      </c>
      <c r="V836" t="inlineStr">
        <is>
          <t>FY2025</t>
        </is>
      </c>
      <c r="W836" t="inlineStr">
        <is>
          <t>segment</t>
        </is>
      </c>
      <c r="X836" t="inlineStr">
        <is>
          <t>prior</t>
        </is>
      </c>
      <c r="Y836" t="inlineStr">
        <is>
          <t>reported</t>
        </is>
      </c>
      <c r="Z836" t="inlineStr">
        <is>
          <t>Milli-Q</t>
        </is>
      </c>
      <c r="AA836" t="inlineStr">
        <is>
          <t>Millipore filtration (Millex, Stericup, Mobius)</t>
        </is>
      </c>
      <c r="AB836" t="inlineStr">
        <is>
          <t>Sigma-Aldrich research chemicals</t>
        </is>
      </c>
      <c r="AC836" t="inlineStr">
        <is>
          <t>prior</t>
        </is>
      </c>
      <c r="AD836" t="inlineStr">
        <is>
          <t>חברה-בת בישראל</t>
        </is>
      </c>
      <c r="AE836" t="inlineStr">
        <is>
          <t>חיפוש חלקי</t>
        </is>
      </c>
      <c r="AF836" t="n">
        <v>2026</v>
      </c>
      <c r="AG836" t="inlineStr">
        <is>
          <t>Sigma-Aldrich Israel Ltd. (affiliate of Merck KGaA, Darmstadt); Mercury Scientific &amp; Industrial Products Ltd. (Gadot group)</t>
        </is>
      </c>
      <c r="AH836" t="inlineStr">
        <is>
          <t>Sigma-Aldrich Israel Ltd. (affiliate of Merck KGaA, Darmstadt): +972-8-9484222 / +972-8-9484100 isrcustserv@merckgroup.com; isrtechserv@merckgroup.com; Mercury Scientific &amp; Industrial Products Ltd. (Gadot group): +972 3-938-7164</t>
        </is>
      </c>
      <c r="AI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36" t="inlineStr">
        <is>
          <t>+972 8 948 4222 / +972 8 948 4100</t>
        </is>
      </c>
      <c r="AK836" t="inlineStr">
        <is>
          <t>isrcustserv@merckgroup.com</t>
        </is>
      </c>
      <c r="AL836" t="inlineStr">
        <is>
          <t>3 Plaut St., Rehovot 7670603, Israel</t>
        </is>
      </c>
      <c r="AM836" t="inlineStr">
        <is>
          <t>https://www.sigmaaldrich.com/collections/offices</t>
        </is>
      </c>
      <c r="AN836" t="inlineStr">
        <is>
          <t>https://www.sigmaaldrich.com/collections/offices</t>
        </is>
      </c>
      <c r="AP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37">
      <c r="A837" t="n">
        <v>836</v>
      </c>
      <c r="B837" t="inlineStr">
        <is>
          <t>Mercodia</t>
        </is>
      </c>
      <c r="C837" t="inlineStr">
        <is>
          <t>Q</t>
        </is>
      </c>
      <c r="F837" t="inlineStr">
        <is>
          <t>yes</t>
        </is>
      </c>
      <c r="H837" t="inlineStr">
        <is>
          <t>https://mercodia.com</t>
        </is>
      </c>
      <c r="I837" t="inlineStr">
        <is>
          <t>clearbit_verified</t>
        </is>
      </c>
      <c r="J837" t="inlineStr"/>
      <c r="Y837" t="inlineStr">
        <is>
          <t>unknown</t>
        </is>
      </c>
      <c r="Z837" t="inlineStr"/>
      <c r="AA837" t="inlineStr"/>
      <c r="AB837" t="inlineStr"/>
      <c r="AC837" t="inlineStr"/>
      <c r="AD837" t="inlineStr">
        <is>
          <t>לא נמצא בסריקת המפיצים</t>
        </is>
      </c>
      <c r="AE837" t="inlineStr">
        <is>
          <t>סריקת אתרי מפיצים</t>
        </is>
      </c>
      <c r="AG837" t="inlineStr"/>
      <c r="AH837" t="inlineStr"/>
      <c r="AJ837" t="inlineStr">
        <is>
          <t>(+46) 72 292 15 14</t>
        </is>
      </c>
      <c r="AK837" t="inlineStr">
        <is>
          <t>support@mercodia.com</t>
        </is>
      </c>
      <c r="AM837" t="inlineStr">
        <is>
          <t>https://www.mercodia.com/contact-us/</t>
        </is>
      </c>
      <c r="AN837" t="inlineStr">
        <is>
          <t>https://www.mercodia.com/contact-us/</t>
        </is>
      </c>
      <c r="AP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Y838" t="inlineStr">
        <is>
          <t>unknown</t>
        </is>
      </c>
      <c r="Z838" t="inlineStr"/>
      <c r="AA838" t="inlineStr"/>
      <c r="AB838" t="inlineStr"/>
      <c r="AC838" t="inlineStr"/>
      <c r="AD838" t="inlineStr">
        <is>
          <t>לא נמצא בסריקת המפיצים</t>
        </is>
      </c>
      <c r="AE838" t="inlineStr">
        <is>
          <t>סריקת אתרי מפיצים</t>
        </is>
      </c>
      <c r="AG838" t="inlineStr"/>
      <c r="AH838" t="inlineStr"/>
      <c r="AJ838" t="inlineStr"/>
      <c r="AP838" t="inlineStr">
        <is>
          <t>https://www.thomassci.com/browse-by/suppliers/meridian-bioline</t>
        </is>
      </c>
    </row>
    <row r="839">
      <c r="A839" t="n">
        <v>838</v>
      </c>
      <c r="B839" t="inlineStr">
        <is>
          <t>Meridian Life Science</t>
        </is>
      </c>
      <c r="C839" t="inlineStr">
        <is>
          <t>Q</t>
        </is>
      </c>
      <c r="F839" t="inlineStr">
        <is>
          <t>yes</t>
        </is>
      </c>
      <c r="J839" t="inlineStr"/>
      <c r="Y839" t="inlineStr">
        <is>
          <t>unknown</t>
        </is>
      </c>
      <c r="Z839" t="inlineStr"/>
      <c r="AA839" t="inlineStr"/>
      <c r="AB839" t="inlineStr"/>
      <c r="AC839" t="inlineStr"/>
      <c r="AD839" t="inlineStr">
        <is>
          <t>לא נמצא בסריקת המפיצים</t>
        </is>
      </c>
      <c r="AE839" t="inlineStr">
        <is>
          <t>סריקת אתרי מפיצים</t>
        </is>
      </c>
      <c r="AG839" t="inlineStr"/>
      <c r="AH839" t="inlineStr"/>
      <c r="AJ839" t="inlineStr"/>
      <c r="AP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Y840" t="inlineStr">
        <is>
          <t>unknown</t>
        </is>
      </c>
      <c r="Z840" t="inlineStr"/>
      <c r="AA840" t="inlineStr"/>
      <c r="AB840" t="inlineStr"/>
      <c r="AC840" t="inlineStr"/>
      <c r="AD840" t="inlineStr">
        <is>
          <t>לא נמצא בסריקת המפיצים</t>
        </is>
      </c>
      <c r="AE840" t="inlineStr">
        <is>
          <t>סריקת אתרי מפיצים</t>
        </is>
      </c>
      <c r="AG840" t="inlineStr"/>
      <c r="AH840" t="inlineStr"/>
      <c r="AJ840" t="inlineStr">
        <is>
          <t>(800) 421-9657</t>
        </is>
      </c>
      <c r="AM840" t="inlineStr">
        <is>
          <t>https://www.meritpharm.com/contact/</t>
        </is>
      </c>
      <c r="AN840" t="inlineStr">
        <is>
          <t>https://www.meritpharm.com/contact/</t>
        </is>
      </c>
      <c r="AP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Y841" t="inlineStr">
        <is>
          <t>unknown</t>
        </is>
      </c>
      <c r="Z841" t="inlineStr"/>
      <c r="AA841" t="inlineStr"/>
      <c r="AB841" t="inlineStr"/>
      <c r="AC841" t="inlineStr"/>
      <c r="AD841" t="inlineStr">
        <is>
          <t>לא נמצא בסריקת המפיצים</t>
        </is>
      </c>
      <c r="AE841" t="inlineStr">
        <is>
          <t>סריקת אתרי מפיצים</t>
        </is>
      </c>
      <c r="AG841" t="inlineStr"/>
      <c r="AH841" t="inlineStr"/>
      <c r="AJ841" t="inlineStr">
        <is>
          <t>+18009327707</t>
        </is>
      </c>
      <c r="AK841" t="inlineStr">
        <is>
          <t>sales@meritech.com</t>
        </is>
      </c>
      <c r="AM841" t="inlineStr">
        <is>
          <t>https://www.meritech.com/contact/</t>
        </is>
      </c>
      <c r="AN841" t="inlineStr">
        <is>
          <t>https://www.meritech.com/contact/</t>
        </is>
      </c>
      <c r="AP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Y842" t="inlineStr">
        <is>
          <t>unknown</t>
        </is>
      </c>
      <c r="Z842" t="inlineStr"/>
      <c r="AA842" t="inlineStr"/>
      <c r="AB842" t="inlineStr"/>
      <c r="AC842" t="inlineStr"/>
      <c r="AD842" t="inlineStr">
        <is>
          <t>לא נמצא בסריקת המפיצים</t>
        </is>
      </c>
      <c r="AE842" t="inlineStr">
        <is>
          <t>סריקת אתרי מפיצים</t>
        </is>
      </c>
      <c r="AG842" t="inlineStr"/>
      <c r="AH842" t="inlineStr"/>
      <c r="AJ842" t="inlineStr">
        <is>
          <t>303-987-8000</t>
        </is>
      </c>
      <c r="AK842" t="inlineStr">
        <is>
          <t>customerservice@mesalabs.com</t>
        </is>
      </c>
      <c r="AM842" t="inlineStr">
        <is>
          <t>https://mesalabs.com/contact</t>
        </is>
      </c>
      <c r="AN842" t="inlineStr">
        <is>
          <t>https://mesalabs.com/contact</t>
        </is>
      </c>
      <c r="AP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Y843" t="inlineStr">
        <is>
          <t>unknown</t>
        </is>
      </c>
      <c r="Z843" t="inlineStr"/>
      <c r="AA843" t="inlineStr"/>
      <c r="AB843" t="inlineStr"/>
      <c r="AC843" t="inlineStr"/>
      <c r="AD843" t="inlineStr">
        <is>
          <t>לא נמצא בסריקת המפיצים</t>
        </is>
      </c>
      <c r="AE843" t="inlineStr">
        <is>
          <t>סריקת אתרי מפיצים</t>
        </is>
      </c>
      <c r="AG843" t="inlineStr"/>
      <c r="AH843" t="inlineStr"/>
      <c r="AJ843" t="inlineStr"/>
      <c r="AP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Y844" t="inlineStr">
        <is>
          <t>unknown</t>
        </is>
      </c>
      <c r="Z844" t="inlineStr"/>
      <c r="AA844" t="inlineStr"/>
      <c r="AB844" t="inlineStr"/>
      <c r="AC844" t="inlineStr"/>
      <c r="AD844" t="inlineStr">
        <is>
          <t>לא נמצא בסריקת המפיצים</t>
        </is>
      </c>
      <c r="AE844" t="inlineStr">
        <is>
          <t>סריקת אתרי מפיצים</t>
        </is>
      </c>
      <c r="AG844" t="inlineStr"/>
      <c r="AH844" t="inlineStr"/>
      <c r="AJ844" t="inlineStr"/>
      <c r="AP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Y845" t="inlineStr">
        <is>
          <t>unknown</t>
        </is>
      </c>
      <c r="Z845" t="inlineStr"/>
      <c r="AA845" t="inlineStr"/>
      <c r="AB845" t="inlineStr"/>
      <c r="AC845" t="inlineStr"/>
      <c r="AD845" t="inlineStr">
        <is>
          <t>לא נמצא בסריקת המפיצים</t>
        </is>
      </c>
      <c r="AE845" t="inlineStr">
        <is>
          <t>סריקת אתרי מפיצים</t>
        </is>
      </c>
      <c r="AG845" t="inlineStr"/>
      <c r="AH845" t="inlineStr"/>
      <c r="AJ845" t="inlineStr">
        <is>
          <t>(800) 841-1428</t>
        </is>
      </c>
      <c r="AK845" t="inlineStr">
        <is>
          <t>info@metrex.com</t>
        </is>
      </c>
      <c r="AM845" t="inlineStr">
        <is>
          <t>https://www.metrex.com/en-us/contact-us</t>
        </is>
      </c>
      <c r="AN845" t="inlineStr">
        <is>
          <t>https://www.metrex.com/en-us/contact-us</t>
        </is>
      </c>
      <c r="AP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Y846" t="inlineStr">
        <is>
          <t>unknown</t>
        </is>
      </c>
      <c r="Z846" t="inlineStr"/>
      <c r="AA846" t="inlineStr"/>
      <c r="AB846" t="inlineStr"/>
      <c r="AC846" t="inlineStr"/>
      <c r="AD846" t="inlineStr">
        <is>
          <t>לא נמצא בסריקת המפיצים</t>
        </is>
      </c>
      <c r="AE846" t="inlineStr">
        <is>
          <t>סריקת אתרי מפיצים</t>
        </is>
      </c>
      <c r="AG846" t="inlineStr"/>
      <c r="AH846" t="inlineStr"/>
      <c r="AJ846" t="inlineStr"/>
      <c r="AP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Swiss scientific instrument company</t>
        </is>
      </c>
      <c r="P847" t="n">
        <v>3200</v>
      </c>
      <c r="Q847" t="n">
        <v>2024</v>
      </c>
      <c r="R847" t="inlineStr">
        <is>
          <t>company</t>
        </is>
      </c>
      <c r="S847" t="inlineStr">
        <is>
          <t>prior</t>
        </is>
      </c>
      <c r="T847" t="n">
        <v>640</v>
      </c>
      <c r="U847" t="inlineStr">
        <is>
          <t>CHF ~550 million (trade estimate; foundation-owned)</t>
        </is>
      </c>
      <c r="V847" t="inlineStr">
        <is>
          <t>2024 (estimate)</t>
        </is>
      </c>
      <c r="W847" t="inlineStr">
        <is>
          <t>estimate</t>
        </is>
      </c>
      <c r="X847" t="inlineStr">
        <is>
          <t>prior</t>
        </is>
      </c>
      <c r="Y847" t="inlineStr">
        <is>
          <t>mixed</t>
        </is>
      </c>
      <c r="Z847" t="inlineStr">
        <is>
          <t>OMNIS</t>
        </is>
      </c>
      <c r="AA847" t="inlineStr">
        <is>
          <t>940 Professional IC Vario / Eco IC</t>
        </is>
      </c>
      <c r="AB847" t="inlineStr">
        <is>
          <t>Autolab PGSTAT204 / PGSTAT302N</t>
        </is>
      </c>
      <c r="AC847" t="inlineStr">
        <is>
          <t>prior</t>
        </is>
      </c>
      <c r="AD847" t="inlineStr">
        <is>
          <t>מפיץ/נציג בישראל</t>
        </is>
      </c>
      <c r="AE847" t="inlineStr">
        <is>
          <t>אומת</t>
        </is>
      </c>
      <c r="AF847" t="n">
        <v>2025</v>
      </c>
      <c r="AG847" t="inlineStr">
        <is>
          <t>Israel Scientific Instruments Ltd. (ISI)</t>
        </is>
      </c>
      <c r="AH847" t="inlineStr">
        <is>
          <t>Israel Scientific Instruments Ltd. (ISI): +972 3-923-2202 info@isil.co.il</t>
        </is>
      </c>
      <c r="AI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J847" t="inlineStr">
        <is>
          <t>+41 71 353 85 85</t>
        </is>
      </c>
      <c r="AK847" t="inlineStr">
        <is>
          <t>info@metrohm.com</t>
        </is>
      </c>
      <c r="AL847" t="inlineStr">
        <is>
          <t>Ionenstrasse, 9100 Herisau, Switzerland</t>
        </is>
      </c>
      <c r="AM847" t="inlineStr">
        <is>
          <t>https://www.metrohm.com/en/company/how-to-find-us.html</t>
        </is>
      </c>
      <c r="AN847" t="inlineStr">
        <is>
          <t>https://www.metrohm.com/en/Company-info.html</t>
        </is>
      </c>
      <c r="AO847" t="inlineStr">
        <is>
          <t>Q1925733</t>
        </is>
      </c>
      <c r="AP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https://www.metrohm.com/en_us.html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public company</t>
        </is>
      </c>
      <c r="P848" t="n">
        <v>18100</v>
      </c>
      <c r="Q848" t="n">
        <v>2025</v>
      </c>
      <c r="R848" t="inlineStr">
        <is>
          <t>company</t>
        </is>
      </c>
      <c r="S848" t="inlineStr">
        <is>
          <t>prior</t>
        </is>
      </c>
      <c r="T848" t="n">
        <v>4026</v>
      </c>
      <c r="U848" t="inlineStr">
        <is>
          <t>USD 4.026 billion</t>
        </is>
      </c>
      <c r="V848" t="inlineStr">
        <is>
          <t>FY2025</t>
        </is>
      </c>
      <c r="W848" t="inlineStr">
        <is>
          <t>company</t>
        </is>
      </c>
      <c r="X848" t="inlineStr">
        <is>
          <t>prior</t>
        </is>
      </c>
      <c r="Y848" t="inlineStr">
        <is>
          <t>reported</t>
        </is>
      </c>
      <c r="Z848" t="inlineStr">
        <is>
          <t>XPR analytical &amp; micro balances</t>
        </is>
      </c>
      <c r="AA848" t="inlineStr">
        <is>
          <t>Rainin Pipet-Lite XLS / E4 XLS</t>
        </is>
      </c>
      <c r="AB848" t="inlineStr">
        <is>
          <t>Excellence Titrators &amp; SevenExcellence meters</t>
        </is>
      </c>
      <c r="AC848" t="inlineStr">
        <is>
          <t>prior</t>
        </is>
      </c>
      <c r="AD848" t="inlineStr">
        <is>
          <t>מפיץ/נציג בישראל</t>
        </is>
      </c>
      <c r="AE848" t="inlineStr">
        <is>
          <t>אומת</t>
        </is>
      </c>
      <c r="AF848" t="n">
        <v>2026</v>
      </c>
      <c r="AG848" t="inlineStr">
        <is>
          <t>Agentek (1987) Ltd.; Modcon Systems Ltd.; Dinco Ltd.</t>
        </is>
      </c>
      <c r="AH848" t="inlineStr">
        <is>
          <t>Agentek (1987) Ltd.: +972 9-965-7000; Modcon Systems Ltd.: +972-4-9553955; Dinco Ltd.:</t>
        </is>
      </c>
      <c r="AI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848" t="inlineStr">
        <is>
          <t>+1 614-438-4511</t>
        </is>
      </c>
      <c r="AL848" t="inlineStr">
        <is>
          <t>1900 Polaris Parkway, Columbus, OH 43240, USA</t>
        </is>
      </c>
      <c r="AN848" t="inlineStr">
        <is>
          <t>https://s202.q4cdn.com/258391627/files/doc_financials/2014-Annual-Report.pdf</t>
        </is>
      </c>
      <c r="AO848" t="inlineStr">
        <is>
          <t>Q680186</t>
        </is>
      </c>
      <c r="AP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Y849" t="inlineStr">
        <is>
          <t>unknown</t>
        </is>
      </c>
      <c r="Z849" t="inlineStr"/>
      <c r="AA849" t="inlineStr"/>
      <c r="AB849" t="inlineStr"/>
      <c r="AC849" t="inlineStr"/>
      <c r="AD849" t="inlineStr">
        <is>
          <t>לא נמצא בסריקת המפיצים</t>
        </is>
      </c>
      <c r="AE849" t="inlineStr">
        <is>
          <t>סריקת אתרי מפיצים</t>
        </is>
      </c>
      <c r="AG849" t="inlineStr"/>
      <c r="AH849" t="inlineStr"/>
      <c r="AJ849" t="inlineStr">
        <is>
          <t>8773584342</t>
        </is>
      </c>
      <c r="AK849" t="inlineStr">
        <is>
          <t>info@mhcmed.com</t>
        </is>
      </c>
      <c r="AM849" t="inlineStr">
        <is>
          <t>https://mhcmed.com/contact-us/</t>
        </is>
      </c>
      <c r="AN849" t="inlineStr">
        <is>
          <t>https://mhcmed.com/contact-us/</t>
        </is>
      </c>
      <c r="AP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Y850" t="inlineStr">
        <is>
          <t>unknown</t>
        </is>
      </c>
      <c r="Z850" t="inlineStr"/>
      <c r="AA850" t="inlineStr"/>
      <c r="AB850" t="inlineStr"/>
      <c r="AC850" t="inlineStr"/>
      <c r="AD850" t="inlineStr">
        <is>
          <t>לא נמצא בסריקת המפיצים</t>
        </is>
      </c>
      <c r="AE850" t="inlineStr">
        <is>
          <t>סריקת אתרי מפיצים</t>
        </is>
      </c>
      <c r="AG850" t="inlineStr"/>
      <c r="AH850" t="inlineStr"/>
      <c r="AJ850" t="inlineStr"/>
      <c r="AP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Y851" t="inlineStr">
        <is>
          <t>unknown</t>
        </is>
      </c>
      <c r="Z851" t="inlineStr"/>
      <c r="AA851" t="inlineStr"/>
      <c r="AB851" t="inlineStr"/>
      <c r="AC851" t="inlineStr"/>
      <c r="AD851" t="inlineStr">
        <is>
          <t>לא נמצא בסריקת המפיצים</t>
        </is>
      </c>
      <c r="AE851" t="inlineStr">
        <is>
          <t>סריקת אתרי מפיצים</t>
        </is>
      </c>
      <c r="AG851" t="inlineStr"/>
      <c r="AH851" t="inlineStr"/>
      <c r="AJ851" t="inlineStr">
        <is>
          <t>+18882532536</t>
        </is>
      </c>
      <c r="AK851" t="inlineStr">
        <is>
          <t>info@micro-scientific.com</t>
        </is>
      </c>
      <c r="AM851" t="inlineStr">
        <is>
          <t>https://micro-scientific.com/contact-us</t>
        </is>
      </c>
      <c r="AN851" t="inlineStr">
        <is>
          <t>https://micro-scientific.com/contact-us</t>
        </is>
      </c>
      <c r="AP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Y852" t="inlineStr">
        <is>
          <t>unknown</t>
        </is>
      </c>
      <c r="Z852" t="inlineStr"/>
      <c r="AA852" t="inlineStr"/>
      <c r="AB852" t="inlineStr"/>
      <c r="AC852" t="inlineStr"/>
      <c r="AD852" t="inlineStr">
        <is>
          <t>לא נמצא בסריקת המפיצים</t>
        </is>
      </c>
      <c r="AE852" t="inlineStr">
        <is>
          <t>סריקת אתרי מפיצים</t>
        </is>
      </c>
      <c r="AG852" t="inlineStr"/>
      <c r="AH852" t="inlineStr"/>
      <c r="AJ852" t="inlineStr"/>
      <c r="AN852" t="inlineStr">
        <is>
          <t>https://microbioproducts.com/?v=84de8e2b14bb</t>
        </is>
      </c>
      <c r="AP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Y853" t="inlineStr">
        <is>
          <t>unknown</t>
        </is>
      </c>
      <c r="Z853" t="inlineStr"/>
      <c r="AA853" t="inlineStr"/>
      <c r="AB853" t="inlineStr"/>
      <c r="AC853" t="inlineStr"/>
      <c r="AD853" t="inlineStr">
        <is>
          <t>לא נמצא בסריקת המפיצים</t>
        </is>
      </c>
      <c r="AE853" t="inlineStr">
        <is>
          <t>סריקת אתרי מפיצים</t>
        </is>
      </c>
      <c r="AG853" t="inlineStr"/>
      <c r="AH853" t="inlineStr"/>
      <c r="AJ853" t="inlineStr"/>
      <c r="AP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c r="Y854" t="inlineStr">
        <is>
          <t>unknown</t>
        </is>
      </c>
      <c r="Z854" t="inlineStr"/>
      <c r="AA854" t="inlineStr"/>
      <c r="AB854" t="inlineStr"/>
      <c r="AC854" t="inlineStr"/>
      <c r="AD854" t="inlineStr">
        <is>
          <t>לא נמצא בחיפוש ראשוני</t>
        </is>
      </c>
      <c r="AE854" t="inlineStr">
        <is>
          <t>חיפוש חלקי</t>
        </is>
      </c>
      <c r="AG854" t="inlineStr"/>
      <c r="AH854" t="inlineStr"/>
      <c r="AI854" t="inlineStr">
        <is>
          <t>Searched as Ansell's Microflex brand: Ansell's Where-to-Buy page has a country selector but no Israel entry visible; only non-Israeli retailers (RS Korea/Philippines, VWR, ThomasSci, Labfriend India).</t>
        </is>
      </c>
      <c r="AJ854" t="inlineStr">
        <is>
          <t>9093609066</t>
        </is>
      </c>
      <c r="AK854" t="inlineStr">
        <is>
          <t>info@microflexfilm.com</t>
        </is>
      </c>
      <c r="AN854" t="inlineStr">
        <is>
          <t>https://microflexfilm.com/</t>
        </is>
      </c>
      <c r="AP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Y855" t="inlineStr">
        <is>
          <t>unknown</t>
        </is>
      </c>
      <c r="Z855" t="inlineStr"/>
      <c r="AA855" t="inlineStr"/>
      <c r="AB855" t="inlineStr"/>
      <c r="AC855" t="inlineStr"/>
      <c r="AD855" t="inlineStr">
        <is>
          <t>לא נמצא בחיפוש ראשוני</t>
        </is>
      </c>
      <c r="AE855" t="inlineStr">
        <is>
          <t>חיפוש חלקי</t>
        </is>
      </c>
      <c r="AG855" t="inlineStr"/>
      <c r="AH855" t="inlineStr"/>
      <c r="AI855" t="inlineStr">
        <is>
          <t>Microlit (Lucknow, India; offices India/USA/Brazil) claims presence in 55+ countries; an Israeli Chamber of Commerce importer page listed other pipette brands, not Microlit.</t>
        </is>
      </c>
      <c r="AJ855" t="inlineStr"/>
      <c r="AP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Y856" t="inlineStr">
        <is>
          <t>unknown</t>
        </is>
      </c>
      <c r="Z856" t="inlineStr"/>
      <c r="AA856" t="inlineStr"/>
      <c r="AB856" t="inlineStr"/>
      <c r="AC856" t="inlineStr"/>
      <c r="AD856" t="inlineStr">
        <is>
          <t>לא נמצא בסריקת המפיצים</t>
        </is>
      </c>
      <c r="AE856" t="inlineStr">
        <is>
          <t>סריקת אתרי מפיצים</t>
        </is>
      </c>
      <c r="AG856" t="inlineStr"/>
      <c r="AH856" t="inlineStr"/>
      <c r="AJ856" t="inlineStr"/>
      <c r="AP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Y857" t="inlineStr">
        <is>
          <t>unknown</t>
        </is>
      </c>
      <c r="Z857" t="inlineStr"/>
      <c r="AA857" t="inlineStr"/>
      <c r="AB857" t="inlineStr"/>
      <c r="AC857" t="inlineStr"/>
      <c r="AD857" t="inlineStr">
        <is>
          <t>לא נמצא בסריקת המפיצים</t>
        </is>
      </c>
      <c r="AE857" t="inlineStr">
        <is>
          <t>סריקת אתרי מפיצים</t>
        </is>
      </c>
      <c r="AG857" t="inlineStr"/>
      <c r="AH857" t="inlineStr"/>
      <c r="AJ857" t="inlineStr">
        <is>
          <t>0014844803372</t>
        </is>
      </c>
      <c r="AK857" t="inlineStr">
        <is>
          <t>sales@micronic.com</t>
        </is>
      </c>
      <c r="AM857" t="inlineStr">
        <is>
          <t>https://micronic.com/contact/</t>
        </is>
      </c>
      <c r="AN857" t="inlineStr">
        <is>
          <t>https://micronic.com/contact/</t>
        </is>
      </c>
      <c r="AP857" t="inlineStr">
        <is>
          <t>https://www.dutscher.com/search?initialFilters=brand:Micronic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Y858" t="inlineStr">
        <is>
          <t>unknown</t>
        </is>
      </c>
      <c r="Z858" t="inlineStr"/>
      <c r="AA858" t="inlineStr"/>
      <c r="AB858" t="inlineStr"/>
      <c r="AC858" t="inlineStr"/>
      <c r="AD858" t="inlineStr">
        <is>
          <t>לא נמצא בסריקת המפיצים</t>
        </is>
      </c>
      <c r="AE858" t="inlineStr">
        <is>
          <t>סריקת אתרי מפיצים</t>
        </is>
      </c>
      <c r="AG858" t="inlineStr"/>
      <c r="AH858" t="inlineStr"/>
      <c r="AJ858" t="inlineStr">
        <is>
          <t>310-784-6990</t>
        </is>
      </c>
      <c r="AK858" t="inlineStr">
        <is>
          <t>marketing@micronova-mfg.com</t>
        </is>
      </c>
      <c r="AM858" t="inlineStr">
        <is>
          <t>https://www.micronova-mfg.com/contact-us/</t>
        </is>
      </c>
      <c r="AN858" t="inlineStr">
        <is>
          <t>https://www.micronova-mfg.com/contact-us/</t>
        </is>
      </c>
      <c r="AP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Y859" t="inlineStr">
        <is>
          <t>unknown</t>
        </is>
      </c>
      <c r="Z859" t="inlineStr"/>
      <c r="AA859" t="inlineStr"/>
      <c r="AB859" t="inlineStr"/>
      <c r="AC859" t="inlineStr"/>
      <c r="AD859" t="inlineStr">
        <is>
          <t>לא נמצא בסריקת המפיצים</t>
        </is>
      </c>
      <c r="AE859" t="inlineStr">
        <is>
          <t>סריקת אתרי מפיצים</t>
        </is>
      </c>
      <c r="AG859" t="inlineStr"/>
      <c r="AH859" t="inlineStr"/>
      <c r="AJ859" t="inlineStr">
        <is>
          <t>+18774093556</t>
        </is>
      </c>
      <c r="AK859" t="inlineStr">
        <is>
          <t>info@microscope.com</t>
        </is>
      </c>
      <c r="AM859" t="inlineStr">
        <is>
          <t>https://www.microscope.com/contact-us</t>
        </is>
      </c>
      <c r="AN859" t="inlineStr">
        <is>
          <t>https://www.microscope.com/contact-us</t>
        </is>
      </c>
      <c r="AP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Y860" t="inlineStr">
        <is>
          <t>unknown</t>
        </is>
      </c>
      <c r="Z860" t="inlineStr"/>
      <c r="AA860" t="inlineStr"/>
      <c r="AB860" t="inlineStr"/>
      <c r="AC860" t="inlineStr"/>
      <c r="AD860" t="inlineStr">
        <is>
          <t>לא נמצא בסריקת המפיצים</t>
        </is>
      </c>
      <c r="AE860" t="inlineStr">
        <is>
          <t>סריקת אתרי מפיצים</t>
        </is>
      </c>
      <c r="AG860" t="inlineStr"/>
      <c r="AH860" t="inlineStr"/>
      <c r="AJ860" t="inlineStr">
        <is>
          <t>17323808900</t>
        </is>
      </c>
      <c r="AM860" t="inlineStr">
        <is>
          <t>https://www.mtc-usa.com/contact</t>
        </is>
      </c>
      <c r="AN860" t="inlineStr">
        <is>
          <t>https://www.mtc-usa.com/contact</t>
        </is>
      </c>
      <c r="AP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clearbit_verified</t>
        </is>
      </c>
      <c r="J861" t="inlineStr"/>
      <c r="Y861" t="inlineStr">
        <is>
          <t>unknown</t>
        </is>
      </c>
      <c r="Z861" t="inlineStr"/>
      <c r="AA861" t="inlineStr"/>
      <c r="AB861" t="inlineStr"/>
      <c r="AC861" t="inlineStr"/>
      <c r="AD861" t="inlineStr">
        <is>
          <t>לא נמצא בסריקת המפיצים</t>
        </is>
      </c>
      <c r="AE861" t="inlineStr">
        <is>
          <t>סריקת אתרי מפיצים</t>
        </is>
      </c>
      <c r="AG861" t="inlineStr"/>
      <c r="AH861" t="inlineStr"/>
      <c r="AJ861" t="inlineStr">
        <is>
          <t>6362259997</t>
        </is>
      </c>
      <c r="AM861" t="inlineStr">
        <is>
          <t>https://midsci.com/contact/request-a-quote/</t>
        </is>
      </c>
      <c r="AN861" t="inlineStr">
        <is>
          <t>https://midsci.com/contact/request-a-quote/</t>
        </is>
      </c>
      <c r="AP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c r="Y862" t="inlineStr">
        <is>
          <t>unknown</t>
        </is>
      </c>
      <c r="Z862" t="inlineStr"/>
      <c r="AA862" t="inlineStr"/>
      <c r="AB862" t="inlineStr"/>
      <c r="AC862" t="inlineStr"/>
      <c r="AD862" t="inlineStr">
        <is>
          <t>לא נמצא בחיפוש ראשוני</t>
        </is>
      </c>
      <c r="AE862" t="inlineStr">
        <is>
          <t>חיפוש חלקי</t>
        </is>
      </c>
      <c r="AG862" t="inlineStr"/>
      <c r="AH862" t="inlineStr"/>
      <c r="AI862" t="inlineStr">
        <is>
          <t>Miele Professional lab distributors named only for Hungary (Labokraft, 2025) and the US (ARES Scientific); no Israel mention.</t>
        </is>
      </c>
      <c r="AJ862" t="inlineStr"/>
      <c r="AK862" t="inlineStr">
        <is>
          <t>sales@miele.com.au</t>
        </is>
      </c>
      <c r="AM862" t="inlineStr">
        <is>
          <t>https://www.miele.com/en/com/contact-us-2073.htm</t>
        </is>
      </c>
      <c r="AN862" t="inlineStr">
        <is>
          <t>https://www.miele.com/en/com/contact-us-2073.htm</t>
        </is>
      </c>
      <c r="AP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Y863" t="inlineStr">
        <is>
          <t>unknown</t>
        </is>
      </c>
      <c r="Z863" t="inlineStr"/>
      <c r="AA863" t="inlineStr"/>
      <c r="AB863" t="inlineStr"/>
      <c r="AC863" t="inlineStr"/>
      <c r="AD863" t="inlineStr">
        <is>
          <t>מפיץ/נציג בישראל</t>
        </is>
      </c>
      <c r="AE863" t="inlineStr">
        <is>
          <t>סריקת אתרי מפיצים</t>
        </is>
      </c>
      <c r="AF863" t="n">
        <v>2026</v>
      </c>
      <c r="AG863" t="inlineStr">
        <is>
          <t>Yair Technologies</t>
        </is>
      </c>
      <c r="AH863" t="inlineStr">
        <is>
          <t>Yair Technologies: +97288544856 contact@yairtech.co.il</t>
        </is>
      </c>
      <c r="AJ863" t="inlineStr"/>
      <c r="AP863" t="inlineStr">
        <is>
          <t>https://www.thomassci.com/browse-by/suppliers/miles-scientific-analtech | https://www.yairtech.co.il/partners/</t>
        </is>
      </c>
    </row>
    <row r="864">
      <c r="A864" t="n">
        <v>863</v>
      </c>
      <c r="B864" t="inlineStr">
        <is>
          <t>Miller by Honeywell</t>
        </is>
      </c>
      <c r="C864" t="inlineStr">
        <is>
          <t>T</t>
        </is>
      </c>
      <c r="E864" t="inlineStr">
        <is>
          <t>https://www.thomassci.com/browse-by/suppliers/miller-by-honeywell</t>
        </is>
      </c>
      <c r="F864" t="inlineStr"/>
      <c r="J864" t="inlineStr"/>
      <c r="Y864" t="inlineStr">
        <is>
          <t>unknown</t>
        </is>
      </c>
      <c r="Z864" t="inlineStr"/>
      <c r="AA864" t="inlineStr"/>
      <c r="AB864" t="inlineStr"/>
      <c r="AC864" t="inlineStr"/>
      <c r="AD864" t="inlineStr">
        <is>
          <t>לא נמצא בסריקת המפיצים</t>
        </is>
      </c>
      <c r="AE864" t="inlineStr">
        <is>
          <t>סריקת אתרי מפיצים</t>
        </is>
      </c>
      <c r="AG864" t="inlineStr"/>
      <c r="AH864" t="inlineStr"/>
      <c r="AJ864" t="inlineStr"/>
      <c r="AP864" t="inlineStr">
        <is>
          <t>https://www.thomassci.com/browse-by/suppliers/miller-by-honeywell</t>
        </is>
      </c>
    </row>
    <row r="865">
      <c r="A865" t="n">
        <v>864</v>
      </c>
      <c r="B865" t="inlineStr">
        <is>
          <t>Millipore Sigma</t>
        </is>
      </c>
      <c r="C865" t="inlineStr">
        <is>
          <t>Q</t>
        </is>
      </c>
      <c r="F865" t="inlineStr">
        <is>
          <t>yes</t>
        </is>
      </c>
      <c r="J865" t="inlineStr"/>
      <c r="Y865" t="inlineStr">
        <is>
          <t>unknown</t>
        </is>
      </c>
      <c r="Z865" t="inlineStr"/>
      <c r="AA865" t="inlineStr"/>
      <c r="AB865" t="inlineStr"/>
      <c r="AC865" t="inlineStr"/>
      <c r="AD865" t="inlineStr">
        <is>
          <t>לא נמצא בסריקת המפיצים</t>
        </is>
      </c>
      <c r="AE865" t="inlineStr">
        <is>
          <t>סריקת אתרי מפיצים</t>
        </is>
      </c>
      <c r="AG865" t="inlineStr"/>
      <c r="AH865" t="inlineStr"/>
      <c r="AJ865" t="inlineStr"/>
      <c r="AP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P866" t="n">
        <v>62461</v>
      </c>
      <c r="Q866" t="n">
        <v>2025</v>
      </c>
      <c r="R866" t="inlineStr">
        <is>
          <t>parent</t>
        </is>
      </c>
      <c r="S866" t="inlineStr">
        <is>
          <t>prior</t>
        </is>
      </c>
      <c r="T866" t="n">
        <v>9900</v>
      </c>
      <c r="U866" t="inlineStr">
        <is>
          <t>EUR 9.0 billion</t>
        </is>
      </c>
      <c r="V866" t="inlineStr">
        <is>
          <t>FY2025</t>
        </is>
      </c>
      <c r="W866" t="inlineStr">
        <is>
          <t>segment</t>
        </is>
      </c>
      <c r="X866" t="inlineStr">
        <is>
          <t>prior</t>
        </is>
      </c>
      <c r="Y866" t="inlineStr">
        <is>
          <t>reported</t>
        </is>
      </c>
      <c r="Z866" t="inlineStr">
        <is>
          <t>Milli-Q</t>
        </is>
      </c>
      <c r="AA866" t="inlineStr">
        <is>
          <t>Millipore filtration (Millex, Stericup, Mobius)</t>
        </is>
      </c>
      <c r="AB866" t="inlineStr">
        <is>
          <t>Sigma-Aldrich research chemicals</t>
        </is>
      </c>
      <c r="AC866" t="inlineStr">
        <is>
          <t>prior</t>
        </is>
      </c>
      <c r="AD866" t="inlineStr">
        <is>
          <t>חברה-בת בישראל</t>
        </is>
      </c>
      <c r="AE866" t="inlineStr">
        <is>
          <t>חיפוש חלקי</t>
        </is>
      </c>
      <c r="AF866" t="n">
        <v>2026</v>
      </c>
      <c r="AG866" t="inlineStr">
        <is>
          <t>Sigma-Aldrich Israel Ltd. (affiliate of Merck KGaA, Darmstadt); Mercury Scientific &amp; Industrial Products Ltd. (Gadot group)</t>
        </is>
      </c>
      <c r="AH866" t="inlineStr">
        <is>
          <t>Sigma-Aldrich Israel Ltd. (affiliate of Merck KGaA, Darmstadt): +972-8-9484222 / +972-8-9484100 isrcustserv@merckgroup.com; isrtechserv@merckgroup.com; Mercury Scientific &amp; Industrial Products Ltd. (Gadot group): +972 3-938-7164</t>
        </is>
      </c>
      <c r="AI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J866" t="inlineStr">
        <is>
          <t>+972 8 948 4222 / +972 8 948 4100</t>
        </is>
      </c>
      <c r="AK866" t="inlineStr">
        <is>
          <t>isrcustserv@merckgroup.com</t>
        </is>
      </c>
      <c r="AL866" t="inlineStr">
        <is>
          <t>3 Plaut St., Rehovot 7670603, Israel</t>
        </is>
      </c>
      <c r="AM866" t="inlineStr">
        <is>
          <t>https://www.sigmaaldrich.com/collections/offices</t>
        </is>
      </c>
      <c r="AN866" t="inlineStr">
        <is>
          <t>https://www.sigmaaldrich.com/collections/offices</t>
        </is>
      </c>
      <c r="AP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Y867" t="inlineStr">
        <is>
          <t>unknown</t>
        </is>
      </c>
      <c r="Z867" t="inlineStr"/>
      <c r="AA867" t="inlineStr"/>
      <c r="AB867" t="inlineStr"/>
      <c r="AC867" t="inlineStr"/>
      <c r="AD867" t="inlineStr">
        <is>
          <t>לא נמצא בסריקת המפיצים</t>
        </is>
      </c>
      <c r="AE867" t="inlineStr">
        <is>
          <t>סריקת אתרי מפיצים</t>
        </is>
      </c>
      <c r="AG867" t="inlineStr"/>
      <c r="AH867" t="inlineStr"/>
      <c r="AJ867" t="inlineStr"/>
      <c r="AP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Y868" t="inlineStr">
        <is>
          <t>unknown</t>
        </is>
      </c>
      <c r="Z868" t="inlineStr"/>
      <c r="AA868" t="inlineStr"/>
      <c r="AB868" t="inlineStr"/>
      <c r="AC868" t="inlineStr"/>
      <c r="AD868" t="inlineStr">
        <is>
          <t>לא נמצא בסריקת המפיצים</t>
        </is>
      </c>
      <c r="AE868" t="inlineStr">
        <is>
          <t>סריקת אתרי מפיצים</t>
        </is>
      </c>
      <c r="AG868" t="inlineStr"/>
      <c r="AH868" t="inlineStr"/>
      <c r="AJ868" t="inlineStr">
        <is>
          <t>+1 252 443 3630</t>
        </is>
      </c>
      <c r="AM868" t="inlineStr">
        <is>
          <t>https://milwaukeeinstruments.com/contact-us/</t>
        </is>
      </c>
      <c r="AN868" t="inlineStr">
        <is>
          <t>https://milwaukeeinstruments.com/contact-us/</t>
        </is>
      </c>
      <c r="AP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Y869" t="inlineStr">
        <is>
          <t>unknown</t>
        </is>
      </c>
      <c r="Z869" t="inlineStr"/>
      <c r="AA869" t="inlineStr"/>
      <c r="AB869" t="inlineStr"/>
      <c r="AC869" t="inlineStr"/>
      <c r="AD869" t="inlineStr">
        <is>
          <t>לא נמצא בסריקת המפיצים</t>
        </is>
      </c>
      <c r="AE869" t="inlineStr">
        <is>
          <t>סריקת אתרי מפיצים</t>
        </is>
      </c>
      <c r="AG869" t="inlineStr"/>
      <c r="AH869" t="inlineStr"/>
      <c r="AJ869" t="inlineStr">
        <is>
          <t>+49 30 2000 4370</t>
        </is>
      </c>
      <c r="AK869" t="inlineStr">
        <is>
          <t>order@minerva-biolabs.com</t>
        </is>
      </c>
      <c r="AM869" t="inlineStr">
        <is>
          <t>https://minerva-biolabs.com/en/general-inquiry?to=jh</t>
        </is>
      </c>
      <c r="AN869" t="inlineStr">
        <is>
          <t>https://minerva-biolabs.com/en/general-inquiry?to=jh</t>
        </is>
      </c>
      <c r="AP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Y870" t="inlineStr">
        <is>
          <t>unknown</t>
        </is>
      </c>
      <c r="Z870" t="inlineStr"/>
      <c r="AA870" t="inlineStr"/>
      <c r="AB870" t="inlineStr"/>
      <c r="AC870" t="inlineStr"/>
      <c r="AD870" t="inlineStr">
        <is>
          <t>לא נמצא בחיפוש ראשוני</t>
        </is>
      </c>
      <c r="AE870" t="inlineStr">
        <is>
          <t>חיפוש חלקי</t>
        </is>
      </c>
      <c r="AG870" t="inlineStr"/>
      <c r="AH870" t="inlineStr"/>
      <c r="AI870" t="inlineStr">
        <is>
          <t>No result mentions Minigrip; 'Mini Line Ltd' (Petach Tikva electronics importer) is an unrelated name match; other hits are unrelated Israeli dealer announcements.</t>
        </is>
      </c>
      <c r="AJ870" t="inlineStr">
        <is>
          <t>800-511-6298</t>
        </is>
      </c>
      <c r="AM870" t="inlineStr">
        <is>
          <t>https://medegenmed.com/contact-us/</t>
        </is>
      </c>
      <c r="AN870" t="inlineStr">
        <is>
          <t>https://medegenmed.com/contact-us/</t>
        </is>
      </c>
      <c r="AP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Y871" t="inlineStr">
        <is>
          <t>unknown</t>
        </is>
      </c>
      <c r="Z871" t="inlineStr"/>
      <c r="AA871" t="inlineStr"/>
      <c r="AB871" t="inlineStr"/>
      <c r="AC871" t="inlineStr"/>
      <c r="AD871" t="inlineStr">
        <is>
          <t>לא נמצא בסריקת המפיצים</t>
        </is>
      </c>
      <c r="AE871" t="inlineStr">
        <is>
          <t>סריקת אתרי מפיצים</t>
        </is>
      </c>
      <c r="AG871" t="inlineStr"/>
      <c r="AH871" t="inlineStr"/>
      <c r="AJ871" t="inlineStr"/>
      <c r="AP871" t="inlineStr">
        <is>
          <t>https://www.quartzy.com/suppliers</t>
        </is>
      </c>
    </row>
    <row r="872">
      <c r="A872" t="n">
        <v>871</v>
      </c>
      <c r="B872" t="inlineStr">
        <is>
          <t>MiTeGen</t>
        </is>
      </c>
      <c r="C872" t="inlineStr">
        <is>
          <t>Q</t>
        </is>
      </c>
      <c r="F872" t="inlineStr">
        <is>
          <t>yes</t>
        </is>
      </c>
      <c r="H872" t="inlineStr">
        <is>
          <t>https://mitegen.com</t>
        </is>
      </c>
      <c r="I872" t="inlineStr">
        <is>
          <t>clearbit_verified</t>
        </is>
      </c>
      <c r="J872" t="inlineStr"/>
      <c r="Y872" t="inlineStr">
        <is>
          <t>unknown</t>
        </is>
      </c>
      <c r="Z872" t="inlineStr"/>
      <c r="AA872" t="inlineStr"/>
      <c r="AB872" t="inlineStr"/>
      <c r="AC872" t="inlineStr"/>
      <c r="AD872" t="inlineStr">
        <is>
          <t>לא נמצא בסריקת המפיצים</t>
        </is>
      </c>
      <c r="AE872" t="inlineStr">
        <is>
          <t>סריקת אתרי מפיצים</t>
        </is>
      </c>
      <c r="AG872" t="inlineStr"/>
      <c r="AH872" t="inlineStr"/>
      <c r="AJ872" t="inlineStr"/>
      <c r="AK872" t="inlineStr">
        <is>
          <t>info@mitegen.com</t>
        </is>
      </c>
      <c r="AM872" t="inlineStr">
        <is>
          <t>https://www.mitegen.com/learn/about-mitegen/</t>
        </is>
      </c>
      <c r="AN872" t="inlineStr">
        <is>
          <t>https://www.mitegen.com/learn/about-mitegen/</t>
        </is>
      </c>
      <c r="AP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Y873" t="inlineStr">
        <is>
          <t>unknown</t>
        </is>
      </c>
      <c r="Z873" t="inlineStr"/>
      <c r="AA873" t="inlineStr"/>
      <c r="AB873" t="inlineStr"/>
      <c r="AC873" t="inlineStr"/>
      <c r="AD873" t="inlineStr">
        <is>
          <t>לא נמצא בסריקת המפיצים</t>
        </is>
      </c>
      <c r="AE873" t="inlineStr">
        <is>
          <t>סריקת אתרי מפיצים</t>
        </is>
      </c>
      <c r="AG873" t="inlineStr"/>
      <c r="AH873" t="inlineStr"/>
      <c r="AJ873" t="inlineStr"/>
      <c r="AP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Y874" t="inlineStr">
        <is>
          <t>unknown</t>
        </is>
      </c>
      <c r="Z874" t="inlineStr"/>
      <c r="AA874" t="inlineStr"/>
      <c r="AB874" t="inlineStr"/>
      <c r="AC874" t="inlineStr"/>
      <c r="AD874" t="inlineStr">
        <is>
          <t>לא נמצא בסריקת המפיצים</t>
        </is>
      </c>
      <c r="AE874" t="inlineStr">
        <is>
          <t>סריקת אתרי מפיצים</t>
        </is>
      </c>
      <c r="AG874" t="inlineStr"/>
      <c r="AH874" t="inlineStr"/>
      <c r="AJ874" t="inlineStr"/>
      <c r="AP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Y875" t="inlineStr">
        <is>
          <t>unknown</t>
        </is>
      </c>
      <c r="Z875" t="inlineStr"/>
      <c r="AA875" t="inlineStr"/>
      <c r="AB875" t="inlineStr"/>
      <c r="AC875" t="inlineStr"/>
      <c r="AD875" t="inlineStr">
        <is>
          <t>לא נמצא בסריקת המפיצים</t>
        </is>
      </c>
      <c r="AE875" t="inlineStr">
        <is>
          <t>סריקת אתרי מפיצים</t>
        </is>
      </c>
      <c r="AG875" t="inlineStr"/>
      <c r="AH875" t="inlineStr"/>
      <c r="AJ875" t="inlineStr">
        <is>
          <t>+18004210668</t>
        </is>
      </c>
      <c r="AM875" t="inlineStr">
        <is>
          <t>https://www.moldex.com/contact/</t>
        </is>
      </c>
      <c r="AN875" t="inlineStr">
        <is>
          <t>https://www.moldex.com/contact/</t>
        </is>
      </c>
      <c r="AP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Y876" t="inlineStr">
        <is>
          <t>unknown</t>
        </is>
      </c>
      <c r="Z876" t="inlineStr"/>
      <c r="AA876" t="inlineStr"/>
      <c r="AB876" t="inlineStr"/>
      <c r="AC876" t="inlineStr"/>
      <c r="AD876" t="inlineStr">
        <is>
          <t>לא נמצא בסריקת המפיצים</t>
        </is>
      </c>
      <c r="AE876" t="inlineStr">
        <is>
          <t>סריקת אתרי מפיצים</t>
        </is>
      </c>
      <c r="AG876" t="inlineStr"/>
      <c r="AH876" t="inlineStr"/>
      <c r="AJ876" t="inlineStr"/>
      <c r="AP876" t="inlineStr">
        <is>
          <t>https://www.thomassci.com/browse-by/suppliers/moldpro</t>
        </is>
      </c>
    </row>
    <row r="877">
      <c r="A877" t="n">
        <v>876</v>
      </c>
      <c r="B877" t="inlineStr">
        <is>
          <t>Molecular Biology Products</t>
        </is>
      </c>
      <c r="C877" t="inlineStr">
        <is>
          <t>Q</t>
        </is>
      </c>
      <c r="F877" t="inlineStr">
        <is>
          <t>yes</t>
        </is>
      </c>
      <c r="J877" t="inlineStr"/>
      <c r="Y877" t="inlineStr">
        <is>
          <t>unknown</t>
        </is>
      </c>
      <c r="Z877" t="inlineStr"/>
      <c r="AA877" t="inlineStr"/>
      <c r="AB877" t="inlineStr"/>
      <c r="AC877" t="inlineStr"/>
      <c r="AD877" t="inlineStr">
        <is>
          <t>לא נמצא בסריקת המפיצים</t>
        </is>
      </c>
      <c r="AE877" t="inlineStr">
        <is>
          <t>סריקת אתרי מפיצים</t>
        </is>
      </c>
      <c r="AG877" t="inlineStr"/>
      <c r="AH877" t="inlineStr"/>
      <c r="AJ877" t="inlineStr"/>
      <c r="AP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Y878" t="inlineStr">
        <is>
          <t>unknown</t>
        </is>
      </c>
      <c r="Z878" t="inlineStr"/>
      <c r="AA878" t="inlineStr"/>
      <c r="AB878" t="inlineStr"/>
      <c r="AC878" t="inlineStr"/>
      <c r="AD878" t="inlineStr">
        <is>
          <t>לא נמצא בסריקת המפיצים</t>
        </is>
      </c>
      <c r="AE878" t="inlineStr">
        <is>
          <t>סריקת אתרי מפיצים</t>
        </is>
      </c>
      <c r="AG878" t="inlineStr"/>
      <c r="AH878" t="inlineStr"/>
      <c r="AJ878" t="inlineStr">
        <is>
          <t>+1(800)314-0182</t>
        </is>
      </c>
      <c r="AM878" t="inlineStr">
        <is>
          <t>https://www.moleculardesigns.com/contact</t>
        </is>
      </c>
      <c r="AN878" t="inlineStr">
        <is>
          <t>https://www.moleculardesigns.com/contact</t>
        </is>
      </c>
      <c r="AP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Y879" t="inlineStr">
        <is>
          <t>unknown</t>
        </is>
      </c>
      <c r="Z879" t="inlineStr"/>
      <c r="AA879" t="inlineStr"/>
      <c r="AB879" t="inlineStr"/>
      <c r="AC879" t="inlineStr"/>
      <c r="AD879" t="inlineStr">
        <is>
          <t>לא נמצא בסריקת המפיצים</t>
        </is>
      </c>
      <c r="AE879" t="inlineStr">
        <is>
          <t>סריקת אתרי מפיצים</t>
        </is>
      </c>
      <c r="AG879" t="inlineStr"/>
      <c r="AH879" t="inlineStr"/>
      <c r="AJ879" t="inlineStr"/>
      <c r="AK879" t="inlineStr">
        <is>
          <t>enquiries@moleculardimensions.com</t>
        </is>
      </c>
      <c r="AN879" t="inlineStr">
        <is>
          <t>https://moleculardimensions.com/en</t>
        </is>
      </c>
      <c r="AP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Y880" t="inlineStr">
        <is>
          <t>unknown</t>
        </is>
      </c>
      <c r="Z880" t="inlineStr"/>
      <c r="AA880" t="inlineStr"/>
      <c r="AB880" t="inlineStr"/>
      <c r="AC880" t="inlineStr"/>
      <c r="AD880" t="inlineStr">
        <is>
          <t>לא נמצא בסריקת המפיצים</t>
        </is>
      </c>
      <c r="AE880" t="inlineStr">
        <is>
          <t>סריקת אתרי מפיצים</t>
        </is>
      </c>
      <c r="AG880" t="inlineStr"/>
      <c r="AH880" t="inlineStr"/>
      <c r="AJ880" t="inlineStr"/>
      <c r="AP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Y881" t="inlineStr">
        <is>
          <t>unknown</t>
        </is>
      </c>
      <c r="Z881" t="inlineStr"/>
      <c r="AA881" t="inlineStr"/>
      <c r="AB881" t="inlineStr"/>
      <c r="AC881" t="inlineStr"/>
      <c r="AD881" t="inlineStr">
        <is>
          <t>לא נמצא בסריקת המפיצים</t>
        </is>
      </c>
      <c r="AE881" t="inlineStr">
        <is>
          <t>סריקת אתרי מפיצים</t>
        </is>
      </c>
      <c r="AG881" t="inlineStr"/>
      <c r="AH881" t="inlineStr"/>
      <c r="AJ881" t="inlineStr"/>
      <c r="AP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Y882" t="inlineStr">
        <is>
          <t>unknown</t>
        </is>
      </c>
      <c r="Z882" t="inlineStr"/>
      <c r="AA882" t="inlineStr"/>
      <c r="AB882" t="inlineStr"/>
      <c r="AC882" t="inlineStr"/>
      <c r="AD882" t="inlineStr">
        <is>
          <t>לא נמצא בסריקת המפיצים</t>
        </is>
      </c>
      <c r="AE882" t="inlineStr">
        <is>
          <t>סריקת אתרי מפיצים</t>
        </is>
      </c>
      <c r="AG882" t="inlineStr"/>
      <c r="AH882" t="inlineStr"/>
      <c r="AJ882" t="inlineStr">
        <is>
          <t>+1 800 536 7232</t>
        </is>
      </c>
      <c r="AM882" t="inlineStr">
        <is>
          <t>https://moltox.com/contact-us/</t>
        </is>
      </c>
      <c r="AN882" t="inlineStr">
        <is>
          <t>https://moltox.com/contact-us/</t>
        </is>
      </c>
      <c r="AP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Y883" t="inlineStr">
        <is>
          <t>unknown</t>
        </is>
      </c>
      <c r="Z883" t="inlineStr"/>
      <c r="AA883" t="inlineStr"/>
      <c r="AB883" t="inlineStr"/>
      <c r="AC883" t="inlineStr"/>
      <c r="AD883" t="inlineStr">
        <is>
          <t>לא נמצא בסריקת המפיצים</t>
        </is>
      </c>
      <c r="AE883" t="inlineStr">
        <is>
          <t>סריקת אתרי מפיצים</t>
        </is>
      </c>
      <c r="AG883" t="inlineStr"/>
      <c r="AH883" t="inlineStr"/>
      <c r="AJ883" t="inlineStr">
        <is>
          <t>1-877-977-4717</t>
        </is>
      </c>
      <c r="AK883" t="inlineStr">
        <is>
          <t>sales@motic-america.com</t>
        </is>
      </c>
      <c r="AM883" t="inlineStr">
        <is>
          <t>https://moticmicroscopes.com/pages/contact</t>
        </is>
      </c>
      <c r="AN883" t="inlineStr">
        <is>
          <t>https://moticmicroscopes.com/pages/contact</t>
        </is>
      </c>
      <c r="AP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Y884" t="inlineStr">
        <is>
          <t>unknown</t>
        </is>
      </c>
      <c r="Z884" t="inlineStr"/>
      <c r="AA884" t="inlineStr"/>
      <c r="AB884" t="inlineStr"/>
      <c r="AC884" t="inlineStr"/>
      <c r="AD884" t="inlineStr">
        <is>
          <t>לא נמצא בסריקת המפיצים</t>
        </is>
      </c>
      <c r="AE884" t="inlineStr">
        <is>
          <t>סריקת אתרי מפיצים</t>
        </is>
      </c>
      <c r="AG884" t="inlineStr"/>
      <c r="AH884" t="inlineStr"/>
      <c r="AJ884" t="inlineStr">
        <is>
          <t>15107995100</t>
        </is>
      </c>
      <c r="AM884" t="inlineStr">
        <is>
          <t>https://motosolutions.com/contact-us/</t>
        </is>
      </c>
      <c r="AN884" t="inlineStr">
        <is>
          <t>https://motosolutions.com/contact-us/</t>
        </is>
      </c>
      <c r="AP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c r="Y885" t="inlineStr">
        <is>
          <t>unknown</t>
        </is>
      </c>
      <c r="Z885" t="inlineStr"/>
      <c r="AA885" t="inlineStr"/>
      <c r="AB885" t="inlineStr"/>
      <c r="AC885" t="inlineStr"/>
      <c r="AD885" t="inlineStr">
        <is>
          <t>לא נמצא בסריקת המפיצים</t>
        </is>
      </c>
      <c r="AE885" t="inlineStr">
        <is>
          <t>סריקת אתרי מפיצים</t>
        </is>
      </c>
      <c r="AG885" t="inlineStr"/>
      <c r="AH885" t="inlineStr"/>
      <c r="AJ885" t="inlineStr">
        <is>
          <t>1792303608</t>
        </is>
      </c>
      <c r="AN885" t="inlineStr">
        <is>
          <t>https://www.mouser.com/</t>
        </is>
      </c>
      <c r="AP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Y886" t="inlineStr">
        <is>
          <t>unknown</t>
        </is>
      </c>
      <c r="Z886" t="inlineStr"/>
      <c r="AA886" t="inlineStr"/>
      <c r="AB886" t="inlineStr"/>
      <c r="AC886" t="inlineStr"/>
      <c r="AD886" t="inlineStr">
        <is>
          <t>מפיץ/נציג בישראל</t>
        </is>
      </c>
      <c r="AE886" t="inlineStr">
        <is>
          <t>חיפוש חלקי</t>
        </is>
      </c>
      <c r="AF886" t="n">
        <v>2026</v>
      </c>
      <c r="AG886" t="inlineStr">
        <is>
          <t>Enco Scientific Services Ltd. (Enco Diagnostics)</t>
        </is>
      </c>
      <c r="AH886" t="inlineStr">
        <is>
          <t>Enco Scientific Services Ltd. (Enco Diagnostics):</t>
        </is>
      </c>
      <c r="AJ886" t="inlineStr"/>
      <c r="AP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Y887" t="inlineStr">
        <is>
          <t>unknown</t>
        </is>
      </c>
      <c r="Z887" t="inlineStr"/>
      <c r="AA887" t="inlineStr"/>
      <c r="AB887" t="inlineStr"/>
      <c r="AC887" t="inlineStr"/>
      <c r="AD887" t="inlineStr">
        <is>
          <t>לא נמצא בסריקת המפיצים</t>
        </is>
      </c>
      <c r="AE887" t="inlineStr">
        <is>
          <t>סריקת אתרי מפיצים</t>
        </is>
      </c>
      <c r="AG887" t="inlineStr"/>
      <c r="AH887" t="inlineStr"/>
      <c r="AJ887" t="inlineStr"/>
      <c r="AP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Y888" t="inlineStr">
        <is>
          <t>unknown</t>
        </is>
      </c>
      <c r="Z888" t="inlineStr"/>
      <c r="AA888" t="inlineStr"/>
      <c r="AB888" t="inlineStr"/>
      <c r="AC888" t="inlineStr"/>
      <c r="AD888" t="inlineStr">
        <is>
          <t>לא נמצא בסריקת המפיצים</t>
        </is>
      </c>
      <c r="AE888" t="inlineStr">
        <is>
          <t>סריקת אתרי מפיצים</t>
        </is>
      </c>
      <c r="AG888" t="inlineStr"/>
      <c r="AH888" t="inlineStr"/>
      <c r="AJ888" t="inlineStr"/>
      <c r="AP888" t="inlineStr">
        <is>
          <t>https://www.thomassci.com/browse-by/suppliers/msa</t>
        </is>
      </c>
    </row>
    <row r="889">
      <c r="A889" t="n">
        <v>888</v>
      </c>
      <c r="B889" t="inlineStr">
        <is>
          <t>MTC Bio</t>
        </is>
      </c>
      <c r="C889" t="inlineStr">
        <is>
          <t>T+Q</t>
        </is>
      </c>
      <c r="E889" t="inlineStr">
        <is>
          <t>https://www.thomassci.com/browse-by/suppliers/mtc-bio</t>
        </is>
      </c>
      <c r="F889" t="inlineStr">
        <is>
          <t>yes</t>
        </is>
      </c>
      <c r="J889" t="inlineStr"/>
      <c r="Y889" t="inlineStr">
        <is>
          <t>unknown</t>
        </is>
      </c>
      <c r="Z889" t="inlineStr"/>
      <c r="AA889" t="inlineStr"/>
      <c r="AB889" t="inlineStr"/>
      <c r="AC889" t="inlineStr"/>
      <c r="AD889" t="inlineStr">
        <is>
          <t>מפיץ/נציג בישראל</t>
        </is>
      </c>
      <c r="AE889" t="inlineStr">
        <is>
          <t>חיפוש חלקי</t>
        </is>
      </c>
      <c r="AG889" t="inlineStr">
        <is>
          <t>Yair Technologies (Yair Tech)</t>
        </is>
      </c>
      <c r="AH889" t="inlineStr">
        <is>
          <t>Yair Technologies (Yair Tech):</t>
        </is>
      </c>
      <c r="AI889" t="inlineStr">
        <is>
          <t>Distributor-side evidence only: an Israeli supplier site (yairtech.co.il) has an MTC Bio brand page; MTC Bio's own site/distributor list did not surface. Other hits are US resellers (Labrepco, Test Equipment Depot, Enzo/Axxora) and unrelated Israeli distributors.</t>
        </is>
      </c>
      <c r="AJ889" t="inlineStr"/>
      <c r="AP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Y890" t="inlineStr">
        <is>
          <t>unknown</t>
        </is>
      </c>
      <c r="Z890" t="inlineStr"/>
      <c r="AA890" t="inlineStr"/>
      <c r="AB890" t="inlineStr"/>
      <c r="AC890" t="inlineStr"/>
      <c r="AD890" t="inlineStr">
        <is>
          <t>לא נמצא בסריקת המפיצים</t>
        </is>
      </c>
      <c r="AE890" t="inlineStr">
        <is>
          <t>סריקת אתרי מפיצים</t>
        </is>
      </c>
      <c r="AG890" t="inlineStr"/>
      <c r="AH890" t="inlineStr"/>
      <c r="AJ890" t="inlineStr"/>
      <c r="AP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Y891" t="inlineStr">
        <is>
          <t>unknown</t>
        </is>
      </c>
      <c r="Z891" t="inlineStr"/>
      <c r="AA891" t="inlineStr"/>
      <c r="AB891" t="inlineStr"/>
      <c r="AC891" t="inlineStr"/>
      <c r="AD891" t="inlineStr">
        <is>
          <t>לא נמצא בסריקת המפיצים</t>
        </is>
      </c>
      <c r="AE891" t="inlineStr">
        <is>
          <t>סריקת אתרי מפיצים</t>
        </is>
      </c>
      <c r="AG891" t="inlineStr"/>
      <c r="AH891" t="inlineStr"/>
      <c r="AJ891" t="inlineStr"/>
      <c r="AP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Y892" t="inlineStr">
        <is>
          <t>unknown</t>
        </is>
      </c>
      <c r="Z892" t="inlineStr"/>
      <c r="AA892" t="inlineStr"/>
      <c r="AB892" t="inlineStr"/>
      <c r="AC892" t="inlineStr"/>
      <c r="AD892" t="inlineStr">
        <is>
          <t>לא נמצא בסריקת המפיצים</t>
        </is>
      </c>
      <c r="AE892" t="inlineStr">
        <is>
          <t>סריקת אתרי מפיצים</t>
        </is>
      </c>
      <c r="AG892" t="inlineStr"/>
      <c r="AH892" t="inlineStr"/>
      <c r="AJ892" t="inlineStr"/>
      <c r="AP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Y893" t="inlineStr">
        <is>
          <t>unknown</t>
        </is>
      </c>
      <c r="Z893" t="inlineStr"/>
      <c r="AA893" t="inlineStr"/>
      <c r="AB893" t="inlineStr"/>
      <c r="AC893" t="inlineStr"/>
      <c r="AD893" t="inlineStr">
        <is>
          <t>לא נמצא בסריקת המפיצים</t>
        </is>
      </c>
      <c r="AE893" t="inlineStr">
        <is>
          <t>סריקת אתרי מפיצים</t>
        </is>
      </c>
      <c r="AG893" t="inlineStr"/>
      <c r="AH893" t="inlineStr"/>
      <c r="AJ893" t="inlineStr">
        <is>
          <t>01 45 10 15 20</t>
        </is>
      </c>
      <c r="AM893" t="inlineStr">
        <is>
          <t>https://www.multiroir.com/contact/</t>
        </is>
      </c>
      <c r="AN893" t="inlineStr">
        <is>
          <t>https://www.multiroir.com/contact/</t>
        </is>
      </c>
      <c r="AP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Y894" t="inlineStr">
        <is>
          <t>unknown</t>
        </is>
      </c>
      <c r="Z894" t="inlineStr"/>
      <c r="AA894" t="inlineStr"/>
      <c r="AB894" t="inlineStr"/>
      <c r="AC894" t="inlineStr"/>
      <c r="AD894" t="inlineStr">
        <is>
          <t>לא נמצא בסריקת המפיצים</t>
        </is>
      </c>
      <c r="AE894" t="inlineStr">
        <is>
          <t>סריקת אתרי מפיצים</t>
        </is>
      </c>
      <c r="AG894" t="inlineStr"/>
      <c r="AH894" t="inlineStr"/>
      <c r="AJ894" t="inlineStr"/>
      <c r="AP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Y895" t="inlineStr">
        <is>
          <t>unknown</t>
        </is>
      </c>
      <c r="Z895" t="inlineStr"/>
      <c r="AA895" t="inlineStr"/>
      <c r="AB895" t="inlineStr"/>
      <c r="AC895" t="inlineStr"/>
      <c r="AD895" t="inlineStr">
        <is>
          <t>לא נמצא בסריקת המפיצים</t>
        </is>
      </c>
      <c r="AE895" t="inlineStr">
        <is>
          <t>סריקת אתרי מפיצים</t>
        </is>
      </c>
      <c r="AG895" t="inlineStr"/>
      <c r="AH895" t="inlineStr"/>
      <c r="AJ895" t="inlineStr"/>
      <c r="AP895" t="inlineStr">
        <is>
          <t>https://www.thomassci.com/browse-by/suppliers/myco-medical-supplies</t>
        </is>
      </c>
    </row>
    <row r="896">
      <c r="A896" t="n">
        <v>895</v>
      </c>
      <c r="B896" t="inlineStr">
        <is>
          <t>MycoFold</t>
        </is>
      </c>
      <c r="C896" t="inlineStr">
        <is>
          <t>Q+Q+</t>
        </is>
      </c>
      <c r="F896" t="inlineStr">
        <is>
          <t>yes +new</t>
        </is>
      </c>
      <c r="J896" t="inlineStr"/>
      <c r="O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Y896" t="inlineStr">
        <is>
          <t>unknown</t>
        </is>
      </c>
      <c r="Z896" t="inlineStr"/>
      <c r="AA896" t="inlineStr"/>
      <c r="AB896" t="inlineStr"/>
      <c r="AC896" t="inlineStr"/>
      <c r="AD896" t="inlineStr">
        <is>
          <t>לא נמצא בחיפוש ראשוני</t>
        </is>
      </c>
      <c r="AE896" t="inlineStr">
        <is>
          <t>חיפוש חלקי</t>
        </is>
      </c>
      <c r="AG896" t="inlineStr"/>
      <c r="AH896" t="inlineStr"/>
      <c r="AI896" t="inlineStr">
        <is>
          <t>Only a UW CoMotion startup profile (pre-seed, AI-designed proteins); no distributors listed anywhere.</t>
        </is>
      </c>
      <c r="AJ896" t="inlineStr"/>
      <c r="AP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Y897" t="inlineStr">
        <is>
          <t>unknown</t>
        </is>
      </c>
      <c r="Z897" t="inlineStr"/>
      <c r="AA897" t="inlineStr"/>
      <c r="AB897" t="inlineStr"/>
      <c r="AC897" t="inlineStr"/>
      <c r="AD897" t="inlineStr">
        <is>
          <t>לא נמצא בסריקת המפיצים</t>
        </is>
      </c>
      <c r="AE897" t="inlineStr">
        <is>
          <t>סריקת אתרי מפיצים</t>
        </is>
      </c>
      <c r="AG897" t="inlineStr"/>
      <c r="AH897" t="inlineStr"/>
      <c r="AJ897" t="inlineStr">
        <is>
          <t>17604382021</t>
        </is>
      </c>
      <c r="AK897" t="inlineStr">
        <is>
          <t>info@myronl.com</t>
        </is>
      </c>
      <c r="AM897" t="inlineStr">
        <is>
          <t>https://www.myronl.com/contact-us/</t>
        </is>
      </c>
      <c r="AN897" t="inlineStr">
        <is>
          <t>https://www.myronl.com/contact-us/</t>
        </is>
      </c>
      <c r="AP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Y898" t="inlineStr">
        <is>
          <t>unknown</t>
        </is>
      </c>
      <c r="Z898" t="inlineStr"/>
      <c r="AA898" t="inlineStr"/>
      <c r="AB898" t="inlineStr"/>
      <c r="AC898" t="inlineStr"/>
      <c r="AD898" t="inlineStr">
        <is>
          <t>לא נמצא בחיפוש ראשוני</t>
        </is>
      </c>
      <c r="AE898" t="inlineStr">
        <is>
          <t>חיפוש חלקי</t>
        </is>
      </c>
      <c r="AG898" t="inlineStr"/>
      <c r="AH898" t="inlineStr"/>
      <c r="AI898" t="inlineStr">
        <is>
          <t>Results entirely unrelated (Mystere jet book, film distributors); nothing about Mystaire.</t>
        </is>
      </c>
      <c r="AJ898" t="inlineStr">
        <is>
          <t>19192298511</t>
        </is>
      </c>
      <c r="AM898" t="inlineStr">
        <is>
          <t>https://mystaire.com/contact</t>
        </is>
      </c>
      <c r="AN898" t="inlineStr">
        <is>
          <t>https://mystaire.com/contact</t>
        </is>
      </c>
      <c r="AP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P899" t="n">
        <v>600</v>
      </c>
      <c r="Q899" t="n">
        <v>2026</v>
      </c>
      <c r="R899" t="inlineStr">
        <is>
          <t>company</t>
        </is>
      </c>
      <c r="S899" t="inlineStr">
        <is>
          <t>prior</t>
        </is>
      </c>
      <c r="T899" t="n">
        <v>72</v>
      </c>
      <c r="U899" t="inlineStr">
        <is>
          <t>EUR 65 million</t>
        </is>
      </c>
      <c r="V899" t="inlineStr">
        <is>
          <t>FY2021</t>
        </is>
      </c>
      <c r="W899" t="inlineStr">
        <is>
          <t>company</t>
        </is>
      </c>
      <c r="X899" t="inlineStr">
        <is>
          <t>prior</t>
        </is>
      </c>
      <c r="Y899" t="inlineStr">
        <is>
          <t>reported</t>
        </is>
      </c>
      <c r="Z899" t="inlineStr">
        <is>
          <t>L / LE / LT muffle furnaces</t>
        </is>
      </c>
      <c r="AA899" t="inlineStr">
        <is>
          <t>RT / RS tube furnaces</t>
        </is>
      </c>
      <c r="AB899" t="inlineStr">
        <is>
          <t>LHT / HTC high-temperature furnaces</t>
        </is>
      </c>
      <c r="AC899" t="inlineStr">
        <is>
          <t>prior</t>
        </is>
      </c>
      <c r="AD899" t="inlineStr">
        <is>
          <t>מפיץ/נציג בישראל</t>
        </is>
      </c>
      <c r="AE899" t="inlineStr">
        <is>
          <t>אומת</t>
        </is>
      </c>
      <c r="AF899" t="n">
        <v>2026</v>
      </c>
      <c r="AG899" t="inlineStr">
        <is>
          <t>Electrotherm Marketing 1978 Ltd.</t>
        </is>
      </c>
      <c r="AH899" t="inlineStr">
        <is>
          <t>Electrotherm Marketing 1978 Ltd.: +972-77-866-0600 sales@electrotherm.co.il</t>
        </is>
      </c>
      <c r="AI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J899" t="inlineStr">
        <is>
          <t>+49 4298 922-0</t>
        </is>
      </c>
      <c r="AK899" t="inlineStr">
        <is>
          <t>contact@nabertherm.de</t>
        </is>
      </c>
      <c r="AL899" t="inlineStr">
        <is>
          <t>Bahnhofstraße 20, 28865 Lilienthal, Germany</t>
        </is>
      </c>
      <c r="AM899" t="inlineStr">
        <is>
          <t>https://nabertherm.com/en/contact/world-wide-sales</t>
        </is>
      </c>
      <c r="AN899" t="inlineStr">
        <is>
          <t>https://nabertherm.com/en/downloads/service-instructions</t>
        </is>
      </c>
      <c r="AP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Y900" t="inlineStr">
        <is>
          <t>unknown</t>
        </is>
      </c>
      <c r="Z900" t="inlineStr"/>
      <c r="AA900" t="inlineStr"/>
      <c r="AB900" t="inlineStr"/>
      <c r="AC900" t="inlineStr"/>
      <c r="AD900" t="inlineStr">
        <is>
          <t>לא נמצא בסריקת המפיצים</t>
        </is>
      </c>
      <c r="AE900" t="inlineStr">
        <is>
          <t>סריקת אתרי מפיצים</t>
        </is>
      </c>
      <c r="AG900" t="inlineStr"/>
      <c r="AH900" t="inlineStr"/>
      <c r="AJ900" t="inlineStr"/>
      <c r="AP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P901" t="n">
        <v>125000</v>
      </c>
      <c r="Q901" t="n">
        <v>2025</v>
      </c>
      <c r="R901" t="inlineStr">
        <is>
          <t>company</t>
        </is>
      </c>
      <c r="S901" t="inlineStr">
        <is>
          <t>prior</t>
        </is>
      </c>
      <c r="T901" t="n">
        <v>44560</v>
      </c>
      <c r="U901" t="inlineStr">
        <is>
          <t>USD 44.56 billion</t>
        </is>
      </c>
      <c r="V901" t="inlineStr">
        <is>
          <t>FY2025</t>
        </is>
      </c>
      <c r="W901" t="inlineStr">
        <is>
          <t>company</t>
        </is>
      </c>
      <c r="X901" t="inlineStr">
        <is>
          <t>prior</t>
        </is>
      </c>
      <c r="Y901" t="inlineStr">
        <is>
          <t>reported</t>
        </is>
      </c>
      <c r="Z901" t="inlineStr">
        <is>
          <t>Thermo Scientific Orbitrap Astral</t>
        </is>
      </c>
      <c r="AA901" t="inlineStr">
        <is>
          <t>Applied Biosystems QuantStudio</t>
        </is>
      </c>
      <c r="AB901" t="inlineStr">
        <is>
          <t>Thermo Scientific Krios cryo-TEM</t>
        </is>
      </c>
      <c r="AC901" t="inlineStr">
        <is>
          <t>prior</t>
        </is>
      </c>
      <c r="AD901" t="inlineStr">
        <is>
          <t>חברה-בת בישראל</t>
        </is>
      </c>
      <c r="AE901" t="inlineStr">
        <is>
          <t>אומת</t>
        </is>
      </c>
      <c r="AF901" t="n">
        <v>2026</v>
      </c>
      <c r="AG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901" t="inlineStr">
        <is>
          <t>+972 73 256 0860</t>
        </is>
      </c>
      <c r="AL901" t="inlineStr">
        <is>
          <t>Waltham, Massachusetts</t>
        </is>
      </c>
      <c r="AM901" t="inlineStr">
        <is>
          <t>https://www.thermofisher.com/store/v2/contact-us?enableChat=true</t>
        </is>
      </c>
      <c r="AN901" t="inlineStr">
        <is>
          <t>https://slimpages.startupim.com/company_page/thermo-fisher-scientific</t>
        </is>
      </c>
      <c r="AP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Y902" t="inlineStr">
        <is>
          <t>unknown</t>
        </is>
      </c>
      <c r="Z902" t="inlineStr"/>
      <c r="AA902" t="inlineStr"/>
      <c r="AB902" t="inlineStr"/>
      <c r="AC902" t="inlineStr"/>
      <c r="AD902" t="inlineStr">
        <is>
          <t>לא נמצא בסריקת המפיצים</t>
        </is>
      </c>
      <c r="AE902" t="inlineStr">
        <is>
          <t>סריקת אתרי מפיצים</t>
        </is>
      </c>
      <c r="AG902" t="inlineStr"/>
      <c r="AH902" t="inlineStr"/>
      <c r="AJ902" t="inlineStr"/>
      <c r="AP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Y903" t="inlineStr">
        <is>
          <t>unknown</t>
        </is>
      </c>
      <c r="Z903" t="inlineStr"/>
      <c r="AA903" t="inlineStr"/>
      <c r="AB903" t="inlineStr"/>
      <c r="AC903" t="inlineStr"/>
      <c r="AD903" t="inlineStr">
        <is>
          <t>לא נמצא בחיפוש ראשוני</t>
        </is>
      </c>
      <c r="AE903" t="inlineStr">
        <is>
          <t>חיפוש חלקי</t>
        </is>
      </c>
      <c r="AG903" t="inlineStr"/>
      <c r="AH903" t="inlineStr"/>
      <c r="AI903" t="inlineStr">
        <is>
          <t>Whirl-Pak was divested by Nasco to Filtration Group (2022); no Israeli distributor named; Israeli hits (Gotta Hay Trade, Winpac) were unrelated packaging/consumer firms.</t>
        </is>
      </c>
      <c r="AJ903" t="inlineStr"/>
      <c r="AP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Y904" t="inlineStr">
        <is>
          <t>unknown</t>
        </is>
      </c>
      <c r="Z904" t="inlineStr"/>
      <c r="AA904" t="inlineStr"/>
      <c r="AB904" t="inlineStr"/>
      <c r="AC904" t="inlineStr"/>
      <c r="AD904" t="inlineStr">
        <is>
          <t>לא נמצא בסריקת המפיצים</t>
        </is>
      </c>
      <c r="AE904" t="inlineStr">
        <is>
          <t>סריקת אתרי מפיצים</t>
        </is>
      </c>
      <c r="AG904" t="inlineStr"/>
      <c r="AH904" t="inlineStr"/>
      <c r="AJ904" t="inlineStr">
        <is>
          <t>+18592612035</t>
        </is>
      </c>
      <c r="AM904" t="inlineStr">
        <is>
          <t>https://www.nationalband.com/contact/</t>
        </is>
      </c>
      <c r="AN904" t="inlineStr">
        <is>
          <t>https://www.nationalband.com/contact/</t>
        </is>
      </c>
      <c r="AP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Y905" t="inlineStr">
        <is>
          <t>unknown</t>
        </is>
      </c>
      <c r="Z905" t="inlineStr"/>
      <c r="AA905" t="inlineStr"/>
      <c r="AB905" t="inlineStr"/>
      <c r="AC905" t="inlineStr"/>
      <c r="AD905" t="inlineStr">
        <is>
          <t>לא נמצא בסריקת המפיצים</t>
        </is>
      </c>
      <c r="AE905" t="inlineStr">
        <is>
          <t>סריקת אתרי מפיצים</t>
        </is>
      </c>
      <c r="AG905" t="inlineStr"/>
      <c r="AH905" t="inlineStr"/>
      <c r="AJ905" t="inlineStr"/>
      <c r="AP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Y906" t="inlineStr">
        <is>
          <t>unknown</t>
        </is>
      </c>
      <c r="Z906" t="inlineStr"/>
      <c r="AA906" t="inlineStr"/>
      <c r="AB906" t="inlineStr"/>
      <c r="AC906" t="inlineStr"/>
      <c r="AD906" t="inlineStr">
        <is>
          <t>לא נמצא בסריקת המפיצים</t>
        </is>
      </c>
      <c r="AE906" t="inlineStr">
        <is>
          <t>סריקת אתרי מפיצים</t>
        </is>
      </c>
      <c r="AG906" t="inlineStr"/>
      <c r="AH906" t="inlineStr"/>
      <c r="AJ906" t="inlineStr">
        <is>
          <t>032-321-2100</t>
        </is>
      </c>
      <c r="AM906" t="inlineStr">
        <is>
          <t>https://n-biotek.com/en/customer/contact.php</t>
        </is>
      </c>
      <c r="AN906" t="inlineStr">
        <is>
          <t>https://n-biotek.com/en/customer/contact.php</t>
        </is>
      </c>
      <c r="AP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Y907" t="inlineStr">
        <is>
          <t>unknown</t>
        </is>
      </c>
      <c r="Z907" t="inlineStr"/>
      <c r="AA907" t="inlineStr"/>
      <c r="AB907" t="inlineStr"/>
      <c r="AC907" t="inlineStr"/>
      <c r="AD907" t="inlineStr">
        <is>
          <t>לא נמצא בסריקת המפיצים</t>
        </is>
      </c>
      <c r="AE907" t="inlineStr">
        <is>
          <t>סריקת אתרי מפיצים</t>
        </is>
      </c>
      <c r="AG907" t="inlineStr"/>
      <c r="AH907" t="inlineStr"/>
      <c r="AJ907" t="inlineStr">
        <is>
          <t>615.366.3230</t>
        </is>
      </c>
      <c r="AM907" t="inlineStr">
        <is>
          <t>https://ndc-inc.com/contact/</t>
        </is>
      </c>
      <c r="AN907" t="inlineStr">
        <is>
          <t>https://ndc-inc.com/contact/</t>
        </is>
      </c>
      <c r="AP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Y908" t="inlineStr">
        <is>
          <t>unknown</t>
        </is>
      </c>
      <c r="Z908" t="inlineStr"/>
      <c r="AA908" t="inlineStr"/>
      <c r="AB908" t="inlineStr"/>
      <c r="AC908" t="inlineStr"/>
      <c r="AD908" t="inlineStr">
        <is>
          <t>לא נמצא בסריקת המפיצים</t>
        </is>
      </c>
      <c r="AE908" t="inlineStr">
        <is>
          <t>סריקת אתרי מפיצים</t>
        </is>
      </c>
      <c r="AG908" t="inlineStr"/>
      <c r="AH908" t="inlineStr"/>
      <c r="AJ908" t="inlineStr">
        <is>
          <t>+5999 5605138</t>
        </is>
      </c>
      <c r="AM908" t="inlineStr">
        <is>
          <t>https://ndstechnologies.com/contact/</t>
        </is>
      </c>
      <c r="AN908" t="inlineStr">
        <is>
          <t>https://ndstechnologies.com/contact/</t>
        </is>
      </c>
      <c r="AP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Y909" t="inlineStr">
        <is>
          <t>unknown</t>
        </is>
      </c>
      <c r="Z909" t="inlineStr">
        <is>
          <t>Fluid Thioglycollate Medium (USP Formulation)</t>
        </is>
      </c>
      <c r="AA909" t="inlineStr">
        <is>
          <t>MR-VP Broth</t>
        </is>
      </c>
      <c r="AB909" t="inlineStr">
        <is>
          <t>Campy-Blaser</t>
        </is>
      </c>
      <c r="AC909" t="inlineStr">
        <is>
          <t>thomassci</t>
        </is>
      </c>
      <c r="AD909" t="inlineStr">
        <is>
          <t>לא נמצא בסריקת המפיצים</t>
        </is>
      </c>
      <c r="AE909" t="inlineStr">
        <is>
          <t>סריקת אתרי מפיצים</t>
        </is>
      </c>
      <c r="AG909" t="inlineStr"/>
      <c r="AH909" t="inlineStr"/>
      <c r="AJ909" t="inlineStr"/>
      <c r="AP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Y910" t="inlineStr">
        <is>
          <t>unknown</t>
        </is>
      </c>
      <c r="Z910" t="inlineStr"/>
      <c r="AA910" t="inlineStr"/>
      <c r="AB910" t="inlineStr"/>
      <c r="AC910" t="inlineStr"/>
      <c r="AD910" t="inlineStr">
        <is>
          <t>לא נמצא בסריקת המפיצים</t>
        </is>
      </c>
      <c r="AE910" t="inlineStr">
        <is>
          <t>סריקת אתרי מפיצים</t>
        </is>
      </c>
      <c r="AG910" t="inlineStr"/>
      <c r="AH910" t="inlineStr"/>
      <c r="AJ910" t="inlineStr"/>
      <c r="AP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Y911" t="inlineStr">
        <is>
          <t>unknown</t>
        </is>
      </c>
      <c r="Z911" t="inlineStr"/>
      <c r="AA911" t="inlineStr"/>
      <c r="AB911" t="inlineStr"/>
      <c r="AC911" t="inlineStr"/>
      <c r="AD911" t="inlineStr">
        <is>
          <t>לא נמצא בחיפוש ראשוני</t>
        </is>
      </c>
      <c r="AE911" t="inlineStr">
        <is>
          <t>חיפוש חלקי</t>
        </is>
      </c>
      <c r="AG911" t="inlineStr"/>
      <c r="AH911" t="inlineStr"/>
      <c r="AI911" t="inlineStr">
        <is>
          <t>NEST (Wuxi, China; NEST Scientific USA in Woodbridge, NJ) results show a 2024 North American deal with Captivate Bio and claims of sales in 50-80 countries; no Israeli distributor named.</t>
        </is>
      </c>
      <c r="AJ911" t="inlineStr"/>
      <c r="AP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Y912" t="inlineStr">
        <is>
          <t>unknown</t>
        </is>
      </c>
      <c r="Z912" t="inlineStr"/>
      <c r="AA912" t="inlineStr"/>
      <c r="AB912" t="inlineStr"/>
      <c r="AC912" t="inlineStr"/>
      <c r="AD912" t="inlineStr">
        <is>
          <t>לא נמצא בסריקת המפיצים</t>
        </is>
      </c>
      <c r="AE912" t="inlineStr">
        <is>
          <t>סריקת אתרי מפיצים</t>
        </is>
      </c>
      <c r="AG912" t="inlineStr"/>
      <c r="AH912" t="inlineStr"/>
      <c r="AJ912" t="inlineStr"/>
      <c r="AP912" t="inlineStr">
        <is>
          <t>https://www.quartzy.com/suppliers</t>
        </is>
      </c>
    </row>
    <row r="913">
      <c r="A913" t="n">
        <v>912</v>
      </c>
      <c r="B913" t="inlineStr">
        <is>
          <t>Neuromics</t>
        </is>
      </c>
      <c r="C913" t="inlineStr">
        <is>
          <t>Q</t>
        </is>
      </c>
      <c r="F913" t="inlineStr">
        <is>
          <t>yes</t>
        </is>
      </c>
      <c r="H913" t="inlineStr">
        <is>
          <t>https://neuromics.com</t>
        </is>
      </c>
      <c r="I913" t="inlineStr">
        <is>
          <t>clearbit_verified</t>
        </is>
      </c>
      <c r="J913" t="inlineStr"/>
      <c r="Y913" t="inlineStr">
        <is>
          <t>unknown</t>
        </is>
      </c>
      <c r="Z913" t="inlineStr"/>
      <c r="AA913" t="inlineStr"/>
      <c r="AB913" t="inlineStr"/>
      <c r="AC913" t="inlineStr"/>
      <c r="AD913" t="inlineStr">
        <is>
          <t>לא נמצא בסריקת המפיצים</t>
        </is>
      </c>
      <c r="AE913" t="inlineStr">
        <is>
          <t>סריקת אתרי מפיצים</t>
        </is>
      </c>
      <c r="AG913" t="inlineStr"/>
      <c r="AH913" t="inlineStr"/>
      <c r="AJ913" t="inlineStr">
        <is>
          <t>1792304059349</t>
        </is>
      </c>
      <c r="AM913" t="inlineStr">
        <is>
          <t>https://www.neuromics.com/contact-us</t>
        </is>
      </c>
      <c r="AN913" t="inlineStr">
        <is>
          <t>https://www.neuromics.com/contact-us</t>
        </is>
      </c>
      <c r="AP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Y914" t="inlineStr">
        <is>
          <t>unknown</t>
        </is>
      </c>
      <c r="Z914" t="inlineStr"/>
      <c r="AA914" t="inlineStr"/>
      <c r="AB914" t="inlineStr"/>
      <c r="AC914" t="inlineStr"/>
      <c r="AD914" t="inlineStr">
        <is>
          <t>לא נמצא בסריקת המפיצים</t>
        </is>
      </c>
      <c r="AE914" t="inlineStr">
        <is>
          <t>סריקת אתרי מפיצים</t>
        </is>
      </c>
      <c r="AG914" t="inlineStr"/>
      <c r="AH914" t="inlineStr"/>
      <c r="AJ914" t="inlineStr">
        <is>
          <t>(800) 638-7465</t>
        </is>
      </c>
      <c r="AK914" t="inlineStr">
        <is>
          <t>customerservice@nevsink.com</t>
        </is>
      </c>
      <c r="AM914" t="inlineStr">
        <is>
          <t>https://nevsink.com/contact-us/</t>
        </is>
      </c>
      <c r="AN914" t="inlineStr">
        <is>
          <t>https://nevsink.com/contact-us/</t>
        </is>
      </c>
      <c r="AP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Y915" t="inlineStr">
        <is>
          <t>unknown</t>
        </is>
      </c>
      <c r="Z915" t="inlineStr"/>
      <c r="AA915" t="inlineStr"/>
      <c r="AB915" t="inlineStr"/>
      <c r="AC915" t="inlineStr"/>
      <c r="AD915" t="inlineStr">
        <is>
          <t>לא נמצא בסריקת המפיצים</t>
        </is>
      </c>
      <c r="AE915" t="inlineStr">
        <is>
          <t>סריקת אתרי מפיצים</t>
        </is>
      </c>
      <c r="AG915" t="inlineStr"/>
      <c r="AH915" t="inlineStr"/>
      <c r="AJ915" t="inlineStr"/>
      <c r="AP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P916" t="n">
        <v>1000</v>
      </c>
      <c r="Q916" t="n">
        <v>2024</v>
      </c>
      <c r="R916" t="inlineStr">
        <is>
          <t>estimate</t>
        </is>
      </c>
      <c r="S916" t="inlineStr">
        <is>
          <t>prior</t>
        </is>
      </c>
      <c r="T916" t="n">
        <v>500</v>
      </c>
      <c r="U916" t="inlineStr">
        <is>
          <t>USD ~500 million (trade estimate; private)</t>
        </is>
      </c>
      <c r="V916" t="inlineStr">
        <is>
          <t>2024 (estimate)</t>
        </is>
      </c>
      <c r="W916" t="inlineStr">
        <is>
          <t>estimate</t>
        </is>
      </c>
      <c r="X916" t="inlineStr">
        <is>
          <t>prior</t>
        </is>
      </c>
      <c r="Y916" t="inlineStr">
        <is>
          <t>estimate</t>
        </is>
      </c>
      <c r="Z916" t="inlineStr">
        <is>
          <t>Q5 High-Fidelity DNA Polymerase</t>
        </is>
      </c>
      <c r="AA916" t="inlineStr">
        <is>
          <t>NEBNext</t>
        </is>
      </c>
      <c r="AB916" t="inlineStr">
        <is>
          <t>Monarch</t>
        </is>
      </c>
      <c r="AC916" t="inlineStr">
        <is>
          <t>prior</t>
        </is>
      </c>
      <c r="AD916" t="inlineStr">
        <is>
          <t>מפיץ/נציג בישראל</t>
        </is>
      </c>
      <c r="AE916" t="inlineStr">
        <is>
          <t>אומת</t>
        </is>
      </c>
      <c r="AF916" t="n">
        <v>2026</v>
      </c>
      <c r="AG916" t="inlineStr">
        <is>
          <t>Ornat BioChemicals &amp; Lab Equipment Ltd.</t>
        </is>
      </c>
      <c r="AH916" t="inlineStr">
        <is>
          <t>Ornat BioChemicals &amp; Lab Equipment Ltd.: +972-8-9477077 ornatbio@ornat.co.il</t>
        </is>
      </c>
      <c r="AI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916" t="inlineStr">
        <is>
          <t>+1 978-928-5054</t>
        </is>
      </c>
      <c r="AK916" t="inlineStr">
        <is>
          <t>info@neb.com</t>
        </is>
      </c>
      <c r="AL916" t="inlineStr">
        <is>
          <t>240 County Road, Ipswich, MA 01938-2723, USA</t>
        </is>
      </c>
      <c r="AM916" t="inlineStr">
        <is>
          <t>https://www.neb.com/en-us/support/international-ordering-support</t>
        </is>
      </c>
      <c r="AN916" t="inlineStr">
        <is>
          <t>https://www.neb.com/en-us/support/international-ordering-support</t>
        </is>
      </c>
      <c r="AP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Y917" t="inlineStr">
        <is>
          <t>unknown</t>
        </is>
      </c>
      <c r="Z917" t="inlineStr"/>
      <c r="AA917" t="inlineStr"/>
      <c r="AB917" t="inlineStr"/>
      <c r="AC917" t="inlineStr"/>
      <c r="AD917" t="inlineStr">
        <is>
          <t>לא נמצא בסריקת המפיצים</t>
        </is>
      </c>
      <c r="AE917" t="inlineStr">
        <is>
          <t>סריקת אתרי מפיצים</t>
        </is>
      </c>
      <c r="AG917" t="inlineStr"/>
      <c r="AH917" t="inlineStr"/>
      <c r="AJ917" t="inlineStr"/>
      <c r="AN917" t="inlineStr">
        <is>
          <t>https://www.newpig.com/</t>
        </is>
      </c>
      <c r="AP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Y918" t="inlineStr">
        <is>
          <t>unknown</t>
        </is>
      </c>
      <c r="Z918" t="inlineStr"/>
      <c r="AA918" t="inlineStr"/>
      <c r="AB918" t="inlineStr"/>
      <c r="AC918" t="inlineStr"/>
      <c r="AD918" t="inlineStr">
        <is>
          <t>לא נמצא בסריקת המפיצים</t>
        </is>
      </c>
      <c r="AE918" t="inlineStr">
        <is>
          <t>סריקת אתרי מפיצים</t>
        </is>
      </c>
      <c r="AG918" t="inlineStr"/>
      <c r="AH918" t="inlineStr"/>
      <c r="AJ918" t="inlineStr">
        <is>
          <t>9737784478</t>
        </is>
      </c>
      <c r="AK918" t="inlineStr">
        <is>
          <t>sales@newarkwire.com</t>
        </is>
      </c>
      <c r="AM918" t="inlineStr">
        <is>
          <t>https://newarkwire.com/contact-us/</t>
        </is>
      </c>
      <c r="AN918" t="inlineStr">
        <is>
          <t>https://newarkwire.com/contact-us/</t>
        </is>
      </c>
      <c r="AP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Y919" t="inlineStr">
        <is>
          <t>unknown</t>
        </is>
      </c>
      <c r="Z919" t="inlineStr"/>
      <c r="AA919" t="inlineStr"/>
      <c r="AB919" t="inlineStr"/>
      <c r="AC919" t="inlineStr"/>
      <c r="AD919" t="inlineStr">
        <is>
          <t>לא נמצא בסריקת המפיצים</t>
        </is>
      </c>
      <c r="AE919" t="inlineStr">
        <is>
          <t>סריקת אתרי מפיצים</t>
        </is>
      </c>
      <c r="AG919" t="inlineStr"/>
      <c r="AH919" t="inlineStr"/>
      <c r="AJ919" t="inlineStr">
        <is>
          <t>800-383-7799</t>
        </is>
      </c>
      <c r="AK919" t="inlineStr">
        <is>
          <t>info@newcomersupply.com</t>
        </is>
      </c>
      <c r="AM919" t="inlineStr">
        <is>
          <t>https://www.newcomersupply.com/contact-us/</t>
        </is>
      </c>
      <c r="AN919" t="inlineStr">
        <is>
          <t>https://www.newcomersupply.com/contact-us/</t>
        </is>
      </c>
      <c r="AP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Y920" t="inlineStr">
        <is>
          <t>unknown</t>
        </is>
      </c>
      <c r="Z920" t="inlineStr"/>
      <c r="AA920" t="inlineStr"/>
      <c r="AB920" t="inlineStr"/>
      <c r="AC920" t="inlineStr"/>
      <c r="AD920" t="inlineStr">
        <is>
          <t>לא נמצא בסריקת המפיצים</t>
        </is>
      </c>
      <c r="AE920" t="inlineStr">
        <is>
          <t>סריקת אתרי מפיצים</t>
        </is>
      </c>
      <c r="AG920" t="inlineStr"/>
      <c r="AH920" t="inlineStr"/>
      <c r="AJ920" t="inlineStr">
        <is>
          <t>800-267.5549</t>
        </is>
      </c>
      <c r="AK920" t="inlineStr">
        <is>
          <t>info@newman-medical.com</t>
        </is>
      </c>
      <c r="AM920" t="inlineStr">
        <is>
          <t>https://newman-medical.com/contact-us/</t>
        </is>
      </c>
      <c r="AN920" t="inlineStr">
        <is>
          <t>https://newman-medical.com/contact-us/</t>
        </is>
      </c>
      <c r="AP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Y921" t="inlineStr">
        <is>
          <t>unknown</t>
        </is>
      </c>
      <c r="Z921" t="inlineStr"/>
      <c r="AA921" t="inlineStr"/>
      <c r="AB921" t="inlineStr"/>
      <c r="AC921" t="inlineStr"/>
      <c r="AD921" t="inlineStr">
        <is>
          <t>לא נמצא בסריקת המפיצים</t>
        </is>
      </c>
      <c r="AE921" t="inlineStr">
        <is>
          <t>סריקת אתרי מפיצים</t>
        </is>
      </c>
      <c r="AG921" t="inlineStr"/>
      <c r="AH921" t="inlineStr"/>
      <c r="AJ921" t="inlineStr"/>
      <c r="AP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Y922" t="inlineStr">
        <is>
          <t>unknown</t>
        </is>
      </c>
      <c r="Z922" t="inlineStr"/>
      <c r="AA922" t="inlineStr"/>
      <c r="AB922" t="inlineStr"/>
      <c r="AC922" t="inlineStr"/>
      <c r="AD922" t="inlineStr">
        <is>
          <t>לא נמצא בסריקת המפיצים</t>
        </is>
      </c>
      <c r="AE922" t="inlineStr">
        <is>
          <t>סריקת אתרי מפיצים</t>
        </is>
      </c>
      <c r="AG922" t="inlineStr"/>
      <c r="AH922" t="inlineStr"/>
      <c r="AJ922" t="inlineStr"/>
      <c r="AP922" t="inlineStr">
        <is>
          <t>https://www.dutscher.com/search?initialFilters=brand:Next+advance</t>
        </is>
      </c>
    </row>
    <row r="923">
      <c r="A923" t="n">
        <v>922</v>
      </c>
      <c r="B923" t="inlineStr">
        <is>
          <t>NeXtal</t>
        </is>
      </c>
      <c r="C923" t="inlineStr">
        <is>
          <t>Q</t>
        </is>
      </c>
      <c r="F923" t="inlineStr">
        <is>
          <t>yes</t>
        </is>
      </c>
      <c r="J923" t="inlineStr"/>
      <c r="Y923" t="inlineStr">
        <is>
          <t>unknown</t>
        </is>
      </c>
      <c r="Z923" t="inlineStr"/>
      <c r="AA923" t="inlineStr"/>
      <c r="AB923" t="inlineStr"/>
      <c r="AC923" t="inlineStr"/>
      <c r="AD923" t="inlineStr">
        <is>
          <t>לא נמצא בסריקת המפיצים</t>
        </is>
      </c>
      <c r="AE923" t="inlineStr">
        <is>
          <t>סריקת אתרי מפיצים</t>
        </is>
      </c>
      <c r="AG923" t="inlineStr"/>
      <c r="AH923" t="inlineStr"/>
      <c r="AJ923" t="inlineStr"/>
      <c r="AP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Y924" t="inlineStr">
        <is>
          <t>unknown</t>
        </is>
      </c>
      <c r="Z924" t="inlineStr"/>
      <c r="AA924" t="inlineStr"/>
      <c r="AB924" t="inlineStr"/>
      <c r="AC924" t="inlineStr"/>
      <c r="AD924" t="inlineStr">
        <is>
          <t>לא נמצא בסריקת המפיצים</t>
        </is>
      </c>
      <c r="AE924" t="inlineStr">
        <is>
          <t>סריקת אתרי מפיצים</t>
        </is>
      </c>
      <c r="AG924" t="inlineStr"/>
      <c r="AH924" t="inlineStr"/>
      <c r="AJ924" t="inlineStr">
        <is>
          <t>048-989-1301</t>
        </is>
      </c>
      <c r="AM924" t="inlineStr">
        <is>
          <t>https://www.nichiryo.co.jp:443/contact/</t>
        </is>
      </c>
      <c r="AN924" t="inlineStr">
        <is>
          <t>https://www.nichiryo.co.jp:443/contact/</t>
        </is>
      </c>
      <c r="AP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P925" t="n">
        <v>19928</v>
      </c>
      <c r="Q925" t="n">
        <v>2026</v>
      </c>
      <c r="R925" t="inlineStr">
        <is>
          <t>parent</t>
        </is>
      </c>
      <c r="S925" t="inlineStr">
        <is>
          <t>prior</t>
        </is>
      </c>
      <c r="T925" t="n">
        <v>750</v>
      </c>
      <c r="U925" t="inlineStr">
        <is>
          <t>JPY 111,922 million</t>
        </is>
      </c>
      <c r="V925" t="inlineStr">
        <is>
          <t>FY ended Mar-2026</t>
        </is>
      </c>
      <c r="W925" t="inlineStr">
        <is>
          <t>segment</t>
        </is>
      </c>
      <c r="X925" t="inlineStr">
        <is>
          <t>prior</t>
        </is>
      </c>
      <c r="Y925" t="inlineStr">
        <is>
          <t>reported</t>
        </is>
      </c>
      <c r="Z925" t="inlineStr">
        <is>
          <t>ECLIPSE Ti2</t>
        </is>
      </c>
      <c r="AA925" t="inlineStr">
        <is>
          <t>AX / AX R with NSPARC</t>
        </is>
      </c>
      <c r="AB925" t="inlineStr">
        <is>
          <t>ECLIPSE Ji</t>
        </is>
      </c>
      <c r="AC925" t="inlineStr">
        <is>
          <t>prior</t>
        </is>
      </c>
      <c r="AD925" t="inlineStr">
        <is>
          <t>מפיץ/נציג בישראל</t>
        </is>
      </c>
      <c r="AE925" t="inlineStr">
        <is>
          <t>אומת</t>
        </is>
      </c>
      <c r="AF925" t="n">
        <v>2026</v>
      </c>
      <c r="AG925" t="inlineStr">
        <is>
          <t>Agentek Ltd.</t>
        </is>
      </c>
      <c r="AH925" t="inlineStr">
        <is>
          <t>Agentek Ltd.: +972 9-965-7000</t>
        </is>
      </c>
      <c r="AI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J925" t="inlineStr">
        <is>
          <t>+81 3 3773 1111</t>
        </is>
      </c>
      <c r="AK925" t="inlineStr">
        <is>
          <t>Bsmarketing.Sales@nikon.com</t>
        </is>
      </c>
      <c r="AL925" t="inlineStr">
        <is>
          <t>1-5-20 Nishi-Oi, Shinagawa-ku, Tokyo 140-8601, Japan</t>
        </is>
      </c>
      <c r="AM925" t="inlineStr">
        <is>
          <t>https://www.healthcare.nikon.com/en/contact</t>
        </is>
      </c>
      <c r="AN925" t="inlineStr">
        <is>
          <t>https://www.nikon.com/company/sustainability/report/2025/sr2025_03.pdf</t>
        </is>
      </c>
      <c r="AP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Y926" t="inlineStr">
        <is>
          <t>unknown</t>
        </is>
      </c>
      <c r="Z926" t="inlineStr"/>
      <c r="AA926" t="inlineStr"/>
      <c r="AB926" t="inlineStr"/>
      <c r="AC926" t="inlineStr"/>
      <c r="AD926" t="inlineStr">
        <is>
          <t>לא נמצא בסריקת המפיצים</t>
        </is>
      </c>
      <c r="AE926" t="inlineStr">
        <is>
          <t>סריקת אתרי מפיצים</t>
        </is>
      </c>
      <c r="AG926" t="inlineStr"/>
      <c r="AH926" t="inlineStr"/>
      <c r="AJ926" t="inlineStr"/>
      <c r="AP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Y927" t="inlineStr">
        <is>
          <t>unknown</t>
        </is>
      </c>
      <c r="Z927" t="inlineStr"/>
      <c r="AA927" t="inlineStr"/>
      <c r="AB927" t="inlineStr"/>
      <c r="AC927" t="inlineStr"/>
      <c r="AD927" t="inlineStr">
        <is>
          <t>לא נמצא בסריקת המפיצים</t>
        </is>
      </c>
      <c r="AE927" t="inlineStr">
        <is>
          <t>סריקת אתרי מפיצים</t>
        </is>
      </c>
      <c r="AG927" t="inlineStr"/>
      <c r="AH927" t="inlineStr"/>
      <c r="AJ927" t="inlineStr"/>
      <c r="AP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Y928" t="inlineStr">
        <is>
          <t>unknown</t>
        </is>
      </c>
      <c r="Z928" t="inlineStr"/>
      <c r="AA928" t="inlineStr"/>
      <c r="AB928" t="inlineStr"/>
      <c r="AC928" t="inlineStr"/>
      <c r="AD928" t="inlineStr">
        <is>
          <t>לא נמצא בסריקת המפיצים</t>
        </is>
      </c>
      <c r="AE928" t="inlineStr">
        <is>
          <t>סריקת אתרי מפיצים</t>
        </is>
      </c>
      <c r="AG928" t="inlineStr"/>
      <c r="AH928" t="inlineStr"/>
      <c r="AJ928" t="inlineStr">
        <is>
          <t>9052278848</t>
        </is>
      </c>
      <c r="AK928" t="inlineStr">
        <is>
          <t>info@norgenbiotek.com</t>
        </is>
      </c>
      <c r="AM928" t="inlineStr">
        <is>
          <t>https://norgenbiotek.com/contact</t>
        </is>
      </c>
      <c r="AN928" t="inlineStr">
        <is>
          <t>https://norgenbiotek.com/contact</t>
        </is>
      </c>
      <c r="AP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Y929" t="inlineStr">
        <is>
          <t>unknown</t>
        </is>
      </c>
      <c r="Z929" t="inlineStr"/>
      <c r="AA929" t="inlineStr"/>
      <c r="AB929" t="inlineStr"/>
      <c r="AC929" t="inlineStr"/>
      <c r="AD929" t="inlineStr">
        <is>
          <t>לא נמצא בסריקת המפיצים</t>
        </is>
      </c>
      <c r="AE929" t="inlineStr">
        <is>
          <t>סריקת אתרי מפיצים</t>
        </is>
      </c>
      <c r="AG929" t="inlineStr"/>
      <c r="AH929" t="inlineStr"/>
      <c r="AJ929" t="inlineStr">
        <is>
          <t>888-265-3725</t>
        </is>
      </c>
      <c r="AK929" t="inlineStr">
        <is>
          <t>sales@nortechlabs.com</t>
        </is>
      </c>
      <c r="AM929" t="inlineStr">
        <is>
          <t>https://nortechlabs.com/company-info/contact/</t>
        </is>
      </c>
      <c r="AN929" t="inlineStr">
        <is>
          <t>https://nortechlabs.com/company-info/contact/</t>
        </is>
      </c>
      <c r="AP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Y930" t="inlineStr">
        <is>
          <t>unknown</t>
        </is>
      </c>
      <c r="Z930" t="inlineStr"/>
      <c r="AA930" t="inlineStr"/>
      <c r="AB930" t="inlineStr"/>
      <c r="AC930" t="inlineStr"/>
      <c r="AD930" t="inlineStr">
        <is>
          <t>לא נמצא בסריקת המפיצים</t>
        </is>
      </c>
      <c r="AE930" t="inlineStr">
        <is>
          <t>סריקת אתרי מפיצים</t>
        </is>
      </c>
      <c r="AG930" t="inlineStr"/>
      <c r="AH930" t="inlineStr"/>
      <c r="AJ930" t="inlineStr"/>
      <c r="AP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Y931" t="inlineStr">
        <is>
          <t>unknown</t>
        </is>
      </c>
      <c r="Z931" t="inlineStr"/>
      <c r="AA931" t="inlineStr"/>
      <c r="AB931" t="inlineStr"/>
      <c r="AC931" t="inlineStr"/>
      <c r="AD931" t="inlineStr">
        <is>
          <t>לא נמצא בסריקת המפיצים</t>
        </is>
      </c>
      <c r="AE931" t="inlineStr">
        <is>
          <t>סריקת אתרי מפיצים</t>
        </is>
      </c>
      <c r="AG931" t="inlineStr"/>
      <c r="AH931" t="inlineStr"/>
      <c r="AJ931" t="inlineStr"/>
      <c r="AP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Y932" t="inlineStr">
        <is>
          <t>unknown</t>
        </is>
      </c>
      <c r="Z932" t="inlineStr"/>
      <c r="AA932" t="inlineStr"/>
      <c r="AB932" t="inlineStr"/>
      <c r="AC932" t="inlineStr"/>
      <c r="AD932" t="inlineStr">
        <is>
          <t>לא נמצא בסריקת המפיצים</t>
        </is>
      </c>
      <c r="AE932" t="inlineStr">
        <is>
          <t>סריקת אתרי מפיצים</t>
        </is>
      </c>
      <c r="AG932" t="inlineStr"/>
      <c r="AH932" t="inlineStr"/>
      <c r="AJ932" t="inlineStr"/>
      <c r="AP932" t="inlineStr">
        <is>
          <t>https://www.thomassci.com/browse-by/suppliers/nova-biomedical-corporation</t>
        </is>
      </c>
    </row>
    <row r="933">
      <c r="A933" t="n">
        <v>932</v>
      </c>
      <c r="B933" t="inlineStr">
        <is>
          <t>Novacyt Group-Primer Design</t>
        </is>
      </c>
      <c r="C933" t="inlineStr">
        <is>
          <t>T</t>
        </is>
      </c>
      <c r="E933" t="inlineStr">
        <is>
          <t>https://www.thomassci.com/browse-by/suppliers/novacyt-group-primer-design</t>
        </is>
      </c>
      <c r="F933" t="inlineStr"/>
      <c r="J933" t="inlineStr"/>
      <c r="Y933" t="inlineStr">
        <is>
          <t>unknown</t>
        </is>
      </c>
      <c r="Z933" t="inlineStr"/>
      <c r="AA933" t="inlineStr"/>
      <c r="AB933" t="inlineStr"/>
      <c r="AC933" t="inlineStr"/>
      <c r="AD933" t="inlineStr">
        <is>
          <t>לא נמצא בסריקת המפיצים</t>
        </is>
      </c>
      <c r="AE933" t="inlineStr">
        <is>
          <t>סריקת אתרי מפיצים</t>
        </is>
      </c>
      <c r="AG933" t="inlineStr"/>
      <c r="AH933" t="inlineStr"/>
      <c r="AJ933" t="inlineStr"/>
      <c r="AP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Y934" t="inlineStr">
        <is>
          <t>unknown</t>
        </is>
      </c>
      <c r="Z934" t="inlineStr"/>
      <c r="AA934" t="inlineStr"/>
      <c r="AB934" t="inlineStr"/>
      <c r="AC934" t="inlineStr"/>
      <c r="AD934" t="inlineStr">
        <is>
          <t>לא נמצא בסריקת המפיצים</t>
        </is>
      </c>
      <c r="AE934" t="inlineStr">
        <is>
          <t>סריקת אתרי מפיצים</t>
        </is>
      </c>
      <c r="AG934" t="inlineStr"/>
      <c r="AH934" t="inlineStr"/>
      <c r="AJ934" t="inlineStr"/>
      <c r="AP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Y935" t="inlineStr">
        <is>
          <t>unknown</t>
        </is>
      </c>
      <c r="Z935" t="inlineStr"/>
      <c r="AA935" t="inlineStr"/>
      <c r="AB935" t="inlineStr"/>
      <c r="AC935" t="inlineStr"/>
      <c r="AD935" t="inlineStr">
        <is>
          <t>לא נמצא בסריקת המפיצים</t>
        </is>
      </c>
      <c r="AE935" t="inlineStr">
        <is>
          <t>סריקת אתרי מפיצים</t>
        </is>
      </c>
      <c r="AG935" t="inlineStr"/>
      <c r="AH935" t="inlineStr"/>
      <c r="AJ935" t="inlineStr">
        <is>
          <t>+86 (0512) 6391-9116</t>
        </is>
      </c>
      <c r="AK935" t="inlineStr">
        <is>
          <t>service@novoprotein.com.cn</t>
        </is>
      </c>
      <c r="AM935" t="inlineStr">
        <is>
          <t>https://www.novoprotein.com/contact</t>
        </is>
      </c>
      <c r="AN935" t="inlineStr">
        <is>
          <t>https://www.novoprotein.com/contact</t>
        </is>
      </c>
      <c r="AP935" t="inlineStr">
        <is>
          <t>https://www.quartzy.com/suppliers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P936" t="n">
        <v>3100</v>
      </c>
      <c r="Q936" t="n">
        <v>2025</v>
      </c>
      <c r="R936" t="inlineStr">
        <is>
          <t>company</t>
        </is>
      </c>
      <c r="S936" t="inlineStr">
        <is>
          <t>prior</t>
        </is>
      </c>
      <c r="T936" t="n">
        <v>1220</v>
      </c>
      <c r="U936" t="inlineStr">
        <is>
          <t>USD 1.2 billion (approx.; flat vs FY2025 USD 1,219.6 million)</t>
        </is>
      </c>
      <c r="V936" t="inlineStr">
        <is>
          <t>FY Jun-2026</t>
        </is>
      </c>
      <c r="W936" t="inlineStr">
        <is>
          <t>company</t>
        </is>
      </c>
      <c r="X936" t="inlineStr">
        <is>
          <t>prior</t>
        </is>
      </c>
      <c r="Y936" t="inlineStr">
        <is>
          <t>reported</t>
        </is>
      </c>
      <c r="Z936" t="inlineStr">
        <is>
          <t>ProteinSimple Jess / Simple Western</t>
        </is>
      </c>
      <c r="AA936" t="inlineStr">
        <is>
          <t>R&amp;D Systems proteins, antibodies &amp; Quantikine ELISAs</t>
        </is>
      </c>
      <c r="AB936" t="inlineStr">
        <is>
          <t>RNAscope (ACD)</t>
        </is>
      </c>
      <c r="AC936" t="inlineStr">
        <is>
          <t>prior</t>
        </is>
      </c>
      <c r="AD936" t="inlineStr">
        <is>
          <t>מפיץ/נציג בישראל</t>
        </is>
      </c>
      <c r="AE936" t="inlineStr">
        <is>
          <t>חיפוש חלקי</t>
        </is>
      </c>
      <c r="AF936" t="n">
        <v>2026</v>
      </c>
      <c r="AG936" t="inlineStr">
        <is>
          <t>Getter Bio-Med (Getter Group); Biotest</t>
        </is>
      </c>
      <c r="AH936" t="inlineStr">
        <is>
          <t>Getter Bio-Med (Getter Group): +972 3-576-1555 (Getter Group switchboard); Biotest:</t>
        </is>
      </c>
      <c r="AI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936" t="inlineStr">
        <is>
          <t>+1 800-343-7475</t>
        </is>
      </c>
      <c r="AK936" t="inlineStr">
        <is>
          <t>techsupport@bio-techne.com</t>
        </is>
      </c>
      <c r="AL936" t="inlineStr">
        <is>
          <t>614 McKinley Place NE, Minneapolis, MN 55413, USA</t>
        </is>
      </c>
      <c r="AM936" t="inlineStr">
        <is>
          <t>https://rndsystems.com/node/64566</t>
        </is>
      </c>
      <c r="AN936" t="inlineStr">
        <is>
          <t>https://rndsystems.com/node/64566</t>
        </is>
      </c>
      <c r="AP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Y937" t="inlineStr">
        <is>
          <t>unknown</t>
        </is>
      </c>
      <c r="Z937" t="inlineStr"/>
      <c r="AA937" t="inlineStr"/>
      <c r="AB937" t="inlineStr"/>
      <c r="AC937" t="inlineStr"/>
      <c r="AD937" t="inlineStr">
        <is>
          <t>לא נמצא בסריקת המפיצים</t>
        </is>
      </c>
      <c r="AE937" t="inlineStr">
        <is>
          <t>סריקת אתרי מפיצים</t>
        </is>
      </c>
      <c r="AG937" t="inlineStr"/>
      <c r="AH937" t="inlineStr"/>
      <c r="AJ937" t="inlineStr"/>
      <c r="AP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Y938" t="inlineStr">
        <is>
          <t>unknown</t>
        </is>
      </c>
      <c r="Z938" t="inlineStr"/>
      <c r="AA938" t="inlineStr"/>
      <c r="AB938" t="inlineStr"/>
      <c r="AC938" t="inlineStr"/>
      <c r="AD938" t="inlineStr">
        <is>
          <t>לא נמצא בסריקת המפיצים</t>
        </is>
      </c>
      <c r="AE938" t="inlineStr">
        <is>
          <t>סריקת אתרי מפיצים</t>
        </is>
      </c>
      <c r="AG938" t="inlineStr"/>
      <c r="AH938" t="inlineStr"/>
      <c r="AJ938" t="inlineStr">
        <is>
          <t>+1.800.274.5487</t>
        </is>
      </c>
      <c r="AM938" t="inlineStr">
        <is>
          <t>https://nsilabsolutions.com/contact/</t>
        </is>
      </c>
      <c r="AN938" t="inlineStr">
        <is>
          <t>https://nsilabsolutions.com/contact/</t>
        </is>
      </c>
      <c r="AP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clearbit_verified</t>
        </is>
      </c>
      <c r="J939" t="inlineStr"/>
      <c r="Y939" t="inlineStr">
        <is>
          <t>unknown</t>
        </is>
      </c>
      <c r="Z939" t="inlineStr"/>
      <c r="AA939" t="inlineStr"/>
      <c r="AB939" t="inlineStr"/>
      <c r="AC939" t="inlineStr"/>
      <c r="AD939" t="inlineStr">
        <is>
          <t>מפיץ/נציג בישראל</t>
        </is>
      </c>
      <c r="AE939" t="inlineStr">
        <is>
          <t>סריקת אתרי מפיצים</t>
        </is>
      </c>
      <c r="AF939" t="n">
        <v>2026</v>
      </c>
      <c r="AG939" t="inlineStr">
        <is>
          <t>distributor of Recombinant Proteins, Antibodies, Cell Line, ELISA Kit</t>
        </is>
      </c>
      <c r="AH939" t="inlineStr">
        <is>
          <t>distributor of Recombinant Proteins, Antibodies, Cell Line, ELISA Kit: 054-5544004 info@doronscientific.com</t>
        </is>
      </c>
      <c r="AJ939" t="inlineStr">
        <is>
          <t>858.663.9055</t>
        </is>
      </c>
      <c r="AK939" t="inlineStr">
        <is>
          <t>info@nsjbio.com</t>
        </is>
      </c>
      <c r="AM939" t="inlineStr">
        <is>
          <t>https://www.nsjbio.com/contact-us.html</t>
        </is>
      </c>
      <c r="AN939" t="inlineStr">
        <is>
          <t>https://www.nsjbio.com/contact-us.html</t>
        </is>
      </c>
      <c r="AP939" t="inlineStr">
        <is>
          <t>https://www.quartzy.com/suppliers | https://doronscientific.com/products/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Y940" t="inlineStr">
        <is>
          <t>unknown</t>
        </is>
      </c>
      <c r="Z940" t="inlineStr"/>
      <c r="AA940" t="inlineStr"/>
      <c r="AB940" t="inlineStr"/>
      <c r="AC940" t="inlineStr"/>
      <c r="AD940" t="inlineStr">
        <is>
          <t>לא נמצא בסריקת המפיצים</t>
        </is>
      </c>
      <c r="AE940" t="inlineStr">
        <is>
          <t>סריקת אתרי מפיצים</t>
        </is>
      </c>
      <c r="AG940" t="inlineStr"/>
      <c r="AH940" t="inlineStr"/>
      <c r="AJ940" t="inlineStr">
        <is>
          <t>8775921060</t>
        </is>
      </c>
      <c r="AK940" t="inlineStr">
        <is>
          <t>info@nusep.com</t>
        </is>
      </c>
      <c r="AM940" t="inlineStr">
        <is>
          <t>https://nusep.us/pages/contact</t>
        </is>
      </c>
      <c r="AN940" t="inlineStr">
        <is>
          <t>https://nusep.us/pages/contact</t>
        </is>
      </c>
      <c r="AP940" t="inlineStr">
        <is>
          <t>https://www.quartzy.com/suppliers | https://nusep.us/pages/contact</t>
        </is>
      </c>
    </row>
    <row r="941">
      <c r="A941" t="n">
        <v>940</v>
      </c>
      <c r="B941" t="inlineStr">
        <is>
          <t>NxTBIO Technologies</t>
        </is>
      </c>
      <c r="C941" t="inlineStr">
        <is>
          <t>T</t>
        </is>
      </c>
      <c r="E941" t="inlineStr">
        <is>
          <t>https://www.thomassci.com/browse-by/suppliers/nxtbio-technologies</t>
        </is>
      </c>
      <c r="F941" t="inlineStr"/>
      <c r="J941" t="inlineStr"/>
      <c r="Y941" t="inlineStr">
        <is>
          <t>unknown</t>
        </is>
      </c>
      <c r="Z941" t="inlineStr"/>
      <c r="AA941" t="inlineStr"/>
      <c r="AB941" t="inlineStr"/>
      <c r="AC941" t="inlineStr"/>
      <c r="AD941" t="inlineStr">
        <is>
          <t>לא נמצא בסריקת המפיצים</t>
        </is>
      </c>
      <c r="AE941" t="inlineStr">
        <is>
          <t>סריקת אתרי מפיצים</t>
        </is>
      </c>
      <c r="AG941" t="inlineStr"/>
      <c r="AH941" t="inlineStr"/>
      <c r="AJ941" t="inlineStr"/>
      <c r="AP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Y942" t="inlineStr">
        <is>
          <t>unknown</t>
        </is>
      </c>
      <c r="Z942" t="inlineStr"/>
      <c r="AA942" t="inlineStr"/>
      <c r="AB942" t="inlineStr"/>
      <c r="AC942" t="inlineStr"/>
      <c r="AD942" t="inlineStr">
        <is>
          <t>לא נמצא בסריקת המפיצים</t>
        </is>
      </c>
      <c r="AE942" t="inlineStr">
        <is>
          <t>סריקת אתרי מפיצים</t>
        </is>
      </c>
      <c r="AG942" t="inlineStr"/>
      <c r="AH942" t="inlineStr"/>
      <c r="AJ942" t="inlineStr"/>
      <c r="AP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P943" t="n">
        <v>2000</v>
      </c>
      <c r="Q943" t="n">
        <v>2024</v>
      </c>
      <c r="R943" t="inlineStr">
        <is>
          <t>estimate</t>
        </is>
      </c>
      <c r="S943" t="inlineStr">
        <is>
          <t>prior</t>
        </is>
      </c>
      <c r="T943" t="n">
        <v>400</v>
      </c>
      <c r="U943" t="inlineStr">
        <is>
          <t>approx. USD 400 million (third-party directory estimate)</t>
        </is>
      </c>
      <c r="V943" t="inlineStr">
        <is>
          <t>n/a (directory estimate seen Oct 2026)</t>
        </is>
      </c>
      <c r="W943" t="inlineStr">
        <is>
          <t>estimate</t>
        </is>
      </c>
      <c r="X943" t="inlineStr">
        <is>
          <t>prior</t>
        </is>
      </c>
      <c r="Y943" t="inlineStr">
        <is>
          <t>estimate</t>
        </is>
      </c>
      <c r="Z943" t="inlineStr">
        <is>
          <t>Jenway spectrophotometers</t>
        </is>
      </c>
      <c r="AA943" t="inlineStr">
        <is>
          <t>Environmental Express HotBlock</t>
        </is>
      </c>
      <c r="AB943" t="inlineStr">
        <is>
          <t>Stuart / Techne benchtop equipment</t>
        </is>
      </c>
      <c r="AC943" t="inlineStr">
        <is>
          <t>prior</t>
        </is>
      </c>
      <c r="AD943" t="inlineStr">
        <is>
          <t>מפיץ/נציג בישראל</t>
        </is>
      </c>
      <c r="AE943" t="inlineStr">
        <is>
          <t>אומת</t>
        </is>
      </c>
      <c r="AF943" t="n">
        <v>2026</v>
      </c>
      <c r="AG943" t="inlineStr">
        <is>
          <t>Medent Scientific Instruments</t>
        </is>
      </c>
      <c r="AH943" t="inlineStr">
        <is>
          <t>Medent Scientific Instruments: +972 72-395-0508 (sales); +972 8-683-6306 (service) info@medent.co.il</t>
        </is>
      </c>
      <c r="AI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943" t="inlineStr">
        <is>
          <t>+1 800-323-4340</t>
        </is>
      </c>
      <c r="AK943" t="inlineStr">
        <is>
          <t>sales@antylia.com</t>
        </is>
      </c>
      <c r="AL943" t="inlineStr">
        <is>
          <t>625 East Bunker Court, Vernon Hills, IL 60061, USA</t>
        </is>
      </c>
      <c r="AN943" t="inlineStr">
        <is>
          <t>https://www.thomasnet.com/company/cole-parmer-1148924/profile</t>
        </is>
      </c>
      <c r="AP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944">
      <c r="A944" t="n">
        <v>943</v>
      </c>
      <c r="B944" t="inlineStr">
        <is>
          <t>Oasis Diagnostics Corporation</t>
        </is>
      </c>
      <c r="C944" t="inlineStr">
        <is>
          <t>T</t>
        </is>
      </c>
      <c r="E944" t="inlineStr">
        <is>
          <t>https://www.thomassci.com/browse-by/suppliers/oasis-diagnostics-corporation</t>
        </is>
      </c>
      <c r="F944" t="inlineStr"/>
      <c r="J944" t="inlineStr"/>
      <c r="Y944" t="inlineStr">
        <is>
          <t>unknown</t>
        </is>
      </c>
      <c r="Z944" t="inlineStr"/>
      <c r="AA944" t="inlineStr"/>
      <c r="AB944" t="inlineStr"/>
      <c r="AC944" t="inlineStr"/>
      <c r="AD944" t="inlineStr">
        <is>
          <t>לא נמצא בסריקת המפיצים</t>
        </is>
      </c>
      <c r="AE944" t="inlineStr">
        <is>
          <t>סריקת אתרי מפיצים</t>
        </is>
      </c>
      <c r="AG944" t="inlineStr"/>
      <c r="AH944" t="inlineStr"/>
      <c r="AJ944" t="inlineStr"/>
      <c r="AP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Y945" t="inlineStr">
        <is>
          <t>unknown</t>
        </is>
      </c>
      <c r="Z945" t="inlineStr"/>
      <c r="AA945" t="inlineStr"/>
      <c r="AB945" t="inlineStr"/>
      <c r="AC945" t="inlineStr"/>
      <c r="AD945" t="inlineStr">
        <is>
          <t>לא נמצא בסריקת המפיצים</t>
        </is>
      </c>
      <c r="AE945" t="inlineStr">
        <is>
          <t>סריקת אתרי מפיצים</t>
        </is>
      </c>
      <c r="AG945" t="inlineStr"/>
      <c r="AH945" t="inlineStr"/>
      <c r="AJ945" t="inlineStr">
        <is>
          <t>(504) 300-0266</t>
        </is>
      </c>
      <c r="AM945" t="inlineStr">
        <is>
          <t>https://www.obatalasciences.com/contact-us-button-1</t>
        </is>
      </c>
      <c r="AN945" t="inlineStr">
        <is>
          <t>https://www.obatalasciences.com/contact-us-button-1</t>
        </is>
      </c>
      <c r="AP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Y946" t="inlineStr">
        <is>
          <t>unknown</t>
        </is>
      </c>
      <c r="Z946" t="inlineStr"/>
      <c r="AA946" t="inlineStr"/>
      <c r="AB946" t="inlineStr"/>
      <c r="AC946" t="inlineStr"/>
      <c r="AD946" t="inlineStr">
        <is>
          <t>לא נמצא בסריקת המפיצים</t>
        </is>
      </c>
      <c r="AE946" t="inlineStr">
        <is>
          <t>סריקת אתרי מפיצים</t>
        </is>
      </c>
      <c r="AG946" t="inlineStr"/>
      <c r="AH946" t="inlineStr"/>
      <c r="AJ946" t="inlineStr"/>
      <c r="AP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Y947" t="inlineStr">
        <is>
          <t>unknown</t>
        </is>
      </c>
      <c r="Z947" t="inlineStr"/>
      <c r="AA947" t="inlineStr"/>
      <c r="AB947" t="inlineStr"/>
      <c r="AC947" t="inlineStr"/>
      <c r="AD947" t="inlineStr">
        <is>
          <t>לא נמצא בסריקת המפיצים</t>
        </is>
      </c>
      <c r="AE947" t="inlineStr">
        <is>
          <t>סריקת אתרי מפיצים</t>
        </is>
      </c>
      <c r="AG947" t="inlineStr"/>
      <c r="AH947" t="inlineStr"/>
      <c r="AJ947" t="inlineStr"/>
      <c r="AP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P948" t="n">
        <v>1000</v>
      </c>
      <c r="Q948" t="n">
        <v>2024</v>
      </c>
      <c r="R948" t="inlineStr">
        <is>
          <t>estimate</t>
        </is>
      </c>
      <c r="S948" t="inlineStr">
        <is>
          <t>prior</t>
        </is>
      </c>
      <c r="T948" t="n">
        <v>3872</v>
      </c>
      <c r="U948" t="inlineStr">
        <is>
          <t>USD 3.87 billion (parent Mettler-Toledo, FY2024; recalled, unverified this run)</t>
        </is>
      </c>
      <c r="V948" t="inlineStr">
        <is>
          <t>FY2024</t>
        </is>
      </c>
      <c r="W948" t="inlineStr">
        <is>
          <t>parent</t>
        </is>
      </c>
      <c r="X948" t="inlineStr">
        <is>
          <t>prior</t>
        </is>
      </c>
      <c r="Y948" t="inlineStr">
        <is>
          <t>estimate</t>
        </is>
      </c>
      <c r="Z948" t="inlineStr">
        <is>
          <t>Explorer series</t>
        </is>
      </c>
      <c r="AA948" t="inlineStr">
        <is>
          <t>Pioneer / Adventurer balances</t>
        </is>
      </c>
      <c r="AB948" t="inlineStr">
        <is>
          <t>Frontier series centrifuges</t>
        </is>
      </c>
      <c r="AC948" t="inlineStr">
        <is>
          <t>prior</t>
        </is>
      </c>
      <c r="AD948" t="inlineStr">
        <is>
          <t>מפיץ/נציג בישראל</t>
        </is>
      </c>
      <c r="AE948" t="inlineStr">
        <is>
          <t>אומת</t>
        </is>
      </c>
      <c r="AF948" t="n">
        <v>2026</v>
      </c>
      <c r="AG948" t="inlineStr">
        <is>
          <t>Labotal Scientific Equipment Ltd.; Yair Technologies</t>
        </is>
      </c>
      <c r="AH948" t="inlineStr">
        <is>
          <t>Labotal Scientific Equipment Ltd.: +972 2-579-9222 Sales@labotal.co.il; Yair Technologies: +97288544856 contact@yairtech.co.il</t>
        </is>
      </c>
      <c r="AI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J948" t="inlineStr">
        <is>
          <t>+1 973-377-9000</t>
        </is>
      </c>
      <c r="AL948" t="inlineStr">
        <is>
          <t>7 Campus Drive, Suite 310, Parsippany, NJ 07054, USA</t>
        </is>
      </c>
      <c r="AN948" t="inlineStr">
        <is>
          <t>https://www.labcompare.com/106635-OHAUS-Corporation/</t>
        </is>
      </c>
      <c r="AP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https://www.yairtech.co.il/partners/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Y949" t="inlineStr">
        <is>
          <t>unknown</t>
        </is>
      </c>
      <c r="Z949" t="inlineStr"/>
      <c r="AA949" t="inlineStr"/>
      <c r="AB949" t="inlineStr"/>
      <c r="AC949" t="inlineStr"/>
      <c r="AD949" t="inlineStr">
        <is>
          <t>לא נמצא בסריקת המפיצים</t>
        </is>
      </c>
      <c r="AE949" t="inlineStr">
        <is>
          <t>סריקת אתרי מפיצים</t>
        </is>
      </c>
      <c r="AG949" t="inlineStr"/>
      <c r="AH949" t="inlineStr"/>
      <c r="AJ949" t="inlineStr"/>
      <c r="AP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clearbit_verified</t>
        </is>
      </c>
      <c r="J950" t="inlineStr"/>
      <c r="Y950" t="inlineStr">
        <is>
          <t>unknown</t>
        </is>
      </c>
      <c r="Z950" t="inlineStr"/>
      <c r="AA950" t="inlineStr"/>
      <c r="AB950" t="inlineStr"/>
      <c r="AC950" t="inlineStr"/>
      <c r="AD950" t="inlineStr">
        <is>
          <t>לא נמצא בחיפוש ראשוני</t>
        </is>
      </c>
      <c r="AE950" t="inlineStr">
        <is>
          <t>חיפוש חלקי</t>
        </is>
      </c>
      <c r="AG950" t="inlineStr"/>
      <c r="AH950" t="inlineStr"/>
      <c r="AI950" t="inlineStr">
        <is>
          <t>Only company profiles (Norcross, GA); no Israeli distributor; Agentek surfaced but without any Omega Bio-tek link.</t>
        </is>
      </c>
      <c r="AJ950" t="inlineStr">
        <is>
          <t>770.931.8400</t>
        </is>
      </c>
      <c r="AK950" t="inlineStr">
        <is>
          <t>info@omegabiotek.com</t>
        </is>
      </c>
      <c r="AM950" t="inlineStr">
        <is>
          <t>https://omegabiotek.com/company/contact-us/</t>
        </is>
      </c>
      <c r="AN950" t="inlineStr">
        <is>
          <t>https://omegabiotek.com/company/contact-us/</t>
        </is>
      </c>
      <c r="AP950" t="inlineStr">
        <is>
          <t>https://www.quartzy.com/suppliers | https://www.thomassci.com/browse-by/suppliers/omega-bio-tek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Y951" t="inlineStr">
        <is>
          <t>unknown</t>
        </is>
      </c>
      <c r="Z951" t="inlineStr"/>
      <c r="AA951" t="inlineStr"/>
      <c r="AB951" t="inlineStr"/>
      <c r="AC951" t="inlineStr"/>
      <c r="AD951" t="inlineStr">
        <is>
          <t>לא נמצא בחיפוש ראשוני</t>
        </is>
      </c>
      <c r="AE951" t="inlineStr">
        <is>
          <t>חיפוש חלקי</t>
        </is>
      </c>
      <c r="AG951" t="inlineStr"/>
      <c r="AH951" t="inlineStr"/>
      <c r="AI951" t="inlineStr">
        <is>
          <t>Only company info and Fisher/Sigma/VWR storefront listings; no Israel mention.</t>
        </is>
      </c>
      <c r="AJ951" t="inlineStr"/>
      <c r="AP951" t="inlineStr">
        <is>
          <t>https://www.dutscher.com/search?initialFilters=brand:Omni | https://www.thomassci.com/browse-by/suppliers/omni</t>
        </is>
      </c>
    </row>
    <row r="952">
      <c r="A952" t="n">
        <v>951</v>
      </c>
      <c r="B952" t="inlineStr">
        <is>
          <t>OmniGenX</t>
        </is>
      </c>
      <c r="C952" t="inlineStr">
        <is>
          <t>T</t>
        </is>
      </c>
      <c r="E952" t="inlineStr">
        <is>
          <t>https://www.thomassci.com/browse-by/suppliers/omnigenx</t>
        </is>
      </c>
      <c r="F952" t="inlineStr"/>
      <c r="J952" t="inlineStr"/>
      <c r="Y952" t="inlineStr">
        <is>
          <t>unknown</t>
        </is>
      </c>
      <c r="Z952" t="inlineStr"/>
      <c r="AA952" t="inlineStr"/>
      <c r="AB952" t="inlineStr"/>
      <c r="AC952" t="inlineStr"/>
      <c r="AD952" t="inlineStr">
        <is>
          <t>לא נמצא בסריקת המפיצים</t>
        </is>
      </c>
      <c r="AE952" t="inlineStr">
        <is>
          <t>סריקת אתרי מפיצים</t>
        </is>
      </c>
      <c r="AG952" t="inlineStr"/>
      <c r="AH952" t="inlineStr"/>
      <c r="AJ952" t="inlineStr"/>
      <c r="AP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clearbit_verified</t>
        </is>
      </c>
      <c r="J953" t="inlineStr"/>
      <c r="Y953" t="inlineStr">
        <is>
          <t>unknown</t>
        </is>
      </c>
      <c r="Z953" t="inlineStr"/>
      <c r="AA953" t="inlineStr"/>
      <c r="AB953" t="inlineStr"/>
      <c r="AC953" t="inlineStr"/>
      <c r="AD953" t="inlineStr">
        <is>
          <t>לא נמצא בסריקת המפיצים</t>
        </is>
      </c>
      <c r="AE953" t="inlineStr">
        <is>
          <t>סריקת אתרי מפיצים</t>
        </is>
      </c>
      <c r="AG953" t="inlineStr"/>
      <c r="AH953" t="inlineStr"/>
      <c r="AJ953" t="inlineStr"/>
      <c r="AN953" t="inlineStr">
        <is>
          <t>https://omronhealthcare.com/</t>
        </is>
      </c>
      <c r="AP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J954" t="inlineStr"/>
      <c r="Y954" t="inlineStr">
        <is>
          <t>unknown</t>
        </is>
      </c>
      <c r="Z954" t="inlineStr"/>
      <c r="AA954" t="inlineStr"/>
      <c r="AB954" t="inlineStr"/>
      <c r="AC954" t="inlineStr"/>
      <c r="AD954" t="inlineStr">
        <is>
          <t>לא נמצא בסריקת המפיצים</t>
        </is>
      </c>
      <c r="AE954" t="inlineStr">
        <is>
          <t>סריקת אתרי מפיצים</t>
        </is>
      </c>
      <c r="AG954" t="inlineStr"/>
      <c r="AH954" t="inlineStr"/>
      <c r="AJ954" t="inlineStr"/>
      <c r="AP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Y955" t="inlineStr">
        <is>
          <t>unknown</t>
        </is>
      </c>
      <c r="Z955" t="inlineStr"/>
      <c r="AA955" t="inlineStr"/>
      <c r="AB955" t="inlineStr"/>
      <c r="AC955" t="inlineStr"/>
      <c r="AD955" t="inlineStr">
        <is>
          <t>לא נמצא בסריקת המפיצים</t>
        </is>
      </c>
      <c r="AE955" t="inlineStr">
        <is>
          <t>סריקת אתרי מפיצים</t>
        </is>
      </c>
      <c r="AG955" t="inlineStr"/>
      <c r="AH955" t="inlineStr"/>
      <c r="AJ955" t="inlineStr"/>
      <c r="AP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Y956" t="inlineStr">
        <is>
          <t>unknown</t>
        </is>
      </c>
      <c r="Z956" t="inlineStr"/>
      <c r="AA956" t="inlineStr"/>
      <c r="AB956" t="inlineStr"/>
      <c r="AC956" t="inlineStr"/>
      <c r="AD956" t="inlineStr">
        <is>
          <t>לא נמצא בסריקת המפיצים</t>
        </is>
      </c>
      <c r="AE956" t="inlineStr">
        <is>
          <t>סריקת אתרי מפיצים</t>
        </is>
      </c>
      <c r="AG956" t="inlineStr"/>
      <c r="AH956" t="inlineStr"/>
      <c r="AJ956" t="inlineStr">
        <is>
          <t>0039035571392</t>
        </is>
      </c>
      <c r="AK956" t="inlineStr">
        <is>
          <t>info@optika-italy.com</t>
        </is>
      </c>
      <c r="AM956" t="inlineStr">
        <is>
          <t>https://www.optikamicroscopes.com/optikamicroscopes/contact/</t>
        </is>
      </c>
      <c r="AN956" t="inlineStr">
        <is>
          <t>https://www.optikamicroscopes.com/optikamicroscopes/contact/</t>
        </is>
      </c>
      <c r="AP956" t="inlineStr">
        <is>
          <t>https://www.dutscher.com/search?initialFilters=brand:Optika | https://www.optikamicroscopes.com/optikamicroscopes/contact/</t>
        </is>
      </c>
    </row>
    <row r="957">
      <c r="A957" t="n">
        <v>956</v>
      </c>
      <c r="B957" t="inlineStr">
        <is>
          <t>Optimize Technologies</t>
        </is>
      </c>
      <c r="C957" t="inlineStr">
        <is>
          <t>Q</t>
        </is>
      </c>
      <c r="F957" t="inlineStr">
        <is>
          <t>yes</t>
        </is>
      </c>
      <c r="H957" t="inlineStr">
        <is>
          <t>https://optimizetech.com</t>
        </is>
      </c>
      <c r="I957" t="inlineStr">
        <is>
          <t>clearbit_verified</t>
        </is>
      </c>
      <c r="J957" t="inlineStr"/>
      <c r="Y957" t="inlineStr">
        <is>
          <t>unknown</t>
        </is>
      </c>
      <c r="Z957" t="inlineStr"/>
      <c r="AA957" t="inlineStr"/>
      <c r="AB957" t="inlineStr"/>
      <c r="AC957" t="inlineStr"/>
      <c r="AD957" t="inlineStr">
        <is>
          <t>לא נמצא בסריקת המפיצים</t>
        </is>
      </c>
      <c r="AE957" t="inlineStr">
        <is>
          <t>סריקת אתרי מפיצים</t>
        </is>
      </c>
      <c r="AG957" t="inlineStr"/>
      <c r="AH957" t="inlineStr"/>
      <c r="AJ957" t="inlineStr">
        <is>
          <t>1 (800) 669-9015</t>
        </is>
      </c>
      <c r="AK957" t="inlineStr">
        <is>
          <t>info@optimizetech.com</t>
        </is>
      </c>
      <c r="AM957" t="inlineStr">
        <is>
          <t>https://www.optimizetech.com/contact/</t>
        </is>
      </c>
      <c r="AN957" t="inlineStr">
        <is>
          <t>https://www.optimizetech.com/contact/</t>
        </is>
      </c>
      <c r="AP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Y958" t="inlineStr">
        <is>
          <t>unknown</t>
        </is>
      </c>
      <c r="Z958" t="inlineStr"/>
      <c r="AA958" t="inlineStr"/>
      <c r="AB958" t="inlineStr"/>
      <c r="AC958" t="inlineStr"/>
      <c r="AD958" t="inlineStr">
        <is>
          <t>לא נמצא בסריקת המפיצים</t>
        </is>
      </c>
      <c r="AE958" t="inlineStr">
        <is>
          <t>סריקת אתרי מפיצים</t>
        </is>
      </c>
      <c r="AG958" t="inlineStr"/>
      <c r="AH958" t="inlineStr"/>
      <c r="AJ958" t="inlineStr">
        <is>
          <t>+19788387300</t>
        </is>
      </c>
      <c r="AK958" t="inlineStr">
        <is>
          <t>sales@organomation.com</t>
        </is>
      </c>
      <c r="AM958" t="inlineStr">
        <is>
          <t>https://www.organomation.com/support/contact-help-support</t>
        </is>
      </c>
      <c r="AN958" t="inlineStr">
        <is>
          <t>https://www.organomation.com/support/contact-help-support</t>
        </is>
      </c>
      <c r="AP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clearbit_verified</t>
        </is>
      </c>
      <c r="J959" t="inlineStr"/>
      <c r="Y959" t="inlineStr">
        <is>
          <t>unknown</t>
        </is>
      </c>
      <c r="Z959" t="inlineStr"/>
      <c r="AA959" t="inlineStr"/>
      <c r="AB959" t="inlineStr"/>
      <c r="AC959" t="inlineStr"/>
      <c r="AD959" t="inlineStr">
        <is>
          <t>לא נמצא בסריקת המפיצים</t>
        </is>
      </c>
      <c r="AE959" t="inlineStr">
        <is>
          <t>סריקת אתרי מפיצים</t>
        </is>
      </c>
      <c r="AG959" t="inlineStr"/>
      <c r="AH959" t="inlineStr"/>
      <c r="AJ959" t="inlineStr">
        <is>
          <t>1-301-340-3188</t>
        </is>
      </c>
      <c r="AK959" t="inlineStr">
        <is>
          <t>sales@origene.com</t>
        </is>
      </c>
      <c r="AM959" t="inlineStr">
        <is>
          <t>https://www.origene.com/about-us/contact-us</t>
        </is>
      </c>
      <c r="AN959" t="inlineStr">
        <is>
          <t>https://www.origene.com/about-us/contact-us</t>
        </is>
      </c>
      <c r="AP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Y960" t="inlineStr">
        <is>
          <t>unknown</t>
        </is>
      </c>
      <c r="Z960" t="inlineStr"/>
      <c r="AA960" t="inlineStr"/>
      <c r="AB960" t="inlineStr"/>
      <c r="AC960" t="inlineStr"/>
      <c r="AD960" t="inlineStr">
        <is>
          <t>לא נמצא בסריקת המפיצים</t>
        </is>
      </c>
      <c r="AE960" t="inlineStr">
        <is>
          <t>סריקת אתרי מפיצים</t>
        </is>
      </c>
      <c r="AG960" t="inlineStr"/>
      <c r="AH960" t="inlineStr"/>
      <c r="AJ960" t="inlineStr"/>
      <c r="AN960" t="inlineStr">
        <is>
          <t>https://www.orsnasco.com/</t>
        </is>
      </c>
      <c r="AP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Y961" t="inlineStr">
        <is>
          <t>unknown</t>
        </is>
      </c>
      <c r="Z961" t="inlineStr"/>
      <c r="AA961" t="inlineStr"/>
      <c r="AB961" t="inlineStr"/>
      <c r="AC961" t="inlineStr"/>
      <c r="AD961" t="inlineStr">
        <is>
          <t>לא נמצא בסריקת המפיצים</t>
        </is>
      </c>
      <c r="AE961" t="inlineStr">
        <is>
          <t>סריקת אתרי מפיצים</t>
        </is>
      </c>
      <c r="AG961" t="inlineStr"/>
      <c r="AH961" t="inlineStr"/>
      <c r="AJ961" t="inlineStr"/>
      <c r="AP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Y962" t="inlineStr">
        <is>
          <t>unknown</t>
        </is>
      </c>
      <c r="Z962" t="inlineStr"/>
      <c r="AA962" t="inlineStr"/>
      <c r="AB962" t="inlineStr"/>
      <c r="AC962" t="inlineStr"/>
      <c r="AD962" t="inlineStr">
        <is>
          <t>לא נמצא בסריקת המפיצים</t>
        </is>
      </c>
      <c r="AE962" t="inlineStr">
        <is>
          <t>סריקת אתרי מפיצים</t>
        </is>
      </c>
      <c r="AG962" t="inlineStr"/>
      <c r="AH962" t="inlineStr"/>
      <c r="AJ962" t="inlineStr"/>
      <c r="AP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Y963" t="inlineStr">
        <is>
          <t>unknown</t>
        </is>
      </c>
      <c r="Z963" t="inlineStr"/>
      <c r="AA963" t="inlineStr"/>
      <c r="AB963" t="inlineStr"/>
      <c r="AC963" t="inlineStr"/>
      <c r="AD963" t="inlineStr">
        <is>
          <t>לא נמצא בסריקת המפיצים</t>
        </is>
      </c>
      <c r="AE963" t="inlineStr">
        <is>
          <t>סריקת אתרי מפיצים</t>
        </is>
      </c>
      <c r="AG963" t="inlineStr"/>
      <c r="AH963" t="inlineStr"/>
      <c r="AJ963" t="inlineStr">
        <is>
          <t>+19706164910</t>
        </is>
      </c>
      <c r="AK963" t="inlineStr">
        <is>
          <t>info@ousialabs.com</t>
        </is>
      </c>
      <c r="AM963" t="inlineStr">
        <is>
          <t>https://ousialabs.com/contact/</t>
        </is>
      </c>
      <c r="AN963" t="inlineStr">
        <is>
          <t>https://ousialabs.com/contact/</t>
        </is>
      </c>
      <c r="AP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Y964" t="inlineStr">
        <is>
          <t>unknown</t>
        </is>
      </c>
      <c r="Z964" t="inlineStr"/>
      <c r="AA964" t="inlineStr"/>
      <c r="AB964" t="inlineStr"/>
      <c r="AC964" t="inlineStr"/>
      <c r="AD964" t="inlineStr">
        <is>
          <t>לא נמצא בסריקת המפיצים</t>
        </is>
      </c>
      <c r="AE964" t="inlineStr">
        <is>
          <t>סריקת אתרי מפיצים</t>
        </is>
      </c>
      <c r="AG964" t="inlineStr"/>
      <c r="AH964" t="inlineStr"/>
      <c r="AJ964" t="inlineStr"/>
      <c r="AP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Y965" t="inlineStr">
        <is>
          <t>unknown</t>
        </is>
      </c>
      <c r="Z965" t="inlineStr"/>
      <c r="AA965" t="inlineStr"/>
      <c r="AB965" t="inlineStr"/>
      <c r="AC965" t="inlineStr"/>
      <c r="AD965" t="inlineStr">
        <is>
          <t>לא נמצא בסריקת המפיצים</t>
        </is>
      </c>
      <c r="AE965" t="inlineStr">
        <is>
          <t>סריקת אתרי מפיצים</t>
        </is>
      </c>
      <c r="AG965" t="inlineStr"/>
      <c r="AH965" t="inlineStr"/>
      <c r="AJ965" t="inlineStr"/>
      <c r="AP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P966" t="n">
        <v>2200</v>
      </c>
      <c r="Q966" t="n">
        <v>2025</v>
      </c>
      <c r="R966" t="inlineStr">
        <is>
          <t>company</t>
        </is>
      </c>
      <c r="S966" t="inlineStr">
        <is>
          <t>prior</t>
        </is>
      </c>
      <c r="T966" t="n">
        <v>550</v>
      </c>
      <c r="U966" t="inlineStr">
        <is>
          <t>GBP 423.2 million</t>
        </is>
      </c>
      <c r="V966" t="inlineStr">
        <is>
          <t>FY ended Mar-2026</t>
        </is>
      </c>
      <c r="W966" t="inlineStr">
        <is>
          <t>company</t>
        </is>
      </c>
      <c r="X966" t="inlineStr">
        <is>
          <t>prior</t>
        </is>
      </c>
      <c r="Y966" t="inlineStr">
        <is>
          <t>reported</t>
        </is>
      </c>
      <c r="Z966" t="inlineStr">
        <is>
          <t>AZtec with Ultim Max (NanoAnalysis)</t>
        </is>
      </c>
      <c r="AA966" t="inlineStr">
        <is>
          <t>Andor iXon / Sona / Dragonfly</t>
        </is>
      </c>
      <c r="AB966" t="inlineStr">
        <is>
          <t>PlasmaPro 100 (Plasma Technology)</t>
        </is>
      </c>
      <c r="AC966" t="inlineStr">
        <is>
          <t>prior</t>
        </is>
      </c>
      <c r="AD966" t="inlineStr">
        <is>
          <t>לא ברור</t>
        </is>
      </c>
      <c r="AE966" t="inlineStr">
        <is>
          <t>חיפוש חלקי</t>
        </is>
      </c>
      <c r="AF966" t="n">
        <v>2026</v>
      </c>
      <c r="AG966" t="inlineStr">
        <is>
          <t>Advanced Technological Solutions Ltd. (ATSL); Quantum Design s.r.l. (Italy and Israel branch office, Rome) / Quantum Design Israel site</t>
        </is>
      </c>
      <c r="AH966" t="inlineStr">
        <is>
          <t>Advanced Technological Solutions Ltd. (ATSL):; Quantum Design s.r.l. (Italy and Israel branch office, Rome) / Quantum Design Israel site:</t>
        </is>
      </c>
      <c r="AI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J966" t="inlineStr">
        <is>
          <t>+44 1865 393200</t>
        </is>
      </c>
      <c r="AL966" t="inlineStr">
        <is>
          <t>Tubney Woods, Abingdon, Oxfordshire OX13 5QX, UK</t>
        </is>
      </c>
      <c r="AM966" t="inlineStr">
        <is>
          <t>https://www.oxinst.com/contact-us</t>
        </is>
      </c>
      <c r="AN966" t="inlineStr">
        <is>
          <t>https://www.sharecast.com/scroll_3/equity/Oxford_Instruments/profile</t>
        </is>
      </c>
      <c r="AP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Y967" t="inlineStr">
        <is>
          <t>unknown</t>
        </is>
      </c>
      <c r="Z967" t="inlineStr"/>
      <c r="AA967" t="inlineStr"/>
      <c r="AB967" t="inlineStr"/>
      <c r="AC967" t="inlineStr"/>
      <c r="AD967" t="inlineStr">
        <is>
          <t>לא נמצא בחיפוש ראשוני</t>
        </is>
      </c>
      <c r="AE967" t="inlineStr">
        <is>
          <t>חיפוש חלקי</t>
        </is>
      </c>
      <c r="AG967" t="inlineStr"/>
      <c r="AH967" t="inlineStr"/>
      <c r="AI967" t="inlineStr">
        <is>
          <t>No Israeli distributor for Oxford Lab Products (San Diego pipettes/benchtop equipment); results are dominated by Oxford Nanopore, whose Israeli channel partner is Zotal Ltd (Tel Aviv) - a different company, not applicable.</t>
        </is>
      </c>
      <c r="AJ967" t="inlineStr"/>
      <c r="AP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Y968" t="inlineStr">
        <is>
          <t>unknown</t>
        </is>
      </c>
      <c r="Z968" t="inlineStr"/>
      <c r="AA968" t="inlineStr"/>
      <c r="AB968" t="inlineStr"/>
      <c r="AC968" t="inlineStr"/>
      <c r="AD968" t="inlineStr">
        <is>
          <t>מפיץ/נציג בישראל</t>
        </is>
      </c>
      <c r="AE968" t="inlineStr">
        <is>
          <t>חיפוש חלקי</t>
        </is>
      </c>
      <c r="AG968" t="inlineStr">
        <is>
          <t>Tivan Biotech</t>
        </is>
      </c>
      <c r="AH968" t="inlineStr">
        <is>
          <t>Tivan Biotech:  customerservice@tivanbiotech.com</t>
        </is>
      </c>
      <c r="AJ968" t="inlineStr">
        <is>
          <t>+33486948516</t>
        </is>
      </c>
      <c r="AK968" t="inlineStr">
        <is>
          <t>order@ozbiosciences.com</t>
        </is>
      </c>
      <c r="AM968" t="inlineStr">
        <is>
          <t>https://ozbiosciences.com/contact-us</t>
        </is>
      </c>
      <c r="AN968" t="inlineStr">
        <is>
          <t>https://ozbiosciences.com/contact-us</t>
        </is>
      </c>
      <c r="AP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Y969" t="inlineStr">
        <is>
          <t>unknown</t>
        </is>
      </c>
      <c r="Z969" t="inlineStr"/>
      <c r="AA969" t="inlineStr"/>
      <c r="AB969" t="inlineStr"/>
      <c r="AC969" t="inlineStr"/>
      <c r="AD969" t="inlineStr">
        <is>
          <t>לא נמצא בסריקת המפיצים</t>
        </is>
      </c>
      <c r="AE969" t="inlineStr">
        <is>
          <t>סריקת אתרי מפיצים</t>
        </is>
      </c>
      <c r="AG969" t="inlineStr"/>
      <c r="AH969" t="inlineStr"/>
      <c r="AJ969" t="inlineStr"/>
      <c r="AP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Y970" t="inlineStr">
        <is>
          <t>unknown</t>
        </is>
      </c>
      <c r="Z970" t="inlineStr"/>
      <c r="AA970" t="inlineStr"/>
      <c r="AB970" t="inlineStr"/>
      <c r="AC970" t="inlineStr"/>
      <c r="AD970" t="inlineStr">
        <is>
          <t>לא נמצא בחיפוש ראשוני</t>
        </is>
      </c>
      <c r="AE970" t="inlineStr">
        <is>
          <t>חיפוש חלקי</t>
        </is>
      </c>
      <c r="AG970" t="inlineStr"/>
      <c r="AH970" t="inlineStr"/>
      <c r="AI970" t="inlineStr">
        <is>
          <t>Only corporate/SEC profiles (Pall now under Danaher/Cytiva); no Israeli distributor or office named in results.</t>
        </is>
      </c>
      <c r="AJ970" t="inlineStr"/>
      <c r="AP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Y971" t="inlineStr">
        <is>
          <t>unknown</t>
        </is>
      </c>
      <c r="Z971" t="inlineStr"/>
      <c r="AA971" t="inlineStr"/>
      <c r="AB971" t="inlineStr"/>
      <c r="AC971" t="inlineStr"/>
      <c r="AD971" t="inlineStr">
        <is>
          <t>לא נמצא בסריקת המפיצים</t>
        </is>
      </c>
      <c r="AE971" t="inlineStr">
        <is>
          <t>סריקת אתרי מפיצים</t>
        </is>
      </c>
      <c r="AG971" t="inlineStr"/>
      <c r="AH971" t="inlineStr"/>
      <c r="AJ971" t="inlineStr">
        <is>
          <t>800-344-6424</t>
        </is>
      </c>
      <c r="AK971" t="inlineStr">
        <is>
          <t>customerservice@palmerohealth.com</t>
        </is>
      </c>
      <c r="AM971" t="inlineStr">
        <is>
          <t>https://www.palmerohealth.com/pages/contact-us</t>
        </is>
      </c>
      <c r="AN971" t="inlineStr">
        <is>
          <t>https://www.palmerohealth.com/pages/contact-us</t>
        </is>
      </c>
      <c r="AP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Y972" t="inlineStr">
        <is>
          <t>unknown</t>
        </is>
      </c>
      <c r="Z972" t="inlineStr"/>
      <c r="AA972" t="inlineStr"/>
      <c r="AB972" t="inlineStr"/>
      <c r="AC972" t="inlineStr"/>
      <c r="AD972" t="inlineStr">
        <is>
          <t>מפיץ/נציג בישראל</t>
        </is>
      </c>
      <c r="AE972" t="inlineStr">
        <is>
          <t>סריקת אתרי מפיצים</t>
        </is>
      </c>
      <c r="AF972" t="n">
        <v>2026</v>
      </c>
      <c r="AG972" t="inlineStr">
        <is>
          <t>Yair Technologies</t>
        </is>
      </c>
      <c r="AH972" t="inlineStr">
        <is>
          <t>Yair Technologies: +97288544856 contact@yairtech.co.il</t>
        </is>
      </c>
      <c r="AJ972" t="inlineStr"/>
      <c r="AK972" t="inlineStr">
        <is>
          <t>info@pan-biotech.de</t>
        </is>
      </c>
      <c r="AM972" t="inlineStr">
        <is>
          <t>https://pan-biotech.de/kontakt/</t>
        </is>
      </c>
      <c r="AN972" t="inlineStr">
        <is>
          <t>https://pan-biotech.de/kontakt/</t>
        </is>
      </c>
      <c r="AP972" t="inlineStr">
        <is>
          <t>https://www.dutscher.com/search?initialFilters=brand:Pan+biotech | https://www.yairtech.co.il/partners/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Y973" t="inlineStr">
        <is>
          <t>unknown</t>
        </is>
      </c>
      <c r="Z973" t="inlineStr"/>
      <c r="AA973" t="inlineStr"/>
      <c r="AB973" t="inlineStr"/>
      <c r="AC973" t="inlineStr"/>
      <c r="AD973" t="inlineStr">
        <is>
          <t>לא נמצא בסריקת המפיצים</t>
        </is>
      </c>
      <c r="AE973" t="inlineStr">
        <is>
          <t>סריקת אתרי מפיצים</t>
        </is>
      </c>
      <c r="AG973" t="inlineStr"/>
      <c r="AH973" t="inlineStr"/>
      <c r="AJ973" t="inlineStr"/>
      <c r="AP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Y974" t="inlineStr">
        <is>
          <t>unknown</t>
        </is>
      </c>
      <c r="Z974" t="inlineStr"/>
      <c r="AA974" t="inlineStr"/>
      <c r="AB974" t="inlineStr"/>
      <c r="AC974" t="inlineStr"/>
      <c r="AD974" t="inlineStr">
        <is>
          <t>לא נמצא בסריקת המפיצים</t>
        </is>
      </c>
      <c r="AE974" t="inlineStr">
        <is>
          <t>סריקת אתרי מפיצים</t>
        </is>
      </c>
      <c r="AG974" t="inlineStr"/>
      <c r="AH974" t="inlineStr"/>
      <c r="AJ974" t="inlineStr">
        <is>
          <t>1-800-666-8282</t>
        </is>
      </c>
      <c r="AK974" t="inlineStr">
        <is>
          <t>info@partermedical.com</t>
        </is>
      </c>
      <c r="AM974" t="inlineStr">
        <is>
          <t>https://partermedical.com/contactus.html</t>
        </is>
      </c>
      <c r="AN974" t="inlineStr">
        <is>
          <t>https://partermedical.com/contactus.html</t>
        </is>
      </c>
      <c r="AP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Y975" t="inlineStr">
        <is>
          <t>unknown</t>
        </is>
      </c>
      <c r="Z975" t="inlineStr"/>
      <c r="AA975" t="inlineStr"/>
      <c r="AB975" t="inlineStr"/>
      <c r="AC975" t="inlineStr"/>
      <c r="AD975" t="inlineStr">
        <is>
          <t>לא נמצא בסריקת המפיצים</t>
        </is>
      </c>
      <c r="AE975" t="inlineStr">
        <is>
          <t>סריקת אתרי מפיצים</t>
        </is>
      </c>
      <c r="AG975" t="inlineStr"/>
      <c r="AH975" t="inlineStr"/>
      <c r="AJ975" t="inlineStr"/>
      <c r="AP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Y976" t="inlineStr">
        <is>
          <t>unknown</t>
        </is>
      </c>
      <c r="Z976" t="inlineStr"/>
      <c r="AA976" t="inlineStr"/>
      <c r="AB976" t="inlineStr"/>
      <c r="AC976" t="inlineStr"/>
      <c r="AD976" t="inlineStr">
        <is>
          <t>לא נמצא בסריקת המפיצים</t>
        </is>
      </c>
      <c r="AE976" t="inlineStr">
        <is>
          <t>סריקת אתרי מפיצים</t>
        </is>
      </c>
      <c r="AG976" t="inlineStr"/>
      <c r="AH976" t="inlineStr"/>
      <c r="AJ976" t="inlineStr">
        <is>
          <t>20 3930 8101</t>
        </is>
      </c>
      <c r="AN976" t="inlineStr">
        <is>
          <t>https://pcrbio.com/</t>
        </is>
      </c>
      <c r="AP976" t="inlineStr">
        <is>
          <t>https://www.thomassci.com/browse-by/suppliers/pcr-biosystems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O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Y977" t="inlineStr">
        <is>
          <t>unknown</t>
        </is>
      </c>
      <c r="Z977" t="inlineStr"/>
      <c r="AA977" t="inlineStr"/>
      <c r="AB977" t="inlineStr"/>
      <c r="AC977" t="inlineStr"/>
      <c r="AD977" t="inlineStr">
        <is>
          <t>לא נמצא בסריקת המפיצים</t>
        </is>
      </c>
      <c r="AE977" t="inlineStr">
        <is>
          <t>סריקת אתרי מפיצים</t>
        </is>
      </c>
      <c r="AG977" t="inlineStr"/>
      <c r="AH977" t="inlineStr"/>
      <c r="AJ977" t="inlineStr">
        <is>
          <t>+1-202-506-5608</t>
        </is>
      </c>
      <c r="AK977" t="inlineStr">
        <is>
          <t>info@plantcelltechnology.com</t>
        </is>
      </c>
      <c r="AM977" t="inlineStr">
        <is>
          <t>https://plantcelltechnology.com/pages/contact-us</t>
        </is>
      </c>
      <c r="AN977" t="inlineStr">
        <is>
          <t>https://plantcelltechnology.com/pages/contact-us</t>
        </is>
      </c>
      <c r="AP977" t="inlineStr">
        <is>
          <t>https://info.quartzy.com/new-suppliers | https://plantcelltechnology.com/pages/contact-us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Y978" t="inlineStr">
        <is>
          <t>unknown</t>
        </is>
      </c>
      <c r="Z978" t="inlineStr"/>
      <c r="AA978" t="inlineStr"/>
      <c r="AB978" t="inlineStr"/>
      <c r="AC978" t="inlineStr"/>
      <c r="AD978" t="inlineStr">
        <is>
          <t>לא נמצא בסריקת המפיצים</t>
        </is>
      </c>
      <c r="AE978" t="inlineStr">
        <is>
          <t>סריקת אתרי מפיצים</t>
        </is>
      </c>
      <c r="AG978" t="inlineStr"/>
      <c r="AH978" t="inlineStr"/>
      <c r="AJ978" t="inlineStr"/>
      <c r="AM978" t="inlineStr">
        <is>
          <t>https://pdihc.com/contact-us/</t>
        </is>
      </c>
      <c r="AN978" t="inlineStr">
        <is>
          <t>https://pdihc.com/contact-us/</t>
        </is>
      </c>
      <c r="AP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clearbit_verified</t>
        </is>
      </c>
      <c r="J979" t="inlineStr"/>
      <c r="Y979" t="inlineStr">
        <is>
          <t>unknown</t>
        </is>
      </c>
      <c r="Z979" t="inlineStr"/>
      <c r="AA979" t="inlineStr"/>
      <c r="AB979" t="inlineStr"/>
      <c r="AC979" t="inlineStr"/>
      <c r="AD979" t="inlineStr">
        <is>
          <t>לא נמצא בסריקת המפיצים</t>
        </is>
      </c>
      <c r="AE979" t="inlineStr">
        <is>
          <t>סריקת אתרי מפיצים</t>
        </is>
      </c>
      <c r="AG979" t="inlineStr"/>
      <c r="AH979" t="inlineStr"/>
      <c r="AJ979" t="inlineStr">
        <is>
          <t>8007676532</t>
        </is>
      </c>
      <c r="AM979" t="inlineStr">
        <is>
          <t>https://www.peakscientific.com/contact/?enquiryType=Technical_support</t>
        </is>
      </c>
      <c r="AN979" t="inlineStr">
        <is>
          <t>https://www.peakscientific.com/contact/?enquiryType=Technical_support</t>
        </is>
      </c>
      <c r="AP979" t="inlineStr">
        <is>
          <t>https://www.thomassci.com/browse-by/suppliers/peak-scientific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Y980" t="inlineStr">
        <is>
          <t>unknown</t>
        </is>
      </c>
      <c r="Z980" t="inlineStr"/>
      <c r="AA980" t="inlineStr"/>
      <c r="AB980" t="inlineStr"/>
      <c r="AC980" t="inlineStr"/>
      <c r="AD980" t="inlineStr">
        <is>
          <t>לא נמצא בסריקת המפיצים</t>
        </is>
      </c>
      <c r="AE980" t="inlineStr">
        <is>
          <t>סריקת אתרי מפיצים</t>
        </is>
      </c>
      <c r="AG980" t="inlineStr"/>
      <c r="AH980" t="inlineStr"/>
      <c r="AJ980" t="inlineStr">
        <is>
          <t>(941)-803-4824</t>
        </is>
      </c>
      <c r="AK980" t="inlineStr">
        <is>
          <t>sales@peakfbs.com</t>
        </is>
      </c>
      <c r="AM980" t="inlineStr">
        <is>
          <t>https://peakfbs.com/contact-us/</t>
        </is>
      </c>
      <c r="AN980" t="inlineStr">
        <is>
          <t>https://peakfbs.com/contact-us/</t>
        </is>
      </c>
      <c r="AP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Y981" t="inlineStr">
        <is>
          <t>unknown</t>
        </is>
      </c>
      <c r="Z981" t="inlineStr"/>
      <c r="AA981" t="inlineStr"/>
      <c r="AB981" t="inlineStr"/>
      <c r="AC981" t="inlineStr"/>
      <c r="AD981" t="inlineStr">
        <is>
          <t>לא נמצא בסריקת המפיצים</t>
        </is>
      </c>
      <c r="AE981" t="inlineStr">
        <is>
          <t>סריקת אתרי מפיצים</t>
        </is>
      </c>
      <c r="AG981" t="inlineStr"/>
      <c r="AH981" t="inlineStr"/>
      <c r="AJ981" t="inlineStr"/>
      <c r="AP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Y982" t="inlineStr">
        <is>
          <t>unknown</t>
        </is>
      </c>
      <c r="Z982" t="inlineStr"/>
      <c r="AA982" t="inlineStr"/>
      <c r="AB982" t="inlineStr"/>
      <c r="AC982" t="inlineStr"/>
      <c r="AD982" t="inlineStr">
        <is>
          <t>לא נמצא בסריקת המפיצים</t>
        </is>
      </c>
      <c r="AE982" t="inlineStr">
        <is>
          <t>סריקת אתרי מפיצים</t>
        </is>
      </c>
      <c r="AG982" t="inlineStr"/>
      <c r="AH982" t="inlineStr"/>
      <c r="AJ982" t="inlineStr"/>
      <c r="AP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Y983" t="inlineStr">
        <is>
          <t>unknown</t>
        </is>
      </c>
      <c r="Z983" t="inlineStr"/>
      <c r="AA983" t="inlineStr"/>
      <c r="AB983" t="inlineStr"/>
      <c r="AC983" t="inlineStr"/>
      <c r="AD983" t="inlineStr">
        <is>
          <t>לא נמצא בסריקת המפיצים</t>
        </is>
      </c>
      <c r="AE983" t="inlineStr">
        <is>
          <t>סריקת אתרי מפיצים</t>
        </is>
      </c>
      <c r="AG983" t="inlineStr"/>
      <c r="AH983" t="inlineStr"/>
      <c r="AJ983" t="inlineStr"/>
      <c r="AM983" t="inlineStr">
        <is>
          <t>https://www.thermofisher.com/store/v2/contact-us?enableChat=true</t>
        </is>
      </c>
      <c r="AN983" t="inlineStr">
        <is>
          <t>https://www.thermofisher.com/store/v2/contact-us?enableChat=true</t>
        </is>
      </c>
      <c r="AP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Y984" t="inlineStr">
        <is>
          <t>unknown</t>
        </is>
      </c>
      <c r="Z984" t="inlineStr"/>
      <c r="AA984" t="inlineStr"/>
      <c r="AB984" t="inlineStr"/>
      <c r="AC984" t="inlineStr"/>
      <c r="AD984" t="inlineStr">
        <is>
          <t>לא נמצא בסריקת המפיצים</t>
        </is>
      </c>
      <c r="AE984" t="inlineStr">
        <is>
          <t>סריקת אתרי מפיצים</t>
        </is>
      </c>
      <c r="AG984" t="inlineStr"/>
      <c r="AH984" t="inlineStr"/>
      <c r="AJ984" t="inlineStr"/>
      <c r="AP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Y985" t="inlineStr">
        <is>
          <t>unknown</t>
        </is>
      </c>
      <c r="Z985" t="inlineStr"/>
      <c r="AA985" t="inlineStr"/>
      <c r="AB985" t="inlineStr"/>
      <c r="AC985" t="inlineStr"/>
      <c r="AD985" t="inlineStr">
        <is>
          <t>לא נמצא בסריקת המפיצים</t>
        </is>
      </c>
      <c r="AE985" t="inlineStr">
        <is>
          <t>סריקת אתרי מפיצים</t>
        </is>
      </c>
      <c r="AG985" t="inlineStr"/>
      <c r="AH985" t="inlineStr"/>
      <c r="AJ985" t="inlineStr">
        <is>
          <t>555578217720(6105)</t>
        </is>
      </c>
      <c r="AN985" t="inlineStr">
        <is>
          <t>https://perfex.mx/</t>
        </is>
      </c>
      <c r="AP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P986" t="n">
        <v>6000</v>
      </c>
      <c r="Q986" t="n">
        <v>2022</v>
      </c>
      <c r="R986" t="inlineStr">
        <is>
          <t>company</t>
        </is>
      </c>
      <c r="S986" t="inlineStr">
        <is>
          <t>prior</t>
        </is>
      </c>
      <c r="T986" t="n">
        <v>1300</v>
      </c>
      <c r="U986" t="inlineStr">
        <is>
          <t>USD 1.3 billion (estimate)</t>
        </is>
      </c>
      <c r="V986" t="inlineStr">
        <is>
          <t>FY2022 (at carve-out)</t>
        </is>
      </c>
      <c r="W986" t="inlineStr">
        <is>
          <t>estimate</t>
        </is>
      </c>
      <c r="X986" t="inlineStr">
        <is>
          <t>prior</t>
        </is>
      </c>
      <c r="Y986" t="inlineStr">
        <is>
          <t>mixed</t>
        </is>
      </c>
      <c r="Z986" t="inlineStr">
        <is>
          <t>NexION ICP-MS</t>
        </is>
      </c>
      <c r="AA986" t="inlineStr">
        <is>
          <t>Avio ICP-OES</t>
        </is>
      </c>
      <c r="AB986" t="inlineStr">
        <is>
          <t>Spectrum 3 / Lambda / Pyris</t>
        </is>
      </c>
      <c r="AC986" t="inlineStr">
        <is>
          <t>prior</t>
        </is>
      </c>
      <c r="AD986" t="inlineStr">
        <is>
          <t>חברה-בת בישראל</t>
        </is>
      </c>
      <c r="AE986" t="inlineStr">
        <is>
          <t>אומת</t>
        </is>
      </c>
      <c r="AF986" t="n">
        <v>2026</v>
      </c>
      <c r="AG986" t="inlineStr">
        <is>
          <t>PerkinElmer Israel Ltd.; ISI Israel Scientific Instruments Ltd.</t>
        </is>
      </c>
      <c r="AH986" t="inlineStr">
        <is>
          <t>PerkinElmer Israel Ltd.: 1-700-500-512 cc.israel@perkinelmer.com; ISI Israel Scientific Instruments Ltd.: +972-3-9232202 info@isil.co.il</t>
        </is>
      </c>
      <c r="AI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986" t="inlineStr">
        <is>
          <t>1700-500-512 (Israel domestic number)</t>
        </is>
      </c>
      <c r="AK986" t="inlineStr">
        <is>
          <t>cc.israel@perkinelmer.com</t>
        </is>
      </c>
      <c r="AL986" t="inlineStr">
        <is>
          <t>Shelton, Connecticut</t>
        </is>
      </c>
      <c r="AM986" t="inlineStr">
        <is>
          <t>https://www.perkinelmer.com/contactus/requestaquote.html</t>
        </is>
      </c>
      <c r="AN986" t="inlineStr">
        <is>
          <t>https://ir.revvity.com/news/investor-news/news-details/2013/PerkinElmer-Establishes-Direct-Operations-in-Israel-08-01-2013/default.aspx</t>
        </is>
      </c>
      <c r="AP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Y987" t="inlineStr">
        <is>
          <t>unknown</t>
        </is>
      </c>
      <c r="Z987" t="inlineStr"/>
      <c r="AA987" t="inlineStr"/>
      <c r="AB987" t="inlineStr"/>
      <c r="AC987" t="inlineStr"/>
      <c r="AD987" t="inlineStr">
        <is>
          <t>לא נמצא בסריקת המפיצים</t>
        </is>
      </c>
      <c r="AE987" t="inlineStr">
        <is>
          <t>סריקת אתרי מפיצים</t>
        </is>
      </c>
      <c r="AG987" t="inlineStr"/>
      <c r="AH987" t="inlineStr"/>
      <c r="AJ987" t="inlineStr"/>
      <c r="AP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Y988" t="inlineStr">
        <is>
          <t>unknown</t>
        </is>
      </c>
      <c r="Z988" t="inlineStr"/>
      <c r="AA988" t="inlineStr"/>
      <c r="AB988" t="inlineStr"/>
      <c r="AC988" t="inlineStr"/>
      <c r="AD988" t="inlineStr">
        <is>
          <t>לא נמצא בסריקת המפיצים</t>
        </is>
      </c>
      <c r="AE988" t="inlineStr">
        <is>
          <t>סריקת אתרי מפיצים</t>
        </is>
      </c>
      <c r="AG988" t="inlineStr"/>
      <c r="AH988" t="inlineStr"/>
      <c r="AJ988" t="inlineStr"/>
      <c r="AP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P989" t="n">
        <v>8647</v>
      </c>
      <c r="Q989" t="n">
        <v>2026</v>
      </c>
      <c r="R989" t="inlineStr">
        <is>
          <t>company</t>
        </is>
      </c>
      <c r="S989" t="inlineStr">
        <is>
          <t>prior</t>
        </is>
      </c>
      <c r="T989" t="n">
        <v>2442</v>
      </c>
      <c r="U989" t="inlineStr">
        <is>
          <t>JPY 364,403 million</t>
        </is>
      </c>
      <c r="V989" t="inlineStr">
        <is>
          <t>FY Mar-2026</t>
        </is>
      </c>
      <c r="W989" t="inlineStr">
        <is>
          <t>company</t>
        </is>
      </c>
      <c r="X989" t="inlineStr">
        <is>
          <t>prior</t>
        </is>
      </c>
      <c r="Y989" t="inlineStr">
        <is>
          <t>reported</t>
        </is>
      </c>
      <c r="Z989" t="inlineStr">
        <is>
          <t>MDF-DU702VH VIP ECO</t>
        </is>
      </c>
      <c r="AA989" t="inlineStr">
        <is>
          <t>MCO-170AIC / MCO-230AIC IncuSafe</t>
        </is>
      </c>
      <c r="AB989" t="inlineStr">
        <is>
          <t>MPR / MBR series</t>
        </is>
      </c>
      <c r="AC989" t="inlineStr">
        <is>
          <t>prior</t>
        </is>
      </c>
      <c r="AD989" t="inlineStr">
        <is>
          <t>מפיץ/נציג בישראל</t>
        </is>
      </c>
      <c r="AE989" t="inlineStr">
        <is>
          <t>אומת</t>
        </is>
      </c>
      <c r="AF989" t="n">
        <v>2026</v>
      </c>
      <c r="AG989" t="inlineStr">
        <is>
          <t>Eldan Electronic Instruments; Lumitron Ltd.</t>
        </is>
      </c>
      <c r="AH989" t="inlineStr">
        <is>
          <t>Eldan Electronic Instruments: +972-3-937-1111 info@eldan.biz; Lumitron Ltd.: +972 52-525-6287</t>
        </is>
      </c>
      <c r="AI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89" t="inlineStr">
        <is>
          <t>+81 3 5408 7280</t>
        </is>
      </c>
      <c r="AL989" t="inlineStr">
        <is>
          <t>15F Dai-ichi Life Hibiya First, 1-13-2 Yurakucho, Chiyoda-ku, Tokyo 100-8403, Japan</t>
        </is>
      </c>
      <c r="AM989" t="inlineStr">
        <is>
          <t>https://www.phchd.com/global/forms/Input?form_id=%7BA1E4FD0D-9F27-4C4D-9FD1-7A057C9FE770%7D</t>
        </is>
      </c>
      <c r="AN989" t="inlineStr">
        <is>
          <t>https://www.phchd.com/global/news/2024/0315</t>
        </is>
      </c>
      <c r="AP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P990" t="n">
        <v>8647</v>
      </c>
      <c r="Q990" t="n">
        <v>2026</v>
      </c>
      <c r="R990" t="inlineStr">
        <is>
          <t>company</t>
        </is>
      </c>
      <c r="S990" t="inlineStr">
        <is>
          <t>prior</t>
        </is>
      </c>
      <c r="T990" t="n">
        <v>2442</v>
      </c>
      <c r="U990" t="inlineStr">
        <is>
          <t>JPY 364,403 million</t>
        </is>
      </c>
      <c r="V990" t="inlineStr">
        <is>
          <t>FY Mar-2026</t>
        </is>
      </c>
      <c r="W990" t="inlineStr">
        <is>
          <t>company</t>
        </is>
      </c>
      <c r="X990" t="inlineStr">
        <is>
          <t>prior</t>
        </is>
      </c>
      <c r="Y990" t="inlineStr">
        <is>
          <t>reported</t>
        </is>
      </c>
      <c r="Z990" t="inlineStr">
        <is>
          <t>MDF-DU702VH VIP ECO</t>
        </is>
      </c>
      <c r="AA990" t="inlineStr">
        <is>
          <t>MCO-170AIC / MCO-230AIC IncuSafe</t>
        </is>
      </c>
      <c r="AB990" t="inlineStr">
        <is>
          <t>MPR / MBR series</t>
        </is>
      </c>
      <c r="AC990" t="inlineStr">
        <is>
          <t>prior</t>
        </is>
      </c>
      <c r="AD990" t="inlineStr">
        <is>
          <t>מפיץ/נציג בישראל</t>
        </is>
      </c>
      <c r="AE990" t="inlineStr">
        <is>
          <t>אומת</t>
        </is>
      </c>
      <c r="AF990" t="n">
        <v>2026</v>
      </c>
      <c r="AG990" t="inlineStr">
        <is>
          <t>Eldan Electronic Instruments; Lumitron Ltd.</t>
        </is>
      </c>
      <c r="AH990" t="inlineStr">
        <is>
          <t>Eldan Electronic Instruments: +972-3-937-1111 info@eldan.biz; Lumitron Ltd.: +972 52-525-6287</t>
        </is>
      </c>
      <c r="AI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J990" t="inlineStr">
        <is>
          <t>+81 3 5408 7280</t>
        </is>
      </c>
      <c r="AL990" t="inlineStr">
        <is>
          <t>15F Dai-ichi Life Hibiya First, 1-13-2 Yurakucho, Chiyoda-ku, Tokyo 100-8403, Japan</t>
        </is>
      </c>
      <c r="AN990" t="inlineStr">
        <is>
          <t>https://www.phchd.com/global/news/2024/0315</t>
        </is>
      </c>
      <c r="AP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is>
      </c>
    </row>
    <row r="991">
      <c r="A991" t="n">
        <v>990</v>
      </c>
      <c r="B991" t="inlineStr">
        <is>
          <t>Phenix Research Products</t>
        </is>
      </c>
      <c r="C991" t="inlineStr">
        <is>
          <t>T</t>
        </is>
      </c>
      <c r="E991" t="inlineStr">
        <is>
          <t>https://www.thomassci.com/browse-by/suppliers/phenix-research-products</t>
        </is>
      </c>
      <c r="F991" t="inlineStr"/>
      <c r="J991" t="inlineStr"/>
      <c r="Y991" t="inlineStr">
        <is>
          <t>unknown</t>
        </is>
      </c>
      <c r="Z991" t="inlineStr"/>
      <c r="AA991" t="inlineStr"/>
      <c r="AB991" t="inlineStr"/>
      <c r="AC991" t="inlineStr"/>
      <c r="AD991" t="inlineStr">
        <is>
          <t>לא נמצא בסריקת המפיצים</t>
        </is>
      </c>
      <c r="AE991" t="inlineStr">
        <is>
          <t>סריקת אתרי מפיצים</t>
        </is>
      </c>
      <c r="AG991" t="inlineStr"/>
      <c r="AH991" t="inlineStr"/>
      <c r="AJ991" t="inlineStr"/>
      <c r="AP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clearbit_verified</t>
        </is>
      </c>
      <c r="J992" t="inlineStr"/>
      <c r="Y992" t="inlineStr">
        <is>
          <t>unknown</t>
        </is>
      </c>
      <c r="Z992" t="inlineStr"/>
      <c r="AA992" t="inlineStr"/>
      <c r="AB992" t="inlineStr"/>
      <c r="AC992" t="inlineStr"/>
      <c r="AD992" t="inlineStr">
        <is>
          <t>לא נמצא בסריקת המפיצים</t>
        </is>
      </c>
      <c r="AE992" t="inlineStr">
        <is>
          <t>סריקת אתרי מפיצים</t>
        </is>
      </c>
      <c r="AG992" t="inlineStr"/>
      <c r="AH992" t="inlineStr"/>
      <c r="AJ992" t="inlineStr"/>
      <c r="AN992" t="inlineStr">
        <is>
          <t>https://www.phenomenex.com/</t>
        </is>
      </c>
      <c r="AP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Y993" t="inlineStr">
        <is>
          <t>unknown</t>
        </is>
      </c>
      <c r="Z993" t="inlineStr"/>
      <c r="AA993" t="inlineStr"/>
      <c r="AB993" t="inlineStr"/>
      <c r="AC993" t="inlineStr"/>
      <c r="AD993" t="inlineStr">
        <is>
          <t>לא נמצא בסריקת המפיצים</t>
        </is>
      </c>
      <c r="AE993" t="inlineStr">
        <is>
          <t>סריקת אתרי מפיצים</t>
        </is>
      </c>
      <c r="AG993" t="inlineStr"/>
      <c r="AH993" t="inlineStr"/>
      <c r="AJ993" t="inlineStr"/>
      <c r="AP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Y994" t="inlineStr">
        <is>
          <t>unknown</t>
        </is>
      </c>
      <c r="Z994" t="inlineStr"/>
      <c r="AA994" t="inlineStr"/>
      <c r="AB994" t="inlineStr"/>
      <c r="AC994" t="inlineStr"/>
      <c r="AD994" t="inlineStr">
        <is>
          <t>לא נמצא בסריקת המפיצים</t>
        </is>
      </c>
      <c r="AE994" t="inlineStr">
        <is>
          <t>סריקת אתרי מפיצים</t>
        </is>
      </c>
      <c r="AG994" t="inlineStr"/>
      <c r="AH994" t="inlineStr"/>
      <c r="AJ994" t="inlineStr"/>
      <c r="AP994" t="inlineStr">
        <is>
          <t>https://www.thomassci.com/browse-by/suppliers/pip-safety</t>
        </is>
      </c>
    </row>
    <row r="995">
      <c r="A995" t="n">
        <v>994</v>
      </c>
      <c r="B995" t="inlineStr">
        <is>
          <t>Pipette.com</t>
        </is>
      </c>
      <c r="C995" t="inlineStr">
        <is>
          <t>Q</t>
        </is>
      </c>
      <c r="F995" t="inlineStr">
        <is>
          <t>yes</t>
        </is>
      </c>
      <c r="J995" t="inlineStr"/>
      <c r="Y995" t="inlineStr">
        <is>
          <t>unknown</t>
        </is>
      </c>
      <c r="Z995" t="inlineStr"/>
      <c r="AA995" t="inlineStr"/>
      <c r="AB995" t="inlineStr"/>
      <c r="AC995" t="inlineStr"/>
      <c r="AD995" t="inlineStr">
        <is>
          <t>לא נמצא בסריקת המפיצים</t>
        </is>
      </c>
      <c r="AE995" t="inlineStr">
        <is>
          <t>סריקת אתרי מפיצים</t>
        </is>
      </c>
      <c r="AG995" t="inlineStr"/>
      <c r="AH995" t="inlineStr"/>
      <c r="AJ995" t="inlineStr"/>
      <c r="AP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Y996" t="inlineStr">
        <is>
          <t>unknown</t>
        </is>
      </c>
      <c r="Z996" t="inlineStr"/>
      <c r="AA996" t="inlineStr"/>
      <c r="AB996" t="inlineStr"/>
      <c r="AC996" t="inlineStr"/>
      <c r="AD996" t="inlineStr">
        <is>
          <t>לא נמצא בסריקת המפיצים</t>
        </is>
      </c>
      <c r="AE996" t="inlineStr">
        <is>
          <t>סריקת אתרי מפיצים</t>
        </is>
      </c>
      <c r="AG996" t="inlineStr"/>
      <c r="AH996" t="inlineStr"/>
      <c r="AJ996" t="inlineStr">
        <is>
          <t>+1-202-506-5608</t>
        </is>
      </c>
      <c r="AK996" t="inlineStr">
        <is>
          <t>info@plantcelltechnology.com</t>
        </is>
      </c>
      <c r="AM996" t="inlineStr">
        <is>
          <t>https://plantcelltechnology.com/pages/contact-us</t>
        </is>
      </c>
      <c r="AN996" t="inlineStr">
        <is>
          <t>https://plantcelltechnology.com/pages/contact-us</t>
        </is>
      </c>
      <c r="AP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clearbit_verified</t>
        </is>
      </c>
      <c r="J997" t="inlineStr"/>
      <c r="Y997" t="inlineStr">
        <is>
          <t>unknown</t>
        </is>
      </c>
      <c r="Z997" t="inlineStr"/>
      <c r="AA997" t="inlineStr"/>
      <c r="AB997" t="inlineStr"/>
      <c r="AC997" t="inlineStr"/>
      <c r="AD997" t="inlineStr">
        <is>
          <t>לא נמצא בסריקת המפיצים</t>
        </is>
      </c>
      <c r="AE997" t="inlineStr">
        <is>
          <t>סריקת אתרי מפיצים</t>
        </is>
      </c>
      <c r="AG997" t="inlineStr"/>
      <c r="AH997" t="inlineStr"/>
      <c r="AJ997" t="inlineStr">
        <is>
          <t>+1-202-506-5608</t>
        </is>
      </c>
      <c r="AK997" t="inlineStr">
        <is>
          <t>info@plantcelltechnology.com</t>
        </is>
      </c>
      <c r="AM997" t="inlineStr">
        <is>
          <t>https://plantcelltechnology.com/pages/contact-us</t>
        </is>
      </c>
      <c r="AN997" t="inlineStr">
        <is>
          <t>https://plantcelltechnology.com/pages/contact-us</t>
        </is>
      </c>
      <c r="AP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Y998" t="inlineStr">
        <is>
          <t>unknown</t>
        </is>
      </c>
      <c r="Z998" t="inlineStr"/>
      <c r="AA998" t="inlineStr"/>
      <c r="AB998" t="inlineStr"/>
      <c r="AC998" t="inlineStr"/>
      <c r="AD998" t="inlineStr">
        <is>
          <t>לא נמצא בסריקת המפיצים</t>
        </is>
      </c>
      <c r="AE998" t="inlineStr">
        <is>
          <t>סריקת אתרי מפיצים</t>
        </is>
      </c>
      <c r="AG998" t="inlineStr"/>
      <c r="AH998" t="inlineStr"/>
      <c r="AJ998" t="inlineStr">
        <is>
          <t>8008667527</t>
        </is>
      </c>
      <c r="AM998" t="inlineStr">
        <is>
          <t>https://plas-labs.com/contact</t>
        </is>
      </c>
      <c r="AN998" t="inlineStr">
        <is>
          <t>https://plas-labs.com/contact</t>
        </is>
      </c>
      <c r="AP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Y999" t="inlineStr">
        <is>
          <t>unknown</t>
        </is>
      </c>
      <c r="Z999" t="inlineStr"/>
      <c r="AA999" t="inlineStr"/>
      <c r="AB999" t="inlineStr"/>
      <c r="AC999" t="inlineStr"/>
      <c r="AD999" t="inlineStr">
        <is>
          <t>לא נמצא בסריקת המפיצים</t>
        </is>
      </c>
      <c r="AE999" t="inlineStr">
        <is>
          <t>סריקת אתרי מפיצים</t>
        </is>
      </c>
      <c r="AG999" t="inlineStr"/>
      <c r="AH999" t="inlineStr"/>
      <c r="AJ999" t="inlineStr"/>
      <c r="AP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Y1000" t="inlineStr">
        <is>
          <t>unknown</t>
        </is>
      </c>
      <c r="Z1000" t="inlineStr"/>
      <c r="AA1000" t="inlineStr"/>
      <c r="AB1000" t="inlineStr"/>
      <c r="AC1000" t="inlineStr"/>
      <c r="AD1000" t="inlineStr">
        <is>
          <t>לא נמצא בסריקת המפיצים</t>
        </is>
      </c>
      <c r="AE1000" t="inlineStr">
        <is>
          <t>סריקת אתרי מפיצים</t>
        </is>
      </c>
      <c r="AG1000" t="inlineStr"/>
      <c r="AH1000" t="inlineStr"/>
      <c r="AJ1000" t="inlineStr">
        <is>
          <t>4103982800</t>
        </is>
      </c>
      <c r="AK1000" t="inlineStr">
        <is>
          <t>info@plasticoid.com</t>
        </is>
      </c>
      <c r="AM1000" t="inlineStr">
        <is>
          <t>https://plasticoid.com/contact-us/</t>
        </is>
      </c>
      <c r="AN1000" t="inlineStr">
        <is>
          <t>https://plasticoid.com/contact-us/</t>
        </is>
      </c>
      <c r="AP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Y1001" t="inlineStr">
        <is>
          <t>unknown</t>
        </is>
      </c>
      <c r="Z1001" t="inlineStr"/>
      <c r="AA1001" t="inlineStr"/>
      <c r="AB1001" t="inlineStr"/>
      <c r="AC1001" t="inlineStr"/>
      <c r="AD1001" t="inlineStr">
        <is>
          <t>לא נמצא בסריקת המפיצים</t>
        </is>
      </c>
      <c r="AE1001" t="inlineStr">
        <is>
          <t>סריקת אתרי מפיצים</t>
        </is>
      </c>
      <c r="AG1001" t="inlineStr"/>
      <c r="AH1001" t="inlineStr"/>
      <c r="AJ1001" t="inlineStr"/>
      <c r="AP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Y1002" t="inlineStr">
        <is>
          <t>unknown</t>
        </is>
      </c>
      <c r="Z1002" t="inlineStr"/>
      <c r="AA1002" t="inlineStr"/>
      <c r="AB1002" t="inlineStr"/>
      <c r="AC1002" t="inlineStr"/>
      <c r="AD1002" t="inlineStr">
        <is>
          <t>לא נמצא בסריקת המפיצים</t>
        </is>
      </c>
      <c r="AE1002" t="inlineStr">
        <is>
          <t>סריקת אתרי מפיצים</t>
        </is>
      </c>
      <c r="AG1002" t="inlineStr"/>
      <c r="AH1002" t="inlineStr"/>
      <c r="AJ1002" t="inlineStr"/>
      <c r="AP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Y1003" t="inlineStr">
        <is>
          <t>unknown</t>
        </is>
      </c>
      <c r="Z1003" t="inlineStr"/>
      <c r="AA1003" t="inlineStr"/>
      <c r="AB1003" t="inlineStr"/>
      <c r="AC1003" t="inlineStr"/>
      <c r="AD1003" t="inlineStr">
        <is>
          <t>לא נמצא בסריקת המפיצים</t>
        </is>
      </c>
      <c r="AE1003" t="inlineStr">
        <is>
          <t>סריקת אתרי מפיצים</t>
        </is>
      </c>
      <c r="AG1003" t="inlineStr"/>
      <c r="AH1003" t="inlineStr"/>
      <c r="AJ1003" t="inlineStr">
        <is>
          <t>8004232749</t>
        </is>
      </c>
      <c r="AM1003" t="inlineStr">
        <is>
          <t>https://polar-tech.com/contact-us/</t>
        </is>
      </c>
      <c r="AN1003" t="inlineStr">
        <is>
          <t>https://polar-tech.com/contact-us/</t>
        </is>
      </c>
      <c r="AP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Y1004" t="inlineStr">
        <is>
          <t>unknown</t>
        </is>
      </c>
      <c r="Z1004" t="inlineStr"/>
      <c r="AA1004" t="inlineStr"/>
      <c r="AB1004" t="inlineStr"/>
      <c r="AC1004" t="inlineStr"/>
      <c r="AD1004" t="inlineStr">
        <is>
          <t>לא נמצא בסריקת המפיצים</t>
        </is>
      </c>
      <c r="AE1004" t="inlineStr">
        <is>
          <t>סריקת אתרי מפיצים</t>
        </is>
      </c>
      <c r="AG1004" t="inlineStr"/>
      <c r="AH1004" t="inlineStr"/>
      <c r="AJ1004" t="inlineStr">
        <is>
          <t>+441252726000</t>
        </is>
      </c>
      <c r="AK1004" t="inlineStr">
        <is>
          <t>enquiries@polarseal.net</t>
        </is>
      </c>
      <c r="AM1004" t="inlineStr">
        <is>
          <t>https://www.polarseal.net/contact-us/</t>
        </is>
      </c>
      <c r="AN1004" t="inlineStr">
        <is>
          <t>https://www.polarseal.net/contact-us/</t>
        </is>
      </c>
      <c r="AP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Y1005" t="inlineStr">
        <is>
          <t>unknown</t>
        </is>
      </c>
      <c r="Z1005" t="inlineStr"/>
      <c r="AA1005" t="inlineStr"/>
      <c r="AB1005" t="inlineStr"/>
      <c r="AC1005" t="inlineStr"/>
      <c r="AD1005" t="inlineStr">
        <is>
          <t>לא נמצא בסריקת המפיצים</t>
        </is>
      </c>
      <c r="AE1005" t="inlineStr">
        <is>
          <t>סריקת אתרי מפיצים</t>
        </is>
      </c>
      <c r="AG1005" t="inlineStr"/>
      <c r="AH1005" t="inlineStr"/>
      <c r="AJ1005" t="inlineStr"/>
      <c r="AP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Y1006" t="inlineStr">
        <is>
          <t>unknown</t>
        </is>
      </c>
      <c r="Z1006" t="inlineStr"/>
      <c r="AA1006" t="inlineStr"/>
      <c r="AB1006" t="inlineStr"/>
      <c r="AC1006" t="inlineStr"/>
      <c r="AD1006" t="inlineStr">
        <is>
          <t>לא נמצא בסריקת המפיצים</t>
        </is>
      </c>
      <c r="AE1006" t="inlineStr">
        <is>
          <t>סריקת אתרי מפיצים</t>
        </is>
      </c>
      <c r="AG1006" t="inlineStr"/>
      <c r="AH1006" t="inlineStr"/>
      <c r="AJ1006" t="inlineStr">
        <is>
          <t>5416360802</t>
        </is>
      </c>
      <c r="AK1006" t="inlineStr">
        <is>
          <t>info@poltex.com</t>
        </is>
      </c>
      <c r="AN1006" t="inlineStr">
        <is>
          <t>https://poltex.com/</t>
        </is>
      </c>
      <c r="AP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Y1007" t="inlineStr">
        <is>
          <t>unknown</t>
        </is>
      </c>
      <c r="Z1007" t="inlineStr"/>
      <c r="AA1007" t="inlineStr"/>
      <c r="AB1007" t="inlineStr"/>
      <c r="AC1007" t="inlineStr"/>
      <c r="AD1007" t="inlineStr">
        <is>
          <t>לא נמצא בסריקת המפיצים</t>
        </is>
      </c>
      <c r="AE1007" t="inlineStr">
        <is>
          <t>סריקת אתרי מפיצים</t>
        </is>
      </c>
      <c r="AG1007" t="inlineStr"/>
      <c r="AH1007" t="inlineStr"/>
      <c r="AJ1007" t="inlineStr"/>
      <c r="AP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Y1008" t="inlineStr">
        <is>
          <t>unknown</t>
        </is>
      </c>
      <c r="Z1008" t="inlineStr"/>
      <c r="AA1008" t="inlineStr"/>
      <c r="AB1008" t="inlineStr"/>
      <c r="AC1008" t="inlineStr"/>
      <c r="AD1008" t="inlineStr">
        <is>
          <t>לא נמצא בסריקת המפיצים</t>
        </is>
      </c>
      <c r="AE1008" t="inlineStr">
        <is>
          <t>סריקת אתרי מפיצים</t>
        </is>
      </c>
      <c r="AG1008" t="inlineStr"/>
      <c r="AH1008" t="inlineStr"/>
      <c r="AJ1008" t="inlineStr"/>
      <c r="AK1008" t="inlineStr">
        <is>
          <t>info@polycarbin.com</t>
        </is>
      </c>
      <c r="AM1008" t="inlineStr">
        <is>
          <t>https://polycarbin.com/contact-us</t>
        </is>
      </c>
      <c r="AN1008" t="inlineStr">
        <is>
          <t>https://polycarbin.com/contact-us</t>
        </is>
      </c>
      <c r="AP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Y1009" t="inlineStr">
        <is>
          <t>unknown</t>
        </is>
      </c>
      <c r="Z1009" t="inlineStr"/>
      <c r="AA1009" t="inlineStr"/>
      <c r="AB1009" t="inlineStr"/>
      <c r="AC1009" t="inlineStr"/>
      <c r="AD1009" t="inlineStr">
        <is>
          <t>לא נמצא בסריקת המפיצים</t>
        </is>
      </c>
      <c r="AE1009" t="inlineStr">
        <is>
          <t>סריקת אתרי מפיצים</t>
        </is>
      </c>
      <c r="AG1009" t="inlineStr"/>
      <c r="AH1009" t="inlineStr"/>
      <c r="AJ1009" t="inlineStr"/>
      <c r="AP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Y1010" t="inlineStr">
        <is>
          <t>unknown</t>
        </is>
      </c>
      <c r="Z1010" t="inlineStr"/>
      <c r="AA1010" t="inlineStr"/>
      <c r="AB1010" t="inlineStr"/>
      <c r="AC1010" t="inlineStr"/>
      <c r="AD1010" t="inlineStr">
        <is>
          <t>לא נמצא בסריקת המפיצים</t>
        </is>
      </c>
      <c r="AE1010" t="inlineStr">
        <is>
          <t>סריקת אתרי מפיצים</t>
        </is>
      </c>
      <c r="AG1010" t="inlineStr"/>
      <c r="AH1010" t="inlineStr"/>
      <c r="AJ1010" t="inlineStr">
        <is>
          <t>8664377427</t>
        </is>
      </c>
      <c r="AN1010" t="inlineStr">
        <is>
          <t>https://polymershapes.com/</t>
        </is>
      </c>
      <c r="AP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Y1011" t="inlineStr">
        <is>
          <t>unknown</t>
        </is>
      </c>
      <c r="Z1011" t="inlineStr"/>
      <c r="AA1011" t="inlineStr"/>
      <c r="AB1011" t="inlineStr"/>
      <c r="AC1011" t="inlineStr"/>
      <c r="AD1011" t="inlineStr">
        <is>
          <t>לא נמצא בחיפוש ראשוני</t>
        </is>
      </c>
      <c r="AE1011" t="inlineStr">
        <is>
          <t>חיפוש חלקי</t>
        </is>
      </c>
      <c r="AG1011" t="inlineStr"/>
      <c r="AH1011" t="inlineStr"/>
      <c r="AI1011" t="inlineStr">
        <is>
          <t>Results covered Polysciences Inc. (Warrington PA; offices in Germany/Taiwan/India/Brazil, none in Israel) and unrelated Israeli distributors; nothing linking PolyScience (chillers/circulators) to an Israeli channel.</t>
        </is>
      </c>
      <c r="AJ1011" t="inlineStr">
        <is>
          <t>+1 (847) 647-0611</t>
        </is>
      </c>
      <c r="AM1011" t="inlineStr">
        <is>
          <t>https://www.polyscience.com/contact-us</t>
        </is>
      </c>
      <c r="AN1011" t="inlineStr">
        <is>
          <t>https://www.polyscience.com/contact-us</t>
        </is>
      </c>
      <c r="AP1011" t="inlineStr">
        <is>
          <t>https://www.dutscher.com/search?initialFilters=brand:Polyscience | https://www.quartzy.com/suppliers | https://www.thomassci.com/browse-by/suppliers/polyscience | https://www.polyscience.com/contact-us</t>
        </is>
      </c>
    </row>
    <row r="1012">
      <c r="A1012" t="n">
        <v>1011</v>
      </c>
      <c r="B1012" t="inlineStr">
        <is>
          <t>Polysciences</t>
        </is>
      </c>
      <c r="C1012" t="inlineStr">
        <is>
          <t>Q</t>
        </is>
      </c>
      <c r="F1012" t="inlineStr">
        <is>
          <t>yes</t>
        </is>
      </c>
      <c r="H1012" t="inlineStr">
        <is>
          <t>https://polysciences.com</t>
        </is>
      </c>
      <c r="I1012" t="inlineStr">
        <is>
          <t>clearbit_verified</t>
        </is>
      </c>
      <c r="J1012" t="inlineStr"/>
      <c r="Y1012" t="inlineStr">
        <is>
          <t>unknown</t>
        </is>
      </c>
      <c r="Z1012" t="inlineStr"/>
      <c r="AA1012" t="inlineStr"/>
      <c r="AB1012" t="inlineStr"/>
      <c r="AC1012" t="inlineStr"/>
      <c r="AD1012" t="inlineStr">
        <is>
          <t>לא נמצא בסריקת המפיצים</t>
        </is>
      </c>
      <c r="AE1012" t="inlineStr">
        <is>
          <t>סריקת אתרי מפיצים</t>
        </is>
      </c>
      <c r="AG1012" t="inlineStr"/>
      <c r="AH1012" t="inlineStr"/>
      <c r="AJ1012" t="inlineStr">
        <is>
          <t>(800) 523-2575</t>
        </is>
      </c>
      <c r="AK1012" t="inlineStr">
        <is>
          <t>info@polysciences.com</t>
        </is>
      </c>
      <c r="AM1012" t="inlineStr">
        <is>
          <t>https://polysciences.com/pages/contact-us</t>
        </is>
      </c>
      <c r="AN1012" t="inlineStr">
        <is>
          <t>https://polysciences.com/pages/contact-us</t>
        </is>
      </c>
      <c r="AP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Y1013" t="inlineStr">
        <is>
          <t>unknown</t>
        </is>
      </c>
      <c r="Z1013" t="inlineStr"/>
      <c r="AA1013" t="inlineStr"/>
      <c r="AB1013" t="inlineStr"/>
      <c r="AC1013" t="inlineStr"/>
      <c r="AD1013" t="inlineStr">
        <is>
          <t>לא נמצא בסריקת המפיצים</t>
        </is>
      </c>
      <c r="AE1013" t="inlineStr">
        <is>
          <t>סריקת אתרי מפיצים</t>
        </is>
      </c>
      <c r="AG1013" t="inlineStr"/>
      <c r="AH1013" t="inlineStr"/>
      <c r="AJ1013" t="inlineStr">
        <is>
          <t>+12622689300</t>
        </is>
      </c>
      <c r="AK1013" t="inlineStr">
        <is>
          <t>info@popeinc.com</t>
        </is>
      </c>
      <c r="AM1013" t="inlineStr">
        <is>
          <t>https://www.popeinc.com/company/contact-us/</t>
        </is>
      </c>
      <c r="AN1013" t="inlineStr">
        <is>
          <t>https://www.popeinc.com/company/contact-us/</t>
        </is>
      </c>
      <c r="AP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Y1014" t="inlineStr">
        <is>
          <t>unknown</t>
        </is>
      </c>
      <c r="Z1014" t="inlineStr"/>
      <c r="AA1014" t="inlineStr"/>
      <c r="AB1014" t="inlineStr"/>
      <c r="AC1014" t="inlineStr"/>
      <c r="AD1014" t="inlineStr">
        <is>
          <t>לא נמצא בסריקת המפיצים</t>
        </is>
      </c>
      <c r="AE1014" t="inlineStr">
        <is>
          <t>סריקת אתרי מפיצים</t>
        </is>
      </c>
      <c r="AG1014" t="inlineStr"/>
      <c r="AH1014" t="inlineStr"/>
      <c r="AJ1014" t="inlineStr"/>
      <c r="AP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O1015" t="inlineStr">
        <is>
          <t>company based in Kings Lynn, United Kingdom</t>
        </is>
      </c>
      <c r="Y1015" t="inlineStr">
        <is>
          <t>unknown</t>
        </is>
      </c>
      <c r="Z1015" t="inlineStr"/>
      <c r="AA1015" t="inlineStr"/>
      <c r="AB1015" t="inlineStr"/>
      <c r="AC1015" t="inlineStr"/>
      <c r="AD1015" t="inlineStr">
        <is>
          <t>לא נמצא בחיפוש ראשוני</t>
        </is>
      </c>
      <c r="AE1015" t="inlineStr">
        <is>
          <t>חיפוש חלקי</t>
        </is>
      </c>
      <c r="AG1015" t="inlineStr"/>
      <c r="AH1015" t="inlineStr"/>
      <c r="AI1015" t="inlineStr">
        <is>
          <t>Only Germany distributor (MZ-Analysentechnik) named; Porvair Sciences cites a worldwide distributor network without countries.</t>
        </is>
      </c>
      <c r="AJ1015" t="inlineStr">
        <is>
          <t>+4401553765500</t>
        </is>
      </c>
      <c r="AM1015" t="inlineStr">
        <is>
          <t>https://www.porvair.com/investors/investor-relations-contacts</t>
        </is>
      </c>
      <c r="AN1015" t="inlineStr">
        <is>
          <t>https://www.porvair.com/investors/investor-relations-contacts</t>
        </is>
      </c>
      <c r="AO1015" t="inlineStr">
        <is>
          <t>Q59537154</t>
        </is>
      </c>
      <c r="AP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Y1016" t="inlineStr">
        <is>
          <t>unknown</t>
        </is>
      </c>
      <c r="Z1016" t="inlineStr"/>
      <c r="AA1016" t="inlineStr"/>
      <c r="AB1016" t="inlineStr"/>
      <c r="AC1016" t="inlineStr"/>
      <c r="AD1016" t="inlineStr">
        <is>
          <t>לא נמצא בסריקת המפיצים</t>
        </is>
      </c>
      <c r="AE1016" t="inlineStr">
        <is>
          <t>סריקת אתרי מפיצים</t>
        </is>
      </c>
      <c r="AG1016" t="inlineStr"/>
      <c r="AH1016" t="inlineStr"/>
      <c r="AJ1016" t="inlineStr"/>
      <c r="AP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Y1017" t="inlineStr">
        <is>
          <t>unknown</t>
        </is>
      </c>
      <c r="Z1017" t="inlineStr"/>
      <c r="AA1017" t="inlineStr"/>
      <c r="AB1017" t="inlineStr"/>
      <c r="AC1017" t="inlineStr"/>
      <c r="AD1017" t="inlineStr">
        <is>
          <t>לא נמצא בסריקת המפיצים</t>
        </is>
      </c>
      <c r="AE1017" t="inlineStr">
        <is>
          <t>סריקת אתרי מפיצים</t>
        </is>
      </c>
      <c r="AG1017" t="inlineStr"/>
      <c r="AH1017" t="inlineStr"/>
      <c r="AJ1017" t="inlineStr"/>
      <c r="AP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Y1018" t="inlineStr">
        <is>
          <t>unknown</t>
        </is>
      </c>
      <c r="Z1018" t="inlineStr"/>
      <c r="AA1018" t="inlineStr"/>
      <c r="AB1018" t="inlineStr"/>
      <c r="AC1018" t="inlineStr"/>
      <c r="AD1018" t="inlineStr">
        <is>
          <t>לא נמצא בסריקת המפיצים</t>
        </is>
      </c>
      <c r="AE1018" t="inlineStr">
        <is>
          <t>סריקת אתרי מפיצים</t>
        </is>
      </c>
      <c r="AG1018" t="inlineStr"/>
      <c r="AH1018" t="inlineStr"/>
      <c r="AJ1018" t="inlineStr"/>
      <c r="AP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Y1019" t="inlineStr">
        <is>
          <t>unknown</t>
        </is>
      </c>
      <c r="Z1019" t="inlineStr"/>
      <c r="AA1019" t="inlineStr"/>
      <c r="AB1019" t="inlineStr"/>
      <c r="AC1019" t="inlineStr"/>
      <c r="AD1019" t="inlineStr">
        <is>
          <t>לא נמצא בסריקת המפיצים</t>
        </is>
      </c>
      <c r="AE1019" t="inlineStr">
        <is>
          <t>סריקת אתרי מפיצים</t>
        </is>
      </c>
      <c r="AG1019" t="inlineStr"/>
      <c r="AH1019" t="inlineStr"/>
      <c r="AJ1019" t="inlineStr">
        <is>
          <t>+18556950832</t>
        </is>
      </c>
      <c r="AM1019" t="inlineStr">
        <is>
          <t>https://www.powerblanket.com/learn/contact-us/</t>
        </is>
      </c>
      <c r="AN1019" t="inlineStr">
        <is>
          <t>https://www.powerblanket.com/learn/contact-us/</t>
        </is>
      </c>
      <c r="AP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Y1020" t="inlineStr">
        <is>
          <t>unknown</t>
        </is>
      </c>
      <c r="Z1020" t="inlineStr"/>
      <c r="AA1020" t="inlineStr"/>
      <c r="AB1020" t="inlineStr"/>
      <c r="AC1020" t="inlineStr"/>
      <c r="AD1020" t="inlineStr">
        <is>
          <t>לא נמצא בסריקת המפיצים</t>
        </is>
      </c>
      <c r="AE1020" t="inlineStr">
        <is>
          <t>סריקת אתרי מפיצים</t>
        </is>
      </c>
      <c r="AG1020" t="inlineStr"/>
      <c r="AH1020" t="inlineStr"/>
      <c r="AJ1020" t="inlineStr"/>
      <c r="AP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Y1021" t="inlineStr">
        <is>
          <t>unknown</t>
        </is>
      </c>
      <c r="Z1021" t="inlineStr"/>
      <c r="AA1021" t="inlineStr"/>
      <c r="AB1021" t="inlineStr"/>
      <c r="AC1021" t="inlineStr"/>
      <c r="AD1021" t="inlineStr">
        <is>
          <t>לא נמצא בסריקת המפיצים</t>
        </is>
      </c>
      <c r="AE1021" t="inlineStr">
        <is>
          <t>סריקת אתרי מפיצים</t>
        </is>
      </c>
      <c r="AG1021" t="inlineStr"/>
      <c r="AH1021" t="inlineStr"/>
      <c r="AJ1021" t="inlineStr"/>
      <c r="AM1021" t="inlineStr">
        <is>
          <t>https://ppcflex.com/contact/</t>
        </is>
      </c>
      <c r="AN1021" t="inlineStr">
        <is>
          <t>https://ppcflex.com/contact/</t>
        </is>
      </c>
      <c r="AP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c r="Y1022" t="inlineStr">
        <is>
          <t>unknown</t>
        </is>
      </c>
      <c r="Z1022" t="inlineStr"/>
      <c r="AA1022" t="inlineStr"/>
      <c r="AB1022" t="inlineStr"/>
      <c r="AC1022" t="inlineStr"/>
      <c r="AD1022" t="inlineStr">
        <is>
          <t>לא נמצא בסריקת המפיצים</t>
        </is>
      </c>
      <c r="AE1022" t="inlineStr">
        <is>
          <t>סריקת אתרי מפיצים</t>
        </is>
      </c>
      <c r="AG1022" t="inlineStr"/>
      <c r="AH1022" t="inlineStr"/>
      <c r="AJ1022" t="inlineStr">
        <is>
          <t>047-303-4800</t>
        </is>
      </c>
      <c r="AN1022" t="inlineStr">
        <is>
          <t>https://pss.co.jp/</t>
        </is>
      </c>
      <c r="AP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Y1023" t="inlineStr">
        <is>
          <t>unknown</t>
        </is>
      </c>
      <c r="Z1023" t="inlineStr"/>
      <c r="AA1023" t="inlineStr"/>
      <c r="AB1023" t="inlineStr"/>
      <c r="AC1023" t="inlineStr"/>
      <c r="AD1023" t="inlineStr">
        <is>
          <t>לא נמצא בסריקת המפיצים</t>
        </is>
      </c>
      <c r="AE1023" t="inlineStr">
        <is>
          <t>סריקת אתרי מפיצים</t>
        </is>
      </c>
      <c r="AG1023" t="inlineStr"/>
      <c r="AH1023" t="inlineStr"/>
      <c r="AJ1023" t="inlineStr">
        <is>
          <t>2156721860</t>
        </is>
      </c>
      <c r="AM1023" t="inlineStr">
        <is>
          <t>https://www.psi-software.com/contact/</t>
        </is>
      </c>
      <c r="AN1023" t="inlineStr">
        <is>
          <t>https://www.psi-software.com/contact/</t>
        </is>
      </c>
      <c r="AP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Y1024" t="inlineStr">
        <is>
          <t>unknown</t>
        </is>
      </c>
      <c r="Z1024" t="inlineStr"/>
      <c r="AA1024" t="inlineStr"/>
      <c r="AB1024" t="inlineStr"/>
      <c r="AC1024" t="inlineStr"/>
      <c r="AD1024" t="inlineStr">
        <is>
          <t>לא נמצא בסריקת המפיצים</t>
        </is>
      </c>
      <c r="AE1024" t="inlineStr">
        <is>
          <t>סריקת אתרי מפיצים</t>
        </is>
      </c>
      <c r="AG1024" t="inlineStr"/>
      <c r="AH1024" t="inlineStr"/>
      <c r="AJ1024" t="inlineStr"/>
      <c r="AP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clearbit_verified</t>
        </is>
      </c>
      <c r="J1025" t="inlineStr"/>
      <c r="Y1025" t="inlineStr">
        <is>
          <t>unknown</t>
        </is>
      </c>
      <c r="Z1025" t="inlineStr"/>
      <c r="AA1025" t="inlineStr"/>
      <c r="AB1025" t="inlineStr"/>
      <c r="AC1025" t="inlineStr"/>
      <c r="AD1025" t="inlineStr">
        <is>
          <t>לא נמצא בסריקת המפיצים</t>
        </is>
      </c>
      <c r="AE1025" t="inlineStr">
        <is>
          <t>סריקת אתרי מפיצים</t>
        </is>
      </c>
      <c r="AG1025" t="inlineStr"/>
      <c r="AH1025" t="inlineStr"/>
      <c r="AJ1025" t="inlineStr">
        <is>
          <t>(817) 427-2700</t>
        </is>
      </c>
      <c r="AM1025" t="inlineStr">
        <is>
          <t>https://www.prestigeameritech.com/contact</t>
        </is>
      </c>
      <c r="AN1025" t="inlineStr">
        <is>
          <t>https://www.prestigeameritech.com/contact</t>
        </is>
      </c>
      <c r="AP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Y1026" t="inlineStr">
        <is>
          <t>unknown</t>
        </is>
      </c>
      <c r="Z1026" t="inlineStr"/>
      <c r="AA1026" t="inlineStr"/>
      <c r="AB1026" t="inlineStr"/>
      <c r="AC1026" t="inlineStr"/>
      <c r="AD1026" t="inlineStr">
        <is>
          <t>לא נמצא בסריקת המפיצים</t>
        </is>
      </c>
      <c r="AE1026" t="inlineStr">
        <is>
          <t>סריקת אתרי מפיצים</t>
        </is>
      </c>
      <c r="AG1026" t="inlineStr"/>
      <c r="AH1026" t="inlineStr"/>
      <c r="AJ1026" t="inlineStr">
        <is>
          <t>(609) 860-1803</t>
        </is>
      </c>
      <c r="AK1026" t="inlineStr">
        <is>
          <t>info@pci-hplc.com</t>
        </is>
      </c>
      <c r="AM1026" t="inlineStr">
        <is>
          <t>https://pci-hplc.com/pages/contact-us</t>
        </is>
      </c>
      <c r="AN1026" t="inlineStr">
        <is>
          <t>https://pci-hplc.com/pages/contact-us</t>
        </is>
      </c>
      <c r="AP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Y1027" t="inlineStr">
        <is>
          <t>unknown</t>
        </is>
      </c>
      <c r="Z1027" t="inlineStr"/>
      <c r="AA1027" t="inlineStr"/>
      <c r="AB1027" t="inlineStr"/>
      <c r="AC1027" t="inlineStr"/>
      <c r="AD1027" t="inlineStr">
        <is>
          <t>לא נמצא בסריקת המפיצים</t>
        </is>
      </c>
      <c r="AE1027" t="inlineStr">
        <is>
          <t>סריקת אתרי מפיצים</t>
        </is>
      </c>
      <c r="AG1027" t="inlineStr"/>
      <c r="AH1027" t="inlineStr"/>
      <c r="AJ1027" t="inlineStr"/>
      <c r="AP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O1028" t="inlineStr">
        <is>
          <t>PRO Scientific is a global leader in the manufacturing of homogenizers for both laboratory and industrial labs. PRO homogenizer are able to homogenize various types of material, such as tissue, plant, food, soil, cosmetics and many others.</t>
        </is>
      </c>
      <c r="Y1028" t="inlineStr">
        <is>
          <t>unknown</t>
        </is>
      </c>
      <c r="Z1028" t="inlineStr"/>
      <c r="AA1028" t="inlineStr"/>
      <c r="AB1028" t="inlineStr"/>
      <c r="AC1028" t="inlineStr"/>
      <c r="AD1028" t="inlineStr">
        <is>
          <t>לא נמצא בחיפוש ראשוני</t>
        </is>
      </c>
      <c r="AE1028" t="inlineStr">
        <is>
          <t>חיפוש חלקי</t>
        </is>
      </c>
      <c r="AG1028" t="inlineStr"/>
      <c r="AH1028" t="inlineStr"/>
      <c r="AI1028" t="inlineStr">
        <is>
          <t>Only US channels (VWR, Thomas, Marshall, MIDSCI) and an Indian reseller appeared; no Israel mention.</t>
        </is>
      </c>
      <c r="AJ1028" t="inlineStr">
        <is>
          <t>203-267-4600</t>
        </is>
      </c>
      <c r="AM1028" t="inlineStr">
        <is>
          <t>https://proscientific.com/contact-us</t>
        </is>
      </c>
      <c r="AN1028" t="inlineStr">
        <is>
          <t>https://proscientific.com/contact-us</t>
        </is>
      </c>
      <c r="AP1028" t="inlineStr">
        <is>
          <t>https://www.quartzy.com/suppliers | https://info.quartzy.com/new-suppliers | https://www.thomassci.com/browse-by/suppliers/pro-scientific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Y1029" t="inlineStr">
        <is>
          <t>unknown</t>
        </is>
      </c>
      <c r="Z1029" t="inlineStr"/>
      <c r="AA1029" t="inlineStr"/>
      <c r="AB1029" t="inlineStr"/>
      <c r="AC1029" t="inlineStr"/>
      <c r="AD1029" t="inlineStr">
        <is>
          <t>לא נמצא בסריקת המפיצים</t>
        </is>
      </c>
      <c r="AE1029" t="inlineStr">
        <is>
          <t>סריקת אתרי מפיצים</t>
        </is>
      </c>
      <c r="AG1029" t="inlineStr"/>
      <c r="AH1029" t="inlineStr"/>
      <c r="AJ1029" t="inlineStr"/>
      <c r="AP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P1030" t="n">
        <v>2000</v>
      </c>
      <c r="Q1030" t="n">
        <v>2024</v>
      </c>
      <c r="R1030" t="inlineStr">
        <is>
          <t>company</t>
        </is>
      </c>
      <c r="S1030" t="inlineStr">
        <is>
          <t>prior</t>
        </is>
      </c>
      <c r="T1030" t="n">
        <v>650</v>
      </c>
      <c r="U1030" t="inlineStr">
        <is>
          <t>USD ~650 million (trade estimate; private)</t>
        </is>
      </c>
      <c r="V1030" t="inlineStr">
        <is>
          <t>2024 (estimate)</t>
        </is>
      </c>
      <c r="W1030" t="inlineStr">
        <is>
          <t>estimate</t>
        </is>
      </c>
      <c r="X1030" t="inlineStr">
        <is>
          <t>prior</t>
        </is>
      </c>
      <c r="Y1030" t="inlineStr">
        <is>
          <t>estimate</t>
        </is>
      </c>
      <c r="Z1030" t="inlineStr">
        <is>
          <t>Maxwell RSC</t>
        </is>
      </c>
      <c r="AA1030" t="inlineStr">
        <is>
          <t>GloMax</t>
        </is>
      </c>
      <c r="AB1030" t="inlineStr">
        <is>
          <t>CellTiter-Glo / Dual-Luciferase</t>
        </is>
      </c>
      <c r="AC1030" t="inlineStr">
        <is>
          <t>prior</t>
        </is>
      </c>
      <c r="AD1030" t="inlineStr">
        <is>
          <t>מפיץ/נציג בישראל</t>
        </is>
      </c>
      <c r="AE1030" t="inlineStr">
        <is>
          <t>אומת</t>
        </is>
      </c>
      <c r="AF1030" t="n">
        <v>2026</v>
      </c>
      <c r="AG1030" t="inlineStr">
        <is>
          <t>IM Beit HaEmek (Beit HaEmek Industries)</t>
        </is>
      </c>
      <c r="AH1030" t="inlineStr">
        <is>
          <t>IM Beit HaEmek (Beit HaEmek Industries): +972 4-868-9015 info@bemek.co.il</t>
        </is>
      </c>
      <c r="AI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J1030" t="inlineStr">
        <is>
          <t>+1 608-274-4330</t>
        </is>
      </c>
      <c r="AL1030" t="inlineStr">
        <is>
          <t>2800 Woods Hollow Road, Madison, WI 53711, USA</t>
        </is>
      </c>
      <c r="AM1030" t="inlineStr">
        <is>
          <t>https://ita.promega.com/en/support/contact-promega/</t>
        </is>
      </c>
      <c r="AN1030" t="inlineStr">
        <is>
          <t>https://ita.promega.com/en/support/contact-promega/</t>
        </is>
      </c>
      <c r="AP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Y1031" t="inlineStr">
        <is>
          <t>unknown</t>
        </is>
      </c>
      <c r="Z1031" t="inlineStr"/>
      <c r="AA1031" t="inlineStr"/>
      <c r="AB1031" t="inlineStr"/>
      <c r="AC1031" t="inlineStr"/>
      <c r="AD1031" t="inlineStr">
        <is>
          <t>לא נמצא בסריקת המפיצים</t>
        </is>
      </c>
      <c r="AE1031" t="inlineStr">
        <is>
          <t>סריקת אתרי מפיצים</t>
        </is>
      </c>
      <c r="AG1031" t="inlineStr"/>
      <c r="AH1031" t="inlineStr"/>
      <c r="AJ1031" t="inlineStr">
        <is>
          <t>+496221649340</t>
        </is>
      </c>
      <c r="AM1031" t="inlineStr">
        <is>
          <t>https://promocell.com/de_de/gmp/gmp-contact-us/</t>
        </is>
      </c>
      <c r="AN1031" t="inlineStr">
        <is>
          <t>https://promocell.com/de_de/gmp/gmp-contact-us/</t>
        </is>
      </c>
      <c r="AP1031" t="inlineStr">
        <is>
          <t>https://www.quartzy.com/suppliers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Y1032" t="inlineStr">
        <is>
          <t>unknown</t>
        </is>
      </c>
      <c r="Z1032" t="inlineStr"/>
      <c r="AA1032" t="inlineStr"/>
      <c r="AB1032" t="inlineStr"/>
      <c r="AC1032" t="inlineStr"/>
      <c r="AD1032" t="inlineStr">
        <is>
          <t>לא נמצא בסריקת המפיצים</t>
        </is>
      </c>
      <c r="AE1032" t="inlineStr">
        <is>
          <t>סריקת אתרי מפיצים</t>
        </is>
      </c>
      <c r="AG1032" t="inlineStr"/>
      <c r="AH1032" t="inlineStr"/>
      <c r="AJ1032" t="inlineStr"/>
      <c r="AP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Y1033" t="inlineStr">
        <is>
          <t>unknown</t>
        </is>
      </c>
      <c r="Z1033" t="inlineStr"/>
      <c r="AA1033" t="inlineStr"/>
      <c r="AB1033" t="inlineStr"/>
      <c r="AC1033" t="inlineStr"/>
      <c r="AD1033" t="inlineStr">
        <is>
          <t>לא נמצא בחיפוש ראשוני</t>
        </is>
      </c>
      <c r="AE1033" t="inlineStr">
        <is>
          <t>חיפוש חלקי</t>
        </is>
      </c>
      <c r="AG1033" t="inlineStr"/>
      <c r="AH1033" t="inlineStr"/>
      <c r="AI1033" t="inlineStr">
        <is>
          <t>ProSci is a Genesee Scientific antibody brand sold direct; a Feb 2025 release on its global commercial strategy names no Israeli distributor; product hits are US price pages.</t>
        </is>
      </c>
      <c r="AJ1033" t="inlineStr">
        <is>
          <t>+1 970 203 9332</t>
        </is>
      </c>
      <c r="AM1033" t="inlineStr">
        <is>
          <t>https://www.prosci.com/about#go-to-form</t>
        </is>
      </c>
      <c r="AN1033" t="inlineStr">
        <is>
          <t>https://www.prosci.com/about#go-to-form</t>
        </is>
      </c>
      <c r="AP1033" t="inlineStr">
        <is>
          <t>https://www.quartzy.com/suppliers | https://www.thomassci.com/browse-by/suppliers/prosci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Y1034" t="inlineStr">
        <is>
          <t>unknown</t>
        </is>
      </c>
      <c r="Z1034" t="inlineStr"/>
      <c r="AA1034" t="inlineStr"/>
      <c r="AB1034" t="inlineStr"/>
      <c r="AC1034" t="inlineStr"/>
      <c r="AD1034" t="inlineStr">
        <is>
          <t>לא נמצא בסריקת המפיצים</t>
        </is>
      </c>
      <c r="AE1034" t="inlineStr">
        <is>
          <t>סריקת אתרי מפיצים</t>
        </is>
      </c>
      <c r="AG1034" t="inlineStr"/>
      <c r="AH1034" t="inlineStr"/>
      <c r="AJ1034" t="inlineStr">
        <is>
          <t>1-800-805-6531</t>
        </is>
      </c>
      <c r="AK1034" t="inlineStr">
        <is>
          <t>info@prospecbio.com</t>
        </is>
      </c>
      <c r="AM1034" t="inlineStr">
        <is>
          <t>https://prospecbio.com/pages/contact</t>
        </is>
      </c>
      <c r="AN1034" t="inlineStr">
        <is>
          <t>https://prospecbio.com/pages/contact</t>
        </is>
      </c>
      <c r="AP1034" t="inlineStr">
        <is>
          <t>https://www.quartzy.com/suppliers | https://prospecbio.com/pages/contact</t>
        </is>
      </c>
    </row>
    <row r="1035">
      <c r="A1035" t="n">
        <v>1034</v>
      </c>
      <c r="B1035" t="inlineStr">
        <is>
          <t>Prospec-tany Technogene</t>
        </is>
      </c>
      <c r="C1035" t="inlineStr">
        <is>
          <t>T</t>
        </is>
      </c>
      <c r="E1035" t="inlineStr">
        <is>
          <t>https://www.thomassci.com/browse-by/suppliers/prospec-tany-technogene</t>
        </is>
      </c>
      <c r="F1035" t="inlineStr"/>
      <c r="J1035" t="inlineStr"/>
      <c r="Y1035" t="inlineStr">
        <is>
          <t>unknown</t>
        </is>
      </c>
      <c r="Z1035" t="inlineStr"/>
      <c r="AA1035" t="inlineStr"/>
      <c r="AB1035" t="inlineStr"/>
      <c r="AC1035" t="inlineStr"/>
      <c r="AD1035" t="inlineStr">
        <is>
          <t>לא נמצא בסריקת המפיצים</t>
        </is>
      </c>
      <c r="AE1035" t="inlineStr">
        <is>
          <t>סריקת אתרי מפיצים</t>
        </is>
      </c>
      <c r="AG1035" t="inlineStr"/>
      <c r="AH1035" t="inlineStr"/>
      <c r="AJ1035" t="inlineStr"/>
      <c r="AP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Y1036" t="inlineStr">
        <is>
          <t>unknown</t>
        </is>
      </c>
      <c r="Z1036" t="inlineStr"/>
      <c r="AA1036" t="inlineStr"/>
      <c r="AB1036" t="inlineStr"/>
      <c r="AC1036" t="inlineStr"/>
      <c r="AD1036" t="inlineStr">
        <is>
          <t>לא נמצא בסריקת המפיצים</t>
        </is>
      </c>
      <c r="AE1036" t="inlineStr">
        <is>
          <t>סריקת אתרי מפיצים</t>
        </is>
      </c>
      <c r="AG1036" t="inlineStr"/>
      <c r="AH1036" t="inlineStr"/>
      <c r="AJ1036" t="inlineStr"/>
      <c r="AP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Y1037" t="inlineStr">
        <is>
          <t>unknown</t>
        </is>
      </c>
      <c r="Z1037" t="inlineStr"/>
      <c r="AA1037" t="inlineStr"/>
      <c r="AB1037" t="inlineStr"/>
      <c r="AC1037" t="inlineStr"/>
      <c r="AD1037" t="inlineStr">
        <is>
          <t>לא נמצא בסריקת המפיצים</t>
        </is>
      </c>
      <c r="AE1037" t="inlineStr">
        <is>
          <t>סריקת אתרי מפיצים</t>
        </is>
      </c>
      <c r="AG1037" t="inlineStr"/>
      <c r="AH1037" t="inlineStr"/>
      <c r="AJ1037" t="inlineStr"/>
      <c r="AP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Y1038" t="inlineStr">
        <is>
          <t>unknown</t>
        </is>
      </c>
      <c r="Z1038" t="inlineStr"/>
      <c r="AA1038" t="inlineStr"/>
      <c r="AB1038" t="inlineStr"/>
      <c r="AC1038" t="inlineStr"/>
      <c r="AD1038" t="inlineStr">
        <is>
          <t>לא נמצא בסריקת המפיצים</t>
        </is>
      </c>
      <c r="AE1038" t="inlineStr">
        <is>
          <t>סריקת אתרי מפיצים</t>
        </is>
      </c>
      <c r="AG1038" t="inlineStr"/>
      <c r="AH1038" t="inlineStr"/>
      <c r="AJ1038" t="inlineStr">
        <is>
          <t>+330390205470</t>
        </is>
      </c>
      <c r="AK1038" t="inlineStr">
        <is>
          <t>contact@proteogenix.fr</t>
        </is>
      </c>
      <c r="AM1038" t="inlineStr">
        <is>
          <t>https://www.proteogenix.science/contact/</t>
        </is>
      </c>
      <c r="AN1038" t="inlineStr">
        <is>
          <t>https://www.proteogenix.science/contact/</t>
        </is>
      </c>
      <c r="AP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Y1039" t="inlineStr">
        <is>
          <t>unknown</t>
        </is>
      </c>
      <c r="Z1039" t="inlineStr"/>
      <c r="AA1039" t="inlineStr"/>
      <c r="AB1039" t="inlineStr"/>
      <c r="AC1039" t="inlineStr"/>
      <c r="AD1039" t="inlineStr">
        <is>
          <t>לא נמצא בסריקת המפיצים</t>
        </is>
      </c>
      <c r="AE1039" t="inlineStr">
        <is>
          <t>סריקת אתרי מפיצים</t>
        </is>
      </c>
      <c r="AG1039" t="inlineStr"/>
      <c r="AH1039" t="inlineStr"/>
      <c r="AJ1039" t="inlineStr"/>
      <c r="AP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Y1040" t="inlineStr">
        <is>
          <t>unknown</t>
        </is>
      </c>
      <c r="Z1040" t="inlineStr"/>
      <c r="AA1040" t="inlineStr"/>
      <c r="AB1040" t="inlineStr"/>
      <c r="AC1040" t="inlineStr"/>
      <c r="AD1040" t="inlineStr">
        <is>
          <t>לא נמצא בסריקת המפיצים</t>
        </is>
      </c>
      <c r="AE1040" t="inlineStr">
        <is>
          <t>סריקת אתרי מפיצים</t>
        </is>
      </c>
      <c r="AG1040" t="inlineStr"/>
      <c r="AH1040" t="inlineStr"/>
      <c r="AJ1040" t="inlineStr"/>
      <c r="AP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Y1041" t="inlineStr">
        <is>
          <t>unknown</t>
        </is>
      </c>
      <c r="Z1041" t="inlineStr"/>
      <c r="AA1041" t="inlineStr"/>
      <c r="AB1041" t="inlineStr"/>
      <c r="AC1041" t="inlineStr"/>
      <c r="AD1041" t="inlineStr">
        <is>
          <t>לא נמצא בסריקת המפיצים</t>
        </is>
      </c>
      <c r="AE1041" t="inlineStr">
        <is>
          <t>סריקת אתרי מפיצים</t>
        </is>
      </c>
      <c r="AG1041" t="inlineStr"/>
      <c r="AH1041" t="inlineStr"/>
      <c r="AJ1041" t="inlineStr"/>
      <c r="AP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Y1042" t="inlineStr">
        <is>
          <t>unknown</t>
        </is>
      </c>
      <c r="Z1042" t="inlineStr"/>
      <c r="AA1042" t="inlineStr"/>
      <c r="AB1042" t="inlineStr"/>
      <c r="AC1042" t="inlineStr"/>
      <c r="AD1042" t="inlineStr">
        <is>
          <t>לא נמצא בסריקת המפיצים</t>
        </is>
      </c>
      <c r="AE1042" t="inlineStr">
        <is>
          <t>סריקת אתרי מפיצים</t>
        </is>
      </c>
      <c r="AG1042" t="inlineStr"/>
      <c r="AH1042" t="inlineStr"/>
      <c r="AJ1042" t="inlineStr">
        <is>
          <t>800-321-2313</t>
        </is>
      </c>
      <c r="AM1042" t="inlineStr">
        <is>
          <t>https://www.puritanmedproducts.com/pages/contact-us</t>
        </is>
      </c>
      <c r="AN1042" t="inlineStr">
        <is>
          <t>https://www.puritanmedproducts.com/pages/contact-us</t>
        </is>
      </c>
      <c r="AP1042" t="inlineStr">
        <is>
          <t>https://www.dutscher.com/search?initialFilters=brand:Puritan | https://www.puritanmedproducts.com/pages/contact-us</t>
        </is>
      </c>
    </row>
    <row r="1043">
      <c r="A1043" t="n">
        <v>1042</v>
      </c>
      <c r="B1043" t="inlineStr">
        <is>
          <t>Puritan Medical</t>
        </is>
      </c>
      <c r="C1043" t="inlineStr">
        <is>
          <t>Q</t>
        </is>
      </c>
      <c r="F1043" t="inlineStr">
        <is>
          <t>yes</t>
        </is>
      </c>
      <c r="J1043" t="inlineStr"/>
      <c r="Y1043" t="inlineStr">
        <is>
          <t>unknown</t>
        </is>
      </c>
      <c r="Z1043" t="inlineStr"/>
      <c r="AA1043" t="inlineStr"/>
      <c r="AB1043" t="inlineStr"/>
      <c r="AC1043" t="inlineStr"/>
      <c r="AD1043" t="inlineStr">
        <is>
          <t>לא נמצא בסריקת המפיצים</t>
        </is>
      </c>
      <c r="AE1043" t="inlineStr">
        <is>
          <t>סריקת אתרי מפיצים</t>
        </is>
      </c>
      <c r="AG1043" t="inlineStr"/>
      <c r="AH1043" t="inlineStr"/>
      <c r="AJ1043" t="inlineStr"/>
      <c r="AP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Y1044" t="inlineStr">
        <is>
          <t>unknown</t>
        </is>
      </c>
      <c r="Z1044" t="inlineStr"/>
      <c r="AA1044" t="inlineStr"/>
      <c r="AB1044" t="inlineStr"/>
      <c r="AC1044" t="inlineStr"/>
      <c r="AD1044" t="inlineStr">
        <is>
          <t>לא נמצא בסריקת המפיצים</t>
        </is>
      </c>
      <c r="AE1044" t="inlineStr">
        <is>
          <t>סריקת אתרי מפיצים</t>
        </is>
      </c>
      <c r="AG1044" t="inlineStr"/>
      <c r="AH1044" t="inlineStr"/>
      <c r="AJ1044" t="inlineStr">
        <is>
          <t>800-321-2313</t>
        </is>
      </c>
      <c r="AM1044" t="inlineStr">
        <is>
          <t>https://www.puritanmedproducts.com/pages/contact-us</t>
        </is>
      </c>
      <c r="AN1044" t="inlineStr">
        <is>
          <t>https://www.puritanmedproducts.com/pages/contact-us</t>
        </is>
      </c>
      <c r="AP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Y1045" t="inlineStr">
        <is>
          <t>unknown</t>
        </is>
      </c>
      <c r="Z1045" t="inlineStr"/>
      <c r="AA1045" t="inlineStr"/>
      <c r="AB1045" t="inlineStr"/>
      <c r="AC1045" t="inlineStr"/>
      <c r="AD1045" t="inlineStr">
        <is>
          <t>לא נמצא בסריקת המפיצים</t>
        </is>
      </c>
      <c r="AE1045" t="inlineStr">
        <is>
          <t>סריקת אתרי מפיצים</t>
        </is>
      </c>
      <c r="AG1045" t="inlineStr"/>
      <c r="AH1045" t="inlineStr"/>
      <c r="AJ1045" t="inlineStr"/>
      <c r="AP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Y1046" t="inlineStr">
        <is>
          <t>unknown</t>
        </is>
      </c>
      <c r="Z1046" t="inlineStr"/>
      <c r="AA1046" t="inlineStr"/>
      <c r="AB1046" t="inlineStr"/>
      <c r="AC1046" t="inlineStr"/>
      <c r="AD1046" t="inlineStr">
        <is>
          <t>לא נמצא בסריקת המפיצים</t>
        </is>
      </c>
      <c r="AE1046" t="inlineStr">
        <is>
          <t>סריקת אתרי מפיצים</t>
        </is>
      </c>
      <c r="AG1046" t="inlineStr"/>
      <c r="AH1046" t="inlineStr"/>
      <c r="AJ1046" t="inlineStr"/>
      <c r="AP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Y1047" t="inlineStr">
        <is>
          <t>unknown</t>
        </is>
      </c>
      <c r="Z1047" t="inlineStr"/>
      <c r="AA1047" t="inlineStr"/>
      <c r="AB1047" t="inlineStr"/>
      <c r="AC1047" t="inlineStr"/>
      <c r="AD1047" t="inlineStr">
        <is>
          <t>לא נמצא בסריקת המפיצים</t>
        </is>
      </c>
      <c r="AE1047" t="inlineStr">
        <is>
          <t>סריקת אתרי מפיצים</t>
        </is>
      </c>
      <c r="AG1047" t="inlineStr"/>
      <c r="AH1047" t="inlineStr"/>
      <c r="AJ1047" t="inlineStr"/>
      <c r="AP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Y1048" t="inlineStr">
        <is>
          <t>unknown</t>
        </is>
      </c>
      <c r="Z1048" t="inlineStr"/>
      <c r="AA1048" t="inlineStr"/>
      <c r="AB1048" t="inlineStr"/>
      <c r="AC1048" t="inlineStr"/>
      <c r="AD1048" t="inlineStr">
        <is>
          <t>לא נמצא בסריקת המפיצים</t>
        </is>
      </c>
      <c r="AE1048" t="inlineStr">
        <is>
          <t>סריקת אתרי מפיצים</t>
        </is>
      </c>
      <c r="AG1048" t="inlineStr"/>
      <c r="AH1048" t="inlineStr"/>
      <c r="AJ1048" t="inlineStr"/>
      <c r="AP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P1049" t="n">
        <v>5654</v>
      </c>
      <c r="Q1049" t="n">
        <v>2025</v>
      </c>
      <c r="R1049" t="inlineStr">
        <is>
          <t>company</t>
        </is>
      </c>
      <c r="S1049" t="inlineStr">
        <is>
          <t>prior</t>
        </is>
      </c>
      <c r="T1049" t="n">
        <v>2090</v>
      </c>
      <c r="U1049" t="inlineStr">
        <is>
          <t>USD 2,090.0 million</t>
        </is>
      </c>
      <c r="V1049" t="inlineStr">
        <is>
          <t>FY2025</t>
        </is>
      </c>
      <c r="W1049" t="inlineStr">
        <is>
          <t>company</t>
        </is>
      </c>
      <c r="X1049" t="inlineStr">
        <is>
          <t>prior</t>
        </is>
      </c>
      <c r="Y1049" t="inlineStr">
        <is>
          <t>reported</t>
        </is>
      </c>
      <c r="Z1049" t="inlineStr">
        <is>
          <t>QIAcube Connect</t>
        </is>
      </c>
      <c r="AA1049" t="inlineStr">
        <is>
          <t>QIAstat-Dx</t>
        </is>
      </c>
      <c r="AB1049" t="inlineStr">
        <is>
          <t>QuantiFERON-TB Gold Plus</t>
        </is>
      </c>
      <c r="AC1049" t="inlineStr">
        <is>
          <t>prior</t>
        </is>
      </c>
      <c r="AD1049" t="inlineStr">
        <is>
          <t>מפיץ/נציג בישראל</t>
        </is>
      </c>
      <c r="AE1049" t="inlineStr">
        <is>
          <t>אומת</t>
        </is>
      </c>
      <c r="AF1049" t="n">
        <v>2026</v>
      </c>
      <c r="AG1049" t="inlineStr">
        <is>
          <t>Ilex Medical Ltd.; Eldan Electronic Instruments (Neopharm group); Lifegene Ltd.</t>
        </is>
      </c>
      <c r="AH1049" t="inlineStr">
        <is>
          <t>Ilex Medical Ltd.: +972-3-9385500; Eldan Electronic Instruments (Neopharm group): +972-3-937-1111 info@eldan.biz; Lifegene Ltd.: +972 8-644-4314 info@lifegene.co.il</t>
        </is>
      </c>
      <c r="AI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J1049" t="inlineStr">
        <is>
          <t>+49 2103 29 12000</t>
        </is>
      </c>
      <c r="AL1049" t="inlineStr">
        <is>
          <t>QIAGEN Str. 1, 40724 Hilden, Germany (operational HQ)</t>
        </is>
      </c>
      <c r="AM1049" t="inlineStr">
        <is>
          <t>https://qiagen.com/ch/knowledge-and-support/contact-customer-support</t>
        </is>
      </c>
      <c r="AN1049" t="inlineStr">
        <is>
          <t>https://www.biocompare.com/100425-QIAGEN/</t>
        </is>
      </c>
      <c r="AP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Y1050" t="inlineStr">
        <is>
          <t>unknown</t>
        </is>
      </c>
      <c r="Z1050" t="inlineStr"/>
      <c r="AA1050" t="inlineStr"/>
      <c r="AB1050" t="inlineStr"/>
      <c r="AC1050" t="inlineStr"/>
      <c r="AD1050" t="inlineStr">
        <is>
          <t>לא נמצא בסריקת המפיצים</t>
        </is>
      </c>
      <c r="AE1050" t="inlineStr">
        <is>
          <t>סריקת אתרי מפיצים</t>
        </is>
      </c>
      <c r="AG1050" t="inlineStr"/>
      <c r="AH1050" t="inlineStr"/>
      <c r="AJ1050" t="inlineStr"/>
      <c r="AP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Y1051" t="inlineStr">
        <is>
          <t>unknown</t>
        </is>
      </c>
      <c r="Z1051" t="inlineStr"/>
      <c r="AA1051" t="inlineStr"/>
      <c r="AB1051" t="inlineStr"/>
      <c r="AC1051" t="inlineStr"/>
      <c r="AD1051" t="inlineStr">
        <is>
          <t>לא נמצא בחיפוש ראשוני</t>
        </is>
      </c>
      <c r="AE1051" t="inlineStr">
        <is>
          <t>חיפוש חלקי</t>
        </is>
      </c>
      <c r="AG1051" t="inlineStr"/>
      <c r="AH1051" t="inlineStr"/>
      <c r="AI1051" t="inlineStr">
        <is>
          <t>No result mentioned Qorpak; only unrelated Israeli companies (Amisragas, Dubek, Diplomat).</t>
        </is>
      </c>
      <c r="AJ1051" t="inlineStr"/>
      <c r="AN1051" t="inlineStr">
        <is>
          <t>https://shop.qorpak.com/</t>
        </is>
      </c>
      <c r="AP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Y1052" t="inlineStr">
        <is>
          <t>unknown</t>
        </is>
      </c>
      <c r="Z1052" t="inlineStr"/>
      <c r="AA1052" t="inlineStr"/>
      <c r="AB1052" t="inlineStr"/>
      <c r="AC1052" t="inlineStr"/>
      <c r="AD1052" t="inlineStr">
        <is>
          <t>לא נמצא בסריקת המפיצים</t>
        </is>
      </c>
      <c r="AE1052" t="inlineStr">
        <is>
          <t>סריקת אתרי מפיצים</t>
        </is>
      </c>
      <c r="AG1052" t="inlineStr"/>
      <c r="AH1052" t="inlineStr"/>
      <c r="AJ1052" t="inlineStr">
        <is>
          <t>+1 631 242-3000</t>
        </is>
      </c>
      <c r="AM1052" t="inlineStr">
        <is>
          <t>https://www.qosina.com/contact-us-1</t>
        </is>
      </c>
      <c r="AN1052" t="inlineStr">
        <is>
          <t>https://www.qosina.com/contact-us-1</t>
        </is>
      </c>
      <c r="AP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Y1053" t="inlineStr">
        <is>
          <t>unknown</t>
        </is>
      </c>
      <c r="Z1053" t="inlineStr"/>
      <c r="AA1053" t="inlineStr"/>
      <c r="AB1053" t="inlineStr"/>
      <c r="AC1053" t="inlineStr"/>
      <c r="AD1053" t="inlineStr">
        <is>
          <t>לא נמצא בסריקת המפיצים</t>
        </is>
      </c>
      <c r="AE1053" t="inlineStr">
        <is>
          <t>סריקת אתרי מפיצים</t>
        </is>
      </c>
      <c r="AG1053" t="inlineStr"/>
      <c r="AH1053" t="inlineStr"/>
      <c r="AJ1053" t="inlineStr"/>
      <c r="AP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Y1054" t="inlineStr">
        <is>
          <t>unknown</t>
        </is>
      </c>
      <c r="Z1054" t="inlineStr"/>
      <c r="AA1054" t="inlineStr"/>
      <c r="AB1054" t="inlineStr"/>
      <c r="AC1054" t="inlineStr"/>
      <c r="AD1054" t="inlineStr">
        <is>
          <t>לא נמצא בסריקת המפיצים</t>
        </is>
      </c>
      <c r="AE1054" t="inlineStr">
        <is>
          <t>סריקת אתרי מפיצים</t>
        </is>
      </c>
      <c r="AG1054" t="inlineStr"/>
      <c r="AH1054" t="inlineStr"/>
      <c r="AJ1054" t="inlineStr">
        <is>
          <t>2034260101</t>
        </is>
      </c>
      <c r="AK1054" t="inlineStr">
        <is>
          <t>info@sonicator.com</t>
        </is>
      </c>
      <c r="AM1054" t="inlineStr">
        <is>
          <t>https://www.sonicator.com/pages/contact-info</t>
        </is>
      </c>
      <c r="AN1054" t="inlineStr">
        <is>
          <t>https://www.sonicator.com/pages/contact-info</t>
        </is>
      </c>
      <c r="AP1054" t="inlineStr">
        <is>
          <t>https://www.thomassci.com/browse-by/suppliers/qsonica | https://www.sonicator.com/pages/contact-info</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Y1055" t="inlineStr">
        <is>
          <t>unknown</t>
        </is>
      </c>
      <c r="Z1055" t="inlineStr"/>
      <c r="AA1055" t="inlineStr"/>
      <c r="AB1055" t="inlineStr"/>
      <c r="AC1055" t="inlineStr"/>
      <c r="AD1055" t="inlineStr">
        <is>
          <t>לא נמצא בחיפוש ראשוני</t>
        </is>
      </c>
      <c r="AE1055" t="inlineStr">
        <is>
          <t>חיפוש חלקי</t>
        </is>
      </c>
      <c r="AG1055" t="inlineStr"/>
      <c r="AH1055" t="inlineStr"/>
      <c r="AI1055" t="inlineStr">
        <is>
          <t>No result mentions Quality Biological; ENCO Diagnostics (Petach Tikva) appeared only as Medix Biochemica's Israeli distributor.</t>
        </is>
      </c>
      <c r="AJ1055" t="inlineStr"/>
      <c r="AP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Y1056" t="inlineStr">
        <is>
          <t>unknown</t>
        </is>
      </c>
      <c r="Z1056" t="inlineStr"/>
      <c r="AA1056" t="inlineStr"/>
      <c r="AB1056" t="inlineStr"/>
      <c r="AC1056" t="inlineStr"/>
      <c r="AD1056" t="inlineStr">
        <is>
          <t>לא נמצא בסריקת המפיצים</t>
        </is>
      </c>
      <c r="AE1056" t="inlineStr">
        <is>
          <t>סריקת אתרי מפיצים</t>
        </is>
      </c>
      <c r="AG1056" t="inlineStr"/>
      <c r="AH1056" t="inlineStr"/>
      <c r="AJ1056" t="inlineStr"/>
      <c r="AP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Y1057" t="inlineStr">
        <is>
          <t>unknown</t>
        </is>
      </c>
      <c r="Z1057" t="inlineStr"/>
      <c r="AA1057" t="inlineStr"/>
      <c r="AB1057" t="inlineStr"/>
      <c r="AC1057" t="inlineStr"/>
      <c r="AD1057" t="inlineStr">
        <is>
          <t>לא נמצא בסריקת המפיצים</t>
        </is>
      </c>
      <c r="AE1057" t="inlineStr">
        <is>
          <t>סריקת אתרי מפיצים</t>
        </is>
      </c>
      <c r="AG1057" t="inlineStr"/>
      <c r="AH1057" t="inlineStr"/>
      <c r="AJ1057" t="inlineStr">
        <is>
          <t>+8006854665</t>
        </is>
      </c>
      <c r="AK1057" t="inlineStr">
        <is>
          <t>sales@quantumstorage.com</t>
        </is>
      </c>
      <c r="AM1057" t="inlineStr">
        <is>
          <t>https://www.quantumstorage.com/contact/</t>
        </is>
      </c>
      <c r="AN1057" t="inlineStr">
        <is>
          <t>https://www.quantumstorage.com/contact/</t>
        </is>
      </c>
      <c r="AP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Y1058" t="inlineStr">
        <is>
          <t>unknown</t>
        </is>
      </c>
      <c r="Z1058" t="inlineStr"/>
      <c r="AA1058" t="inlineStr"/>
      <c r="AB1058" t="inlineStr"/>
      <c r="AC1058" t="inlineStr"/>
      <c r="AD1058" t="inlineStr">
        <is>
          <t>לא נמצא בסריקת המפיצים</t>
        </is>
      </c>
      <c r="AE1058" t="inlineStr">
        <is>
          <t>סריקת אתרי מפיצים</t>
        </is>
      </c>
      <c r="AG1058" t="inlineStr"/>
      <c r="AH1058" t="inlineStr"/>
      <c r="AJ1058" t="inlineStr"/>
      <c r="AP1058" t="inlineStr">
        <is>
          <t>https://www.thomassci.com/browse-by/suppliers/quidel-corporation</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Y1059" t="inlineStr">
        <is>
          <t>unknown</t>
        </is>
      </c>
      <c r="Z1059" t="inlineStr"/>
      <c r="AA1059" t="inlineStr"/>
      <c r="AB1059" t="inlineStr"/>
      <c r="AC1059" t="inlineStr"/>
      <c r="AD1059" t="inlineStr">
        <is>
          <t>לא נמצא בסריקת המפיצים</t>
        </is>
      </c>
      <c r="AE1059" t="inlineStr">
        <is>
          <t>סריקת אתרי מפיצים</t>
        </is>
      </c>
      <c r="AG1059" t="inlineStr"/>
      <c r="AH1059" t="inlineStr"/>
      <c r="AJ1059" t="inlineStr">
        <is>
          <t>8004824328</t>
        </is>
      </c>
      <c r="AK1059" t="inlineStr">
        <is>
          <t>orders@quincylab.com</t>
        </is>
      </c>
      <c r="AN1059" t="inlineStr">
        <is>
          <t>https://quincylab.com/</t>
        </is>
      </c>
      <c r="AP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Y1060" t="inlineStr">
        <is>
          <t>unknown</t>
        </is>
      </c>
      <c r="Z1060" t="inlineStr"/>
      <c r="AA1060" t="inlineStr"/>
      <c r="AB1060" t="inlineStr"/>
      <c r="AC1060" t="inlineStr"/>
      <c r="AD1060" t="inlineStr">
        <is>
          <t>לא נמצא בסריקת המפיצים</t>
        </is>
      </c>
      <c r="AE1060" t="inlineStr">
        <is>
          <t>סריקת אתרי מפיצים</t>
        </is>
      </c>
      <c r="AG1060" t="inlineStr"/>
      <c r="AH1060" t="inlineStr"/>
      <c r="AJ1060" t="inlineStr"/>
      <c r="AP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P1061" t="n">
        <v>3100</v>
      </c>
      <c r="Q1061" t="n">
        <v>2025</v>
      </c>
      <c r="R1061" t="inlineStr">
        <is>
          <t>company</t>
        </is>
      </c>
      <c r="S1061" t="inlineStr">
        <is>
          <t>prior</t>
        </is>
      </c>
      <c r="T1061" t="n">
        <v>1220</v>
      </c>
      <c r="U1061" t="inlineStr">
        <is>
          <t>USD 1.2 billion (approx.; flat vs FY2025 USD 1,219.6 million)</t>
        </is>
      </c>
      <c r="V1061" t="inlineStr">
        <is>
          <t>FY Jun-2026</t>
        </is>
      </c>
      <c r="W1061" t="inlineStr">
        <is>
          <t>company</t>
        </is>
      </c>
      <c r="X1061" t="inlineStr">
        <is>
          <t>prior</t>
        </is>
      </c>
      <c r="Y1061" t="inlineStr">
        <is>
          <t>reported</t>
        </is>
      </c>
      <c r="Z1061" t="inlineStr">
        <is>
          <t>ProteinSimple Jess / Simple Western</t>
        </is>
      </c>
      <c r="AA1061" t="inlineStr">
        <is>
          <t>R&amp;D Systems proteins, antibodies &amp; Quantikine ELISAs</t>
        </is>
      </c>
      <c r="AB1061" t="inlineStr">
        <is>
          <t>RNAscope (ACD)</t>
        </is>
      </c>
      <c r="AC1061" t="inlineStr">
        <is>
          <t>prior</t>
        </is>
      </c>
      <c r="AD1061" t="inlineStr">
        <is>
          <t>מפיץ/נציג בישראל</t>
        </is>
      </c>
      <c r="AE1061" t="inlineStr">
        <is>
          <t>חיפוש חלקי</t>
        </is>
      </c>
      <c r="AF1061" t="n">
        <v>2026</v>
      </c>
      <c r="AG1061" t="inlineStr">
        <is>
          <t>Getter Bio-Med (Getter Group); Biotest</t>
        </is>
      </c>
      <c r="AH1061" t="inlineStr">
        <is>
          <t>Getter Bio-Med (Getter Group): +972 3-576-1555 (Getter Group switchboard); Biotest:</t>
        </is>
      </c>
      <c r="AI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061" t="inlineStr">
        <is>
          <t>+1 800-343-7475</t>
        </is>
      </c>
      <c r="AK1061" t="inlineStr">
        <is>
          <t>techsupport@bio-techne.com</t>
        </is>
      </c>
      <c r="AL1061" t="inlineStr">
        <is>
          <t>614 McKinley Place NE, Minneapolis, MN 55413, USA</t>
        </is>
      </c>
      <c r="AM1061" t="inlineStr">
        <is>
          <t>https://rndsystems.com/node/64566</t>
        </is>
      </c>
      <c r="AN1061" t="inlineStr">
        <is>
          <t>https://rndsystems.com/node/64566</t>
        </is>
      </c>
      <c r="AP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Y1062" t="inlineStr">
        <is>
          <t>unknown</t>
        </is>
      </c>
      <c r="Z1062" t="inlineStr"/>
      <c r="AA1062" t="inlineStr"/>
      <c r="AB1062" t="inlineStr"/>
      <c r="AC1062" t="inlineStr"/>
      <c r="AD1062" t="inlineStr">
        <is>
          <t>לא נמצא בסריקת המפיצים</t>
        </is>
      </c>
      <c r="AE1062" t="inlineStr">
        <is>
          <t>סריקת אתרי מפיצים</t>
        </is>
      </c>
      <c r="AG1062" t="inlineStr"/>
      <c r="AH1062" t="inlineStr"/>
      <c r="AJ1062" t="inlineStr">
        <is>
          <t>(480) 443-9255</t>
        </is>
      </c>
      <c r="AK1062" t="inlineStr">
        <is>
          <t>info@rrlotion.com</t>
        </is>
      </c>
      <c r="AM1062" t="inlineStr">
        <is>
          <t>https://rrlotion.com/contact-us/distributors/</t>
        </is>
      </c>
      <c r="AN1062" t="inlineStr">
        <is>
          <t>https://rrlotion.com/contact-us/distributors/</t>
        </is>
      </c>
      <c r="AP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Y1063" t="inlineStr">
        <is>
          <t>unknown</t>
        </is>
      </c>
      <c r="Z1063" t="inlineStr"/>
      <c r="AA1063" t="inlineStr"/>
      <c r="AB1063" t="inlineStr"/>
      <c r="AC1063" t="inlineStr"/>
      <c r="AD1063" t="inlineStr">
        <is>
          <t>לא נמצא בסריקת המפיצים</t>
        </is>
      </c>
      <c r="AE1063" t="inlineStr">
        <is>
          <t>סריקת אתרי מפיצים</t>
        </is>
      </c>
      <c r="AG1063" t="inlineStr"/>
      <c r="AH1063" t="inlineStr"/>
      <c r="AJ1063" t="inlineStr"/>
      <c r="AP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Y1064" t="inlineStr">
        <is>
          <t>unknown</t>
        </is>
      </c>
      <c r="Z1064" t="inlineStr"/>
      <c r="AA1064" t="inlineStr"/>
      <c r="AB1064" t="inlineStr"/>
      <c r="AC1064" t="inlineStr"/>
      <c r="AD1064" t="inlineStr">
        <is>
          <t>לא נמצא בסריקת המפיצים</t>
        </is>
      </c>
      <c r="AE1064" t="inlineStr">
        <is>
          <t>סריקת אתרי מפיצים</t>
        </is>
      </c>
      <c r="AG1064" t="inlineStr"/>
      <c r="AH1064" t="inlineStr"/>
      <c r="AJ1064" t="inlineStr">
        <is>
          <t>877-723-4267</t>
        </is>
      </c>
      <c r="AK1064" t="inlineStr">
        <is>
          <t>sales@radians.com</t>
        </is>
      </c>
      <c r="AM1064" t="inlineStr">
        <is>
          <t>https://www.radians.com/contact</t>
        </is>
      </c>
      <c r="AN1064" t="inlineStr">
        <is>
          <t>https://www.radians.com/contact</t>
        </is>
      </c>
      <c r="AP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P1065" t="n">
        <v>18100</v>
      </c>
      <c r="Q1065" t="n">
        <v>2025</v>
      </c>
      <c r="R1065" t="inlineStr">
        <is>
          <t>company</t>
        </is>
      </c>
      <c r="S1065" t="inlineStr">
        <is>
          <t>prior</t>
        </is>
      </c>
      <c r="T1065" t="n">
        <v>4026</v>
      </c>
      <c r="U1065" t="inlineStr">
        <is>
          <t>USD 4.026 billion</t>
        </is>
      </c>
      <c r="V1065" t="inlineStr">
        <is>
          <t>FY2025</t>
        </is>
      </c>
      <c r="W1065" t="inlineStr">
        <is>
          <t>company</t>
        </is>
      </c>
      <c r="X1065" t="inlineStr">
        <is>
          <t>prior</t>
        </is>
      </c>
      <c r="Y1065" t="inlineStr">
        <is>
          <t>reported</t>
        </is>
      </c>
      <c r="Z1065" t="inlineStr">
        <is>
          <t>XPR analytical &amp; micro balances</t>
        </is>
      </c>
      <c r="AA1065" t="inlineStr">
        <is>
          <t>Rainin Pipet-Lite XLS / E4 XLS</t>
        </is>
      </c>
      <c r="AB1065" t="inlineStr">
        <is>
          <t>Excellence Titrators &amp; SevenExcellence meters</t>
        </is>
      </c>
      <c r="AC1065" t="inlineStr">
        <is>
          <t>prior</t>
        </is>
      </c>
      <c r="AD1065" t="inlineStr">
        <is>
          <t>מפיץ/נציג בישראל</t>
        </is>
      </c>
      <c r="AE1065" t="inlineStr">
        <is>
          <t>אומת</t>
        </is>
      </c>
      <c r="AF1065" t="n">
        <v>2026</v>
      </c>
      <c r="AG1065" t="inlineStr">
        <is>
          <t>Agentek (1987) Ltd.; Modcon Systems Ltd.; Dinco Ltd.</t>
        </is>
      </c>
      <c r="AH1065" t="inlineStr">
        <is>
          <t>Agentek (1987) Ltd.: +972 9-965-7000; Modcon Systems Ltd.: +972-4-9553955; Dinco Ltd.:</t>
        </is>
      </c>
      <c r="AI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J1065" t="inlineStr">
        <is>
          <t>+1 614-438-4511</t>
        </is>
      </c>
      <c r="AL1065" t="inlineStr">
        <is>
          <t>1900 Polaris Parkway, Columbus, OH 43240, USA</t>
        </is>
      </c>
      <c r="AN1065" t="inlineStr">
        <is>
          <t>https://s202.q4cdn.com/258391627/files/doc_financials/2014-Annual-Report.pdf</t>
        </is>
      </c>
      <c r="AP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Y1066" t="inlineStr">
        <is>
          <t>unknown</t>
        </is>
      </c>
      <c r="Z1066" t="inlineStr"/>
      <c r="AA1066" t="inlineStr"/>
      <c r="AB1066" t="inlineStr"/>
      <c r="AC1066" t="inlineStr"/>
      <c r="AD1066" t="inlineStr">
        <is>
          <t>לא נמצא בסריקת המפיצים</t>
        </is>
      </c>
      <c r="AE1066" t="inlineStr">
        <is>
          <t>סריקת אתרי מפיצים</t>
        </is>
      </c>
      <c r="AG1066" t="inlineStr"/>
      <c r="AH1066" t="inlineStr"/>
      <c r="AJ1066" t="inlineStr"/>
      <c r="AP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Y1067" t="inlineStr">
        <is>
          <t>unknown</t>
        </is>
      </c>
      <c r="Z1067" t="inlineStr"/>
      <c r="AA1067" t="inlineStr"/>
      <c r="AB1067" t="inlineStr"/>
      <c r="AC1067" t="inlineStr"/>
      <c r="AD1067" t="inlineStr">
        <is>
          <t>לא נמצא בסריקת המפיצים</t>
        </is>
      </c>
      <c r="AE1067" t="inlineStr">
        <is>
          <t>סריקת אתרי מפיצים</t>
        </is>
      </c>
      <c r="AG1067" t="inlineStr"/>
      <c r="AH1067" t="inlineStr"/>
      <c r="AJ1067" t="inlineStr"/>
      <c r="AK1067" t="inlineStr">
        <is>
          <t>info@ratiolab.com</t>
        </is>
      </c>
      <c r="AM1067" t="inlineStr">
        <is>
          <t>https://www.ratiolab.com/kontakt/</t>
        </is>
      </c>
      <c r="AN1067" t="inlineStr">
        <is>
          <t>https://www.ratiolab.com/kontakt/</t>
        </is>
      </c>
      <c r="AP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Y1068" t="inlineStr">
        <is>
          <t>unknown</t>
        </is>
      </c>
      <c r="Z1068" t="inlineStr"/>
      <c r="AA1068" t="inlineStr"/>
      <c r="AB1068" t="inlineStr"/>
      <c r="AC1068" t="inlineStr"/>
      <c r="AD1068" t="inlineStr">
        <is>
          <t>לא נמצא בחיפוש ראשוני</t>
        </is>
      </c>
      <c r="AE1068" t="inlineStr">
        <is>
          <t>חיפוש חלקי</t>
        </is>
      </c>
      <c r="AG1068" t="inlineStr"/>
      <c r="AH1068" t="inlineStr"/>
      <c r="AI1068" t="inlineStr">
        <is>
          <t>RayBiotech's 2012 distributor-conference release cites distributors in 35+ countries (unnamed); EU resellers (Bio-Connect, Insight Bio) appear; Israeli distributor pages (Enco, Rhenium, Biological Industries) do not list RayBiotech.</t>
        </is>
      </c>
      <c r="AJ1068" t="inlineStr">
        <is>
          <t>7707292992</t>
        </is>
      </c>
      <c r="AK1068" t="inlineStr">
        <is>
          <t>orders@raybiotech.com</t>
        </is>
      </c>
      <c r="AM1068" t="inlineStr">
        <is>
          <t>https://www.raybiotech.com/contact-us</t>
        </is>
      </c>
      <c r="AN1068" t="inlineStr">
        <is>
          <t>https://www.raybiotech.com/contact-us</t>
        </is>
      </c>
      <c r="AP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Y1069" t="inlineStr">
        <is>
          <t>unknown</t>
        </is>
      </c>
      <c r="Z1069" t="inlineStr"/>
      <c r="AA1069" t="inlineStr"/>
      <c r="AB1069" t="inlineStr"/>
      <c r="AC1069" t="inlineStr"/>
      <c r="AD1069" t="inlineStr">
        <is>
          <t>לא נמצא בסריקת המפיצים</t>
        </is>
      </c>
      <c r="AE1069" t="inlineStr">
        <is>
          <t>סריקת אתרי מפיצים</t>
        </is>
      </c>
      <c r="AG1069" t="inlineStr"/>
      <c r="AH1069" t="inlineStr"/>
      <c r="AJ1069" t="inlineStr"/>
      <c r="AP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Y1070" t="inlineStr">
        <is>
          <t>unknown</t>
        </is>
      </c>
      <c r="Z1070" t="inlineStr"/>
      <c r="AA1070" t="inlineStr"/>
      <c r="AB1070" t="inlineStr"/>
      <c r="AC1070" t="inlineStr"/>
      <c r="AD1070" t="inlineStr">
        <is>
          <t>לא נמצא בסריקת המפיצים</t>
        </is>
      </c>
      <c r="AE1070" t="inlineStr">
        <is>
          <t>סריקת אתרי מפיצים</t>
        </is>
      </c>
      <c r="AG1070" t="inlineStr"/>
      <c r="AH1070" t="inlineStr"/>
      <c r="AJ1070" t="inlineStr"/>
      <c r="AP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Y1071" t="inlineStr">
        <is>
          <t>unknown</t>
        </is>
      </c>
      <c r="Z1071" t="inlineStr"/>
      <c r="AA1071" t="inlineStr"/>
      <c r="AB1071" t="inlineStr"/>
      <c r="AC1071" t="inlineStr"/>
      <c r="AD1071" t="inlineStr">
        <is>
          <t>לא נמצא בסריקת המפיצים</t>
        </is>
      </c>
      <c r="AE1071" t="inlineStr">
        <is>
          <t>סריקת אתרי מפיצים</t>
        </is>
      </c>
      <c r="AG1071" t="inlineStr"/>
      <c r="AH1071" t="inlineStr"/>
      <c r="AJ1071" t="inlineStr">
        <is>
          <t>+35319014670</t>
        </is>
      </c>
      <c r="AM1071" t="inlineStr">
        <is>
          <t>https://www.reagecon.com/en-gb/contact</t>
        </is>
      </c>
      <c r="AN1071" t="inlineStr">
        <is>
          <t>https://www.reagecon.com/en-gb/contact</t>
        </is>
      </c>
      <c r="AP1071" t="inlineStr">
        <is>
          <t>https://www.dutscher.com/search?initialFilters=brand:Reagecon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Y1072" t="inlineStr">
        <is>
          <t>unknown</t>
        </is>
      </c>
      <c r="Z1072" t="inlineStr"/>
      <c r="AA1072" t="inlineStr"/>
      <c r="AB1072" t="inlineStr"/>
      <c r="AC1072" t="inlineStr"/>
      <c r="AD1072" t="inlineStr">
        <is>
          <t>לא נמצא בסריקת המפיצים</t>
        </is>
      </c>
      <c r="AE1072" t="inlineStr">
        <is>
          <t>סריקת אתרי מפיצים</t>
        </is>
      </c>
      <c r="AG1072" t="inlineStr"/>
      <c r="AH1072" t="inlineStr"/>
      <c r="AJ1072" t="inlineStr"/>
      <c r="AP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Y1073" t="inlineStr">
        <is>
          <t>unknown</t>
        </is>
      </c>
      <c r="Z1073" t="inlineStr"/>
      <c r="AA1073" t="inlineStr"/>
      <c r="AB1073" t="inlineStr"/>
      <c r="AC1073" t="inlineStr"/>
      <c r="AD1073" t="inlineStr">
        <is>
          <t>לא נמצא בסריקת המפיצים</t>
        </is>
      </c>
      <c r="AE1073" t="inlineStr">
        <is>
          <t>סריקת אתרי מפיצים</t>
        </is>
      </c>
      <c r="AG1073" t="inlineStr"/>
      <c r="AH1073" t="inlineStr"/>
      <c r="AJ1073" t="inlineStr">
        <is>
          <t>18558729640</t>
        </is>
      </c>
      <c r="AK1073" t="inlineStr">
        <is>
          <t>info@reddotbiotech.com</t>
        </is>
      </c>
      <c r="AM1073" t="inlineStr">
        <is>
          <t>https://www.reddotbiotech.com/contact</t>
        </is>
      </c>
      <c r="AN1073" t="inlineStr">
        <is>
          <t>https://www.reddotbiotech.com/contact</t>
        </is>
      </c>
      <c r="AP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Y1074" t="inlineStr">
        <is>
          <t>unknown</t>
        </is>
      </c>
      <c r="Z1074" t="inlineStr"/>
      <c r="AA1074" t="inlineStr"/>
      <c r="AB1074" t="inlineStr"/>
      <c r="AC1074" t="inlineStr"/>
      <c r="AD1074" t="inlineStr">
        <is>
          <t>לא נמצא בסריקת המפיצים</t>
        </is>
      </c>
      <c r="AE1074" t="inlineStr">
        <is>
          <t>סריקת אתרי מפיצים</t>
        </is>
      </c>
      <c r="AG1074" t="inlineStr"/>
      <c r="AH1074" t="inlineStr"/>
      <c r="AJ1074" t="inlineStr"/>
      <c r="AP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Y1075" t="inlineStr">
        <is>
          <t>unknown</t>
        </is>
      </c>
      <c r="Z1075" t="inlineStr"/>
      <c r="AA1075" t="inlineStr"/>
      <c r="AB1075" t="inlineStr"/>
      <c r="AC1075" t="inlineStr"/>
      <c r="AD1075" t="inlineStr">
        <is>
          <t>לא נמצא בסריקת המפיצים</t>
        </is>
      </c>
      <c r="AE1075" t="inlineStr">
        <is>
          <t>סריקת אתרי מפיצים</t>
        </is>
      </c>
      <c r="AG1075" t="inlineStr"/>
      <c r="AH1075" t="inlineStr"/>
      <c r="AJ1075" t="inlineStr">
        <is>
          <t>+1-317-876-9856</t>
        </is>
      </c>
      <c r="AK1075" t="inlineStr">
        <is>
          <t>export@vikan.com</t>
        </is>
      </c>
      <c r="AM1075" t="inlineStr">
        <is>
          <t>https://www.vikan.com/us/contact-us</t>
        </is>
      </c>
      <c r="AN1075" t="inlineStr">
        <is>
          <t>https://www.vikan.com/us/contact-us</t>
        </is>
      </c>
      <c r="AP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Y1076" t="inlineStr">
        <is>
          <t>unknown</t>
        </is>
      </c>
      <c r="Z1076" t="inlineStr"/>
      <c r="AA1076" t="inlineStr"/>
      <c r="AB1076" t="inlineStr"/>
      <c r="AC1076" t="inlineStr"/>
      <c r="AD1076" t="inlineStr">
        <is>
          <t>לא נמצא בסריקת המפיצים</t>
        </is>
      </c>
      <c r="AE1076" t="inlineStr">
        <is>
          <t>סריקת אתרי מפיצים</t>
        </is>
      </c>
      <c r="AG1076" t="inlineStr"/>
      <c r="AH1076" t="inlineStr"/>
      <c r="AJ1076" t="inlineStr"/>
      <c r="AP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Y1077" t="inlineStr">
        <is>
          <t>unknown</t>
        </is>
      </c>
      <c r="Z1077" t="inlineStr"/>
      <c r="AA1077" t="inlineStr"/>
      <c r="AB1077" t="inlineStr"/>
      <c r="AC1077" t="inlineStr"/>
      <c r="AD1077" t="inlineStr">
        <is>
          <t>לא נמצא בסריקת המפיצים</t>
        </is>
      </c>
      <c r="AE1077" t="inlineStr">
        <is>
          <t>סריקת אתרי מפיצים</t>
        </is>
      </c>
      <c r="AG1077" t="inlineStr"/>
      <c r="AH1077" t="inlineStr"/>
      <c r="AJ1077" t="inlineStr"/>
      <c r="AP1077" t="inlineStr">
        <is>
          <t>https://www.thomassci.com/browse-by/suppliers/rephile</t>
        </is>
      </c>
    </row>
    <row r="1078">
      <c r="A1078" t="n">
        <v>1077</v>
      </c>
      <c r="B1078" t="inlineStr">
        <is>
          <t>Research Products International</t>
        </is>
      </c>
      <c r="C1078" t="inlineStr">
        <is>
          <t>Q</t>
        </is>
      </c>
      <c r="F1078" t="inlineStr">
        <is>
          <t>yes</t>
        </is>
      </c>
      <c r="J1078" t="inlineStr"/>
      <c r="Y1078" t="inlineStr">
        <is>
          <t>unknown</t>
        </is>
      </c>
      <c r="Z1078" t="inlineStr"/>
      <c r="AA1078" t="inlineStr"/>
      <c r="AB1078" t="inlineStr"/>
      <c r="AC1078" t="inlineStr"/>
      <c r="AD1078" t="inlineStr">
        <is>
          <t>לא נמצא בסריקת המפיצים</t>
        </is>
      </c>
      <c r="AE1078" t="inlineStr">
        <is>
          <t>סריקת אתרי מפיצים</t>
        </is>
      </c>
      <c r="AG1078" t="inlineStr"/>
      <c r="AH1078" t="inlineStr"/>
      <c r="AJ1078" t="inlineStr"/>
      <c r="AP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Y1079" t="inlineStr">
        <is>
          <t>unknown</t>
        </is>
      </c>
      <c r="Z1079" t="inlineStr"/>
      <c r="AA1079" t="inlineStr"/>
      <c r="AB1079" t="inlineStr"/>
      <c r="AC1079" t="inlineStr"/>
      <c r="AD1079" t="inlineStr">
        <is>
          <t>לא נמצא בחיפוש ראשוני</t>
        </is>
      </c>
      <c r="AE1079" t="inlineStr">
        <is>
          <t>חיפוש חלקי</t>
        </is>
      </c>
      <c r="AG1079" t="inlineStr"/>
      <c r="AH1079" t="inlineStr"/>
      <c r="AI1079" t="inlineStr">
        <is>
          <t>Restek directs customers to 'local Restek office or distributor'; none named for Israel in results (only US distributor Chrom Tech).</t>
        </is>
      </c>
      <c r="AJ1079" t="inlineStr"/>
      <c r="AP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Y1080" t="inlineStr">
        <is>
          <t>unknown</t>
        </is>
      </c>
      <c r="Z1080" t="inlineStr"/>
      <c r="AA1080" t="inlineStr"/>
      <c r="AB1080" t="inlineStr"/>
      <c r="AC1080" t="inlineStr"/>
      <c r="AD1080" t="inlineStr">
        <is>
          <t>לא נמצא בסריקת המפיצים</t>
        </is>
      </c>
      <c r="AE1080" t="inlineStr">
        <is>
          <t>סריקת אתרי מפיצים</t>
        </is>
      </c>
      <c r="AG1080" t="inlineStr"/>
      <c r="AH1080" t="inlineStr"/>
      <c r="AJ1080" t="inlineStr">
        <is>
          <t>888-703-1010</t>
        </is>
      </c>
      <c r="AK1080" t="inlineStr">
        <is>
          <t>international@retractable.com</t>
        </is>
      </c>
      <c r="AM1080" t="inlineStr">
        <is>
          <t>https://retractable.com/contact/</t>
        </is>
      </c>
      <c r="AN1080" t="inlineStr">
        <is>
          <t>https://retractable.com/contact/</t>
        </is>
      </c>
      <c r="AP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P1081" t="n">
        <v>1300</v>
      </c>
      <c r="Q1081" t="n">
        <v>2025</v>
      </c>
      <c r="R1081" t="inlineStr">
        <is>
          <t>company</t>
        </is>
      </c>
      <c r="S1081" t="inlineStr">
        <is>
          <t>prior</t>
        </is>
      </c>
      <c r="T1081" t="n">
        <v>330</v>
      </c>
      <c r="U1081" t="inlineStr">
        <is>
          <t>EUR 300+ million</t>
        </is>
      </c>
      <c r="V1081" t="inlineStr">
        <is>
          <t>undated (company website, accessed 2026)</t>
        </is>
      </c>
      <c r="W1081" t="inlineStr">
        <is>
          <t>company</t>
        </is>
      </c>
      <c r="X1081" t="inlineStr">
        <is>
          <t>prior</t>
        </is>
      </c>
      <c r="Y1081" t="inlineStr">
        <is>
          <t>reported</t>
        </is>
      </c>
      <c r="Z1081" t="inlineStr">
        <is>
          <t>Retsch mills and sieve shakers</t>
        </is>
      </c>
      <c r="AA1081" t="inlineStr">
        <is>
          <t>Carbolite Gero furnaces</t>
        </is>
      </c>
      <c r="AB1081" t="inlineStr">
        <is>
          <t>Microtrac MRB particle analyzers</t>
        </is>
      </c>
      <c r="AC1081" t="inlineStr">
        <is>
          <t>prior</t>
        </is>
      </c>
      <c r="AD1081" t="inlineStr">
        <is>
          <t>מפיץ/נציג בישראל</t>
        </is>
      </c>
      <c r="AE1081" t="inlineStr">
        <is>
          <t>חיפוש חלקי</t>
        </is>
      </c>
      <c r="AF1081" t="n">
        <v>2026</v>
      </c>
      <c r="AG1081" t="inlineStr">
        <is>
          <t>MRC Laboratory Equipment &amp; Instruments</t>
        </is>
      </c>
      <c r="AH1081" t="inlineStr">
        <is>
          <t>MRC Laboratory Equipment &amp; Instruments: +972 3-559-5252</t>
        </is>
      </c>
      <c r="AI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J1081" t="inlineStr">
        <is>
          <t>+49 2104 2333-500</t>
        </is>
      </c>
      <c r="AK1081" t="inlineStr">
        <is>
          <t>info@verder-scientific.com</t>
        </is>
      </c>
      <c r="AL1081" t="inlineStr">
        <is>
          <t>Retsch-Allee 1-5, 42781 Haan, Germany</t>
        </is>
      </c>
      <c r="AM1081" t="inlineStr">
        <is>
          <t>https://www.verder-scientific.com/contact</t>
        </is>
      </c>
      <c r="AN1081" t="inlineStr">
        <is>
          <t>https://www.verder-scientific.com/contact</t>
        </is>
      </c>
      <c r="AP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P1082" t="n">
        <v>6000</v>
      </c>
      <c r="Q1082" t="n">
        <v>2022</v>
      </c>
      <c r="R1082" t="inlineStr">
        <is>
          <t>company</t>
        </is>
      </c>
      <c r="S1082" t="inlineStr">
        <is>
          <t>prior</t>
        </is>
      </c>
      <c r="T1082" t="n">
        <v>1300</v>
      </c>
      <c r="U1082" t="inlineStr">
        <is>
          <t>USD 1.3 billion (estimate)</t>
        </is>
      </c>
      <c r="V1082" t="inlineStr">
        <is>
          <t>FY2022 (at carve-out)</t>
        </is>
      </c>
      <c r="W1082" t="inlineStr">
        <is>
          <t>estimate</t>
        </is>
      </c>
      <c r="X1082" t="inlineStr">
        <is>
          <t>prior</t>
        </is>
      </c>
      <c r="Y1082" t="inlineStr">
        <is>
          <t>mixed</t>
        </is>
      </c>
      <c r="Z1082" t="inlineStr">
        <is>
          <t>NexION ICP-MS</t>
        </is>
      </c>
      <c r="AA1082" t="inlineStr">
        <is>
          <t>Avio ICP-OES</t>
        </is>
      </c>
      <c r="AB1082" t="inlineStr">
        <is>
          <t>Spectrum 3 / Lambda / Pyris</t>
        </is>
      </c>
      <c r="AC1082" t="inlineStr">
        <is>
          <t>prior</t>
        </is>
      </c>
      <c r="AD1082" t="inlineStr">
        <is>
          <t>חברה-בת בישראל</t>
        </is>
      </c>
      <c r="AE1082" t="inlineStr">
        <is>
          <t>אומת</t>
        </is>
      </c>
      <c r="AF1082" t="n">
        <v>2026</v>
      </c>
      <c r="AG1082" t="inlineStr">
        <is>
          <t>PerkinElmer Israel Ltd.; ISI Israel Scientific Instruments Ltd.</t>
        </is>
      </c>
      <c r="AH1082" t="inlineStr">
        <is>
          <t>PerkinElmer Israel Ltd.: 1-700-500-512 cc.israel@perkinelmer.com; ISI Israel Scientific Instruments Ltd.: +972-3-9232202 info@isil.co.il</t>
        </is>
      </c>
      <c r="AI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J1082" t="inlineStr">
        <is>
          <t>1700-500-512 (Israel domestic number)</t>
        </is>
      </c>
      <c r="AK1082" t="inlineStr">
        <is>
          <t>cc.israel@perkinelmer.com</t>
        </is>
      </c>
      <c r="AL1082" t="inlineStr">
        <is>
          <t>Shelton, Connecticut</t>
        </is>
      </c>
      <c r="AN1082" t="inlineStr">
        <is>
          <t>https://ir.revvity.com/news/investor-news/news-details/2013/PerkinElmer-Establishes-Direct-Operations-in-Israel-08-01-2013/default.aspx</t>
        </is>
      </c>
      <c r="AP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t>
        </is>
      </c>
    </row>
    <row r="1083">
      <c r="A1083" t="n">
        <v>1082</v>
      </c>
      <c r="B1083" t="inlineStr">
        <is>
          <t>Reytek Equipment</t>
        </is>
      </c>
      <c r="C1083" t="inlineStr">
        <is>
          <t>T</t>
        </is>
      </c>
      <c r="E1083" t="inlineStr">
        <is>
          <t>https://www.thomassci.com/browse-by/suppliers/reytek-equipment</t>
        </is>
      </c>
      <c r="F1083" t="inlineStr"/>
      <c r="J1083" t="inlineStr"/>
      <c r="Y1083" t="inlineStr">
        <is>
          <t>unknown</t>
        </is>
      </c>
      <c r="Z1083" t="inlineStr"/>
      <c r="AA1083" t="inlineStr"/>
      <c r="AB1083" t="inlineStr"/>
      <c r="AC1083" t="inlineStr"/>
      <c r="AD1083" t="inlineStr">
        <is>
          <t>לא נמצא בסריקת המפיצים</t>
        </is>
      </c>
      <c r="AE1083" t="inlineStr">
        <is>
          <t>סריקת אתרי מפיצים</t>
        </is>
      </c>
      <c r="AG1083" t="inlineStr"/>
      <c r="AH1083" t="inlineStr"/>
      <c r="AJ1083" t="inlineStr"/>
      <c r="AP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Y1084" t="inlineStr">
        <is>
          <t>unknown</t>
        </is>
      </c>
      <c r="Z1084" t="inlineStr"/>
      <c r="AA1084" t="inlineStr"/>
      <c r="AB1084" t="inlineStr"/>
      <c r="AC1084" t="inlineStr"/>
      <c r="AD1084" t="inlineStr">
        <is>
          <t>לא נמצא בחיפוש ראשוני</t>
        </is>
      </c>
      <c r="AE1084" t="inlineStr">
        <is>
          <t>חיפוש חלקי</t>
        </is>
      </c>
      <c r="AG1084" t="inlineStr"/>
      <c r="AH1084" t="inlineStr"/>
      <c r="AI1084" t="inlineStr">
        <is>
          <t>Ricca's own distributor page (riccachemical.com/distributors) lists US firms only; Israeli chemical distributors (Lidorr, Orokia) appeared with no link to Ricca.</t>
        </is>
      </c>
      <c r="AJ1084" t="inlineStr">
        <is>
          <t>888-467-4222</t>
        </is>
      </c>
      <c r="AK1084" t="inlineStr">
        <is>
          <t>info@riccachemical.com</t>
        </is>
      </c>
      <c r="AM1084" t="inlineStr">
        <is>
          <t>https://riccachemical.com/contact-us</t>
        </is>
      </c>
      <c r="AN1084" t="inlineStr">
        <is>
          <t>https://riccachemical.com/contact-us</t>
        </is>
      </c>
      <c r="AP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Y1085" t="inlineStr">
        <is>
          <t>unknown</t>
        </is>
      </c>
      <c r="Z1085" t="inlineStr"/>
      <c r="AA1085" t="inlineStr"/>
      <c r="AB1085" t="inlineStr"/>
      <c r="AC1085" t="inlineStr"/>
      <c r="AD1085" t="inlineStr">
        <is>
          <t>לא נמצא בסריקת המפיצים</t>
        </is>
      </c>
      <c r="AE1085" t="inlineStr">
        <is>
          <t>סריקת אתרי מפיצים</t>
        </is>
      </c>
      <c r="AG1085" t="inlineStr"/>
      <c r="AH1085" t="inlineStr"/>
      <c r="AJ1085" t="inlineStr"/>
      <c r="AP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clearbit_verified</t>
        </is>
      </c>
      <c r="J1086" t="inlineStr"/>
      <c r="Y1086" t="inlineStr">
        <is>
          <t>unknown</t>
        </is>
      </c>
      <c r="Z1086" t="inlineStr"/>
      <c r="AA1086" t="inlineStr"/>
      <c r="AB1086" t="inlineStr"/>
      <c r="AC1086" t="inlineStr"/>
      <c r="AD1086" t="inlineStr">
        <is>
          <t>לא נמצא בסריקת המפיצים</t>
        </is>
      </c>
      <c r="AE1086" t="inlineStr">
        <is>
          <t>סריקת אתרי מפיצים</t>
        </is>
      </c>
      <c r="AG1086" t="inlineStr"/>
      <c r="AH1086" t="inlineStr"/>
      <c r="AJ1086" t="inlineStr"/>
      <c r="AM1086" t="inlineStr">
        <is>
          <t>https://www.ridgid.com/us/en/accessibility</t>
        </is>
      </c>
      <c r="AN1086" t="inlineStr">
        <is>
          <t>https://www.ridgid.com/us/en/accessibility</t>
        </is>
      </c>
      <c r="AP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Y1087" t="inlineStr">
        <is>
          <t>unknown</t>
        </is>
      </c>
      <c r="Z1087" t="inlineStr"/>
      <c r="AA1087" t="inlineStr"/>
      <c r="AB1087" t="inlineStr"/>
      <c r="AC1087" t="inlineStr"/>
      <c r="AD1087" t="inlineStr">
        <is>
          <t>לא נמצא בסריקת המפיצים</t>
        </is>
      </c>
      <c r="AE1087" t="inlineStr">
        <is>
          <t>סריקת אתרי מפיצים</t>
        </is>
      </c>
      <c r="AG1087" t="inlineStr"/>
      <c r="AH1087" t="inlineStr"/>
      <c r="AJ1087" t="inlineStr"/>
      <c r="AP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Y1088" t="inlineStr">
        <is>
          <t>unknown</t>
        </is>
      </c>
      <c r="Z1088" t="inlineStr"/>
      <c r="AA1088" t="inlineStr"/>
      <c r="AB1088" t="inlineStr"/>
      <c r="AC1088" t="inlineStr"/>
      <c r="AD1088" t="inlineStr">
        <is>
          <t>לא נמצא בסריקת המפיצים</t>
        </is>
      </c>
      <c r="AE1088" t="inlineStr">
        <is>
          <t>סריקת אתרי מפיצים</t>
        </is>
      </c>
      <c r="AG1088" t="inlineStr"/>
      <c r="AH1088" t="inlineStr"/>
      <c r="AJ1088" t="inlineStr"/>
      <c r="AP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P1089" t="n">
        <v>103249</v>
      </c>
      <c r="Q1089" t="n">
        <v>2024</v>
      </c>
      <c r="R1089" t="inlineStr">
        <is>
          <t>parent</t>
        </is>
      </c>
      <c r="S1089" t="inlineStr">
        <is>
          <t>prior</t>
        </is>
      </c>
      <c r="T1089" t="n">
        <v>16205</v>
      </c>
      <c r="U1089" t="inlineStr">
        <is>
          <t>CHF 13.85 billion</t>
        </is>
      </c>
      <c r="V1089" t="inlineStr">
        <is>
          <t>FY2025</t>
        </is>
      </c>
      <c r="W1089" t="inlineStr">
        <is>
          <t>segment</t>
        </is>
      </c>
      <c r="X1089" t="inlineStr">
        <is>
          <t>prior</t>
        </is>
      </c>
      <c r="Y1089" t="inlineStr">
        <is>
          <t>reported</t>
        </is>
      </c>
      <c r="Z1089" t="inlineStr">
        <is>
          <t>cobas pro integrated solutions (c 503 / e 801)</t>
        </is>
      </c>
      <c r="AA1089" t="inlineStr">
        <is>
          <t>cobas 6800 / 8800 and cobas 5800 Systems</t>
        </is>
      </c>
      <c r="AB1089" t="inlineStr">
        <is>
          <t>LightCycler 480 / LightCycler PRO</t>
        </is>
      </c>
      <c r="AC1089" t="inlineStr">
        <is>
          <t>prior</t>
        </is>
      </c>
      <c r="AD1089" t="inlineStr">
        <is>
          <t>דרך חברת-האם בישראל</t>
        </is>
      </c>
      <c r="AE1089" t="inlineStr">
        <is>
          <t>אומת</t>
        </is>
      </c>
      <c r="AF1089" t="n">
        <v>2026</v>
      </c>
      <c r="AG1089" t="inlineStr">
        <is>
          <t>Roche Pharmaceuticals (Israel) Ltd. - Diagnostics division ("Roche Diagnostics Israel"); Gamidor Diagnostics; Dyn Diagnostics</t>
        </is>
      </c>
      <c r="AH1089" t="inlineStr">
        <is>
          <t>Roche Pharmaceuticals (Israel) Ltd. - Diagnostics division ("Roche Diagnostics Israel"): +972-9-9737777; Gamidor Diagnostics: +972-3-927-7277 info@gamidor.co.il; Dyn Diagnostics:</t>
        </is>
      </c>
      <c r="AI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89" t="inlineStr">
        <is>
          <t>+972 9 973 7777</t>
        </is>
      </c>
      <c r="AL1089" t="inlineStr">
        <is>
          <t>6 Hacharash Street, Hod Hasharon 4524079, Israel</t>
        </is>
      </c>
      <c r="AM1089" t="inlineStr">
        <is>
          <t>https://diagnostics.roche.com/me/en/contact-forms/contact-us-support.html</t>
        </is>
      </c>
      <c r="AN1089" t="inlineStr">
        <is>
          <t>https://ichgcp.net/pharma-list/office/84-roche</t>
        </is>
      </c>
      <c r="AP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P1090" t="n">
        <v>103249</v>
      </c>
      <c r="Q1090" t="n">
        <v>2024</v>
      </c>
      <c r="R1090" t="inlineStr">
        <is>
          <t>parent</t>
        </is>
      </c>
      <c r="S1090" t="inlineStr">
        <is>
          <t>prior</t>
        </is>
      </c>
      <c r="T1090" t="n">
        <v>16205</v>
      </c>
      <c r="U1090" t="inlineStr">
        <is>
          <t>CHF 13.85 billion</t>
        </is>
      </c>
      <c r="V1090" t="inlineStr">
        <is>
          <t>FY2025</t>
        </is>
      </c>
      <c r="W1090" t="inlineStr">
        <is>
          <t>segment</t>
        </is>
      </c>
      <c r="X1090" t="inlineStr">
        <is>
          <t>prior</t>
        </is>
      </c>
      <c r="Y1090" t="inlineStr">
        <is>
          <t>reported</t>
        </is>
      </c>
      <c r="Z1090" t="inlineStr">
        <is>
          <t>cobas pro integrated solutions (c 503 / e 801)</t>
        </is>
      </c>
      <c r="AA1090" t="inlineStr">
        <is>
          <t>cobas 6800 / 8800 and cobas 5800 Systems</t>
        </is>
      </c>
      <c r="AB1090" t="inlineStr">
        <is>
          <t>LightCycler 480 / LightCycler PRO</t>
        </is>
      </c>
      <c r="AC1090" t="inlineStr">
        <is>
          <t>prior</t>
        </is>
      </c>
      <c r="AD1090" t="inlineStr">
        <is>
          <t>דרך חברת-האם בישראל</t>
        </is>
      </c>
      <c r="AE1090" t="inlineStr">
        <is>
          <t>אומת</t>
        </is>
      </c>
      <c r="AF1090" t="n">
        <v>2026</v>
      </c>
      <c r="AG1090" t="inlineStr">
        <is>
          <t>Roche Pharmaceuticals (Israel) Ltd. - Diagnostics division ("Roche Diagnostics Israel"); Gamidor Diagnostics; Dyn Diagnostics</t>
        </is>
      </c>
      <c r="AH1090" t="inlineStr">
        <is>
          <t>Roche Pharmaceuticals (Israel) Ltd. - Diagnostics division ("Roche Diagnostics Israel"): +972-9-9737777; Gamidor Diagnostics: +972-3-927-7277 info@gamidor.co.il; Dyn Diagnostics:</t>
        </is>
      </c>
      <c r="AI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J1090" t="inlineStr">
        <is>
          <t>+972 9 973 7777</t>
        </is>
      </c>
      <c r="AL1090" t="inlineStr">
        <is>
          <t>6 Hacharash Street, Hod Hasharon 4524079, Israel</t>
        </is>
      </c>
      <c r="AM1090" t="inlineStr">
        <is>
          <t>https://diagnostics.roche.com/me/en/contact-forms/contact-us-support.html</t>
        </is>
      </c>
      <c r="AN1090" t="inlineStr">
        <is>
          <t>https://ichgcp.net/pharma-list/office/84-roche</t>
        </is>
      </c>
      <c r="AP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Y1091" t="inlineStr">
        <is>
          <t>unknown</t>
        </is>
      </c>
      <c r="Z1091" t="inlineStr"/>
      <c r="AA1091" t="inlineStr"/>
      <c r="AB1091" t="inlineStr"/>
      <c r="AC1091" t="inlineStr"/>
      <c r="AD1091" t="inlineStr">
        <is>
          <t>לא נמצא בסריקת המפיצים</t>
        </is>
      </c>
      <c r="AE1091" t="inlineStr">
        <is>
          <t>סריקת אתרי מפיצים</t>
        </is>
      </c>
      <c r="AG1091" t="inlineStr"/>
      <c r="AH1091" t="inlineStr"/>
      <c r="AJ1091" t="inlineStr">
        <is>
          <t>+886-7-2273358</t>
        </is>
      </c>
      <c r="AM1091" t="inlineStr">
        <is>
          <t>https://www.rocker.com.tw/contact-us/</t>
        </is>
      </c>
      <c r="AN1091" t="inlineStr">
        <is>
          <t>https://www.rocker.com.tw/contact-us/</t>
        </is>
      </c>
      <c r="AP1091" t="inlineStr">
        <is>
          <t>https://www.dutscher.com/search?initialFilters=brand:Rocker | https://www.rocker.com.tw/contact-us/</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Y1092" t="inlineStr">
        <is>
          <t>unknown</t>
        </is>
      </c>
      <c r="Z1092" t="inlineStr"/>
      <c r="AA1092" t="inlineStr"/>
      <c r="AB1092" t="inlineStr"/>
      <c r="AC1092" t="inlineStr"/>
      <c r="AD1092" t="inlineStr">
        <is>
          <t>לא ברור</t>
        </is>
      </c>
      <c r="AE1092" t="inlineStr">
        <is>
          <t>חיפוש חלקי</t>
        </is>
      </c>
      <c r="AG1092" t="inlineStr"/>
      <c r="AH1092" t="inlineStr"/>
      <c r="AI1092" t="inlineStr">
        <is>
          <t>Rockland's own distributor page (rockland.com/distributors) exists but the snippet cut off after Belgium; third-party profiles list distributors in US, Australia, Austria, Belgium, Brazil, Canada, Chile, Denmark 'among others' without naming Israel.</t>
        </is>
      </c>
      <c r="AJ1092" t="inlineStr"/>
      <c r="AP1092" t="inlineStr">
        <is>
          <t>https://www.quartzy.com/suppliers | https://www.thomassci.com/browse-by/suppliers/rockland-immunochemicals-inc</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Y1093" t="inlineStr">
        <is>
          <t>unknown</t>
        </is>
      </c>
      <c r="Z1093" t="inlineStr"/>
      <c r="AA1093" t="inlineStr"/>
      <c r="AB1093" t="inlineStr"/>
      <c r="AC1093" t="inlineStr"/>
      <c r="AD1093" t="inlineStr">
        <is>
          <t>לא נמצא בסריקת המפיצים</t>
        </is>
      </c>
      <c r="AE1093" t="inlineStr">
        <is>
          <t>סריקת אתרי מפיצים</t>
        </is>
      </c>
      <c r="AG1093" t="inlineStr"/>
      <c r="AH1093" t="inlineStr"/>
      <c r="AJ1093" t="inlineStr">
        <is>
          <t>303-762-0800</t>
        </is>
      </c>
      <c r="AK1093" t="inlineStr">
        <is>
          <t>info@rmreagents.com</t>
        </is>
      </c>
      <c r="AM1093" t="inlineStr">
        <is>
          <t>https://rmreagents.com/contact-us/</t>
        </is>
      </c>
      <c r="AN1093" t="inlineStr">
        <is>
          <t>https://rmreagents.com/contact-us/</t>
        </is>
      </c>
      <c r="AP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O1094" t="inlineStr">
        <is>
          <t>manufacturer and seller of research reagents for biotechnology</t>
        </is>
      </c>
      <c r="Y1094" t="inlineStr">
        <is>
          <t>unknown</t>
        </is>
      </c>
      <c r="Z1094" t="inlineStr"/>
      <c r="AA1094" t="inlineStr"/>
      <c r="AB1094" t="inlineStr"/>
      <c r="AC1094" t="inlineStr"/>
      <c r="AD1094" t="inlineStr">
        <is>
          <t>לא נמצא בסריקת המפיצים</t>
        </is>
      </c>
      <c r="AE1094" t="inlineStr">
        <is>
          <t>סריקת אתרי מפיצים</t>
        </is>
      </c>
      <c r="AG1094" t="inlineStr"/>
      <c r="AH1094" t="inlineStr"/>
      <c r="AJ1094" t="inlineStr"/>
      <c r="AL1094" t="inlineStr">
        <is>
          <t>Durham</t>
        </is>
      </c>
      <c r="AM1094" t="inlineStr">
        <is>
          <t>https://rokebio.com/contact/</t>
        </is>
      </c>
      <c r="AN1094" t="inlineStr">
        <is>
          <t>https://rokebio.com/contact/</t>
        </is>
      </c>
      <c r="AO1094" t="inlineStr">
        <is>
          <t>Q117450457</t>
        </is>
      </c>
      <c r="AP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is>
          <t>צרפת</t>
        </is>
      </c>
      <c r="K1095" t="inlineStr">
        <is>
          <t>La Roche-sur-Foron</t>
        </is>
      </c>
      <c r="M1095" t="inlineStr">
        <is>
          <t>2012</t>
        </is>
      </c>
      <c r="N1095" t="inlineStr">
        <is>
          <t>manufacturing of scientific and technical instrumentation</t>
        </is>
      </c>
      <c r="Y1095" t="inlineStr">
        <is>
          <t>unknown</t>
        </is>
      </c>
      <c r="Z1095" t="inlineStr"/>
      <c r="AA1095" t="inlineStr"/>
      <c r="AB1095" t="inlineStr"/>
      <c r="AC1095" t="inlineStr"/>
      <c r="AD1095" t="inlineStr">
        <is>
          <t>לא נמצא בסריקת המפיצים</t>
        </is>
      </c>
      <c r="AE1095" t="inlineStr">
        <is>
          <t>סריקת אתרי מפיצים</t>
        </is>
      </c>
      <c r="AG1095" t="inlineStr"/>
      <c r="AH1095" t="inlineStr"/>
      <c r="AJ1095" t="inlineStr">
        <is>
          <t>+16314273898</t>
        </is>
      </c>
      <c r="AK1095" t="inlineStr">
        <is>
          <t>sales@rotronic-usa.com</t>
        </is>
      </c>
      <c r="AL1095" t="inlineStr">
        <is>
          <t>La Roche-sur-Foron</t>
        </is>
      </c>
      <c r="AN1095" t="inlineStr">
        <is>
          <t>https://www.rotronic.com/</t>
        </is>
      </c>
      <c r="AO1095" t="inlineStr">
        <is>
          <t>Q131636473</t>
        </is>
      </c>
      <c r="AP1095" t="inlineStr">
        <is>
          <t>https://www.thomassci.com/browse-by/suppliers/rotronics | https://www.wikidata.org/wiki/Q131636473 | https://www.rotronic.com/</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Y1096" t="inlineStr">
        <is>
          <t>unknown</t>
        </is>
      </c>
      <c r="Z1096" t="inlineStr"/>
      <c r="AA1096" t="inlineStr"/>
      <c r="AB1096" t="inlineStr"/>
      <c r="AC1096" t="inlineStr"/>
      <c r="AD1096" t="inlineStr">
        <is>
          <t>לא נמצא בסריקת המפיצים</t>
        </is>
      </c>
      <c r="AE1096" t="inlineStr">
        <is>
          <t>סריקת אתרי מפיצים</t>
        </is>
      </c>
      <c r="AG1096" t="inlineStr"/>
      <c r="AH1096" t="inlineStr"/>
      <c r="AJ1096" t="inlineStr"/>
      <c r="AP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Y1097" t="inlineStr">
        <is>
          <t>unknown</t>
        </is>
      </c>
      <c r="Z1097" t="inlineStr"/>
      <c r="AA1097" t="inlineStr"/>
      <c r="AB1097" t="inlineStr"/>
      <c r="AC1097" t="inlineStr"/>
      <c r="AD1097" t="inlineStr">
        <is>
          <t>לא נמצא בסריקת המפיצים</t>
        </is>
      </c>
      <c r="AE1097" t="inlineStr">
        <is>
          <t>סריקת אתרי מפיצים</t>
        </is>
      </c>
      <c r="AG1097" t="inlineStr"/>
      <c r="AH1097" t="inlineStr"/>
      <c r="AJ1097" t="inlineStr"/>
      <c r="AP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Y1098" t="inlineStr">
        <is>
          <t>unknown</t>
        </is>
      </c>
      <c r="Z1098" t="inlineStr"/>
      <c r="AA1098" t="inlineStr"/>
      <c r="AB1098" t="inlineStr"/>
      <c r="AC1098" t="inlineStr"/>
      <c r="AD1098" t="inlineStr">
        <is>
          <t>לא נמצא בסריקת המפיצים</t>
        </is>
      </c>
      <c r="AE1098" t="inlineStr">
        <is>
          <t>סריקת אתרי מפיצים</t>
        </is>
      </c>
      <c r="AG1098" t="inlineStr"/>
      <c r="AH1098" t="inlineStr"/>
      <c r="AJ1098" t="inlineStr"/>
      <c r="AP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Y1099" t="inlineStr">
        <is>
          <t>unknown</t>
        </is>
      </c>
      <c r="Z1099" t="inlineStr"/>
      <c r="AA1099" t="inlineStr"/>
      <c r="AB1099" t="inlineStr"/>
      <c r="AC1099" t="inlineStr"/>
      <c r="AD1099" t="inlineStr">
        <is>
          <t>לא נמצא בסריקת המפיצים</t>
        </is>
      </c>
      <c r="AE1099" t="inlineStr">
        <is>
          <t>סריקת אתרי מפיצים</t>
        </is>
      </c>
      <c r="AG1099" t="inlineStr"/>
      <c r="AH1099" t="inlineStr"/>
      <c r="AJ1099" t="inlineStr">
        <is>
          <t>8886985160</t>
        </is>
      </c>
      <c r="AK1099" t="inlineStr">
        <is>
          <t>hello@rxdestroyer.com.au</t>
        </is>
      </c>
      <c r="AM1099" t="inlineStr">
        <is>
          <t>https://www.rxdestroyer.com/contact-us/</t>
        </is>
      </c>
      <c r="AN1099" t="inlineStr">
        <is>
          <t>https://www.rxdestroyer.com/contact-us/</t>
        </is>
      </c>
      <c r="AP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Y1100" t="inlineStr">
        <is>
          <t>unknown</t>
        </is>
      </c>
      <c r="Z1100" t="inlineStr"/>
      <c r="AA1100" t="inlineStr"/>
      <c r="AB1100" t="inlineStr"/>
      <c r="AC1100" t="inlineStr"/>
      <c r="AD1100" t="inlineStr">
        <is>
          <t>לא נמצא בסריקת המפיצים</t>
        </is>
      </c>
      <c r="AE1100" t="inlineStr">
        <is>
          <t>סריקת אתרי מפיצים</t>
        </is>
      </c>
      <c r="AG1100" t="inlineStr"/>
      <c r="AH1100" t="inlineStr"/>
      <c r="AJ1100" t="inlineStr"/>
      <c r="AP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Y1101" t="inlineStr">
        <is>
          <t>unknown</t>
        </is>
      </c>
      <c r="Z1101" t="inlineStr"/>
      <c r="AA1101" t="inlineStr"/>
      <c r="AB1101" t="inlineStr"/>
      <c r="AC1101" t="inlineStr"/>
      <c r="AD1101" t="inlineStr">
        <is>
          <t>לא נמצא בסריקת המפיצים</t>
        </is>
      </c>
      <c r="AE1101" t="inlineStr">
        <is>
          <t>סריקת אתרי מפיצים</t>
        </is>
      </c>
      <c r="AG1101" t="inlineStr"/>
      <c r="AH1101" t="inlineStr"/>
      <c r="AJ1101" t="inlineStr"/>
      <c r="AP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Y1102" t="inlineStr">
        <is>
          <t>unknown</t>
        </is>
      </c>
      <c r="Z1102" t="inlineStr"/>
      <c r="AA1102" t="inlineStr"/>
      <c r="AB1102" t="inlineStr"/>
      <c r="AC1102" t="inlineStr"/>
      <c r="AD1102" t="inlineStr">
        <is>
          <t>לא נמצא בסריקת המפיצים</t>
        </is>
      </c>
      <c r="AE1102" t="inlineStr">
        <is>
          <t>סריקת אתרי מפיצים</t>
        </is>
      </c>
      <c r="AG1102" t="inlineStr"/>
      <c r="AH1102" t="inlineStr"/>
      <c r="AJ1102" t="inlineStr"/>
      <c r="AP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Y1103" t="inlineStr">
        <is>
          <t>unknown</t>
        </is>
      </c>
      <c r="Z1103" t="inlineStr"/>
      <c r="AA1103" t="inlineStr"/>
      <c r="AB1103" t="inlineStr"/>
      <c r="AC1103" t="inlineStr"/>
      <c r="AD1103" t="inlineStr">
        <is>
          <t>לא נמצא בסריקת המפיצים</t>
        </is>
      </c>
      <c r="AE1103" t="inlineStr">
        <is>
          <t>סריקת אתרי מפיצים</t>
        </is>
      </c>
      <c r="AG1103" t="inlineStr"/>
      <c r="AH1103" t="inlineStr"/>
      <c r="AJ1103" t="inlineStr"/>
      <c r="AP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Y1104" t="inlineStr">
        <is>
          <t>unknown</t>
        </is>
      </c>
      <c r="Z1104" t="inlineStr"/>
      <c r="AA1104" t="inlineStr"/>
      <c r="AB1104" t="inlineStr"/>
      <c r="AC1104" t="inlineStr"/>
      <c r="AD1104" t="inlineStr">
        <is>
          <t>לא נמצא בחיפוש ראשוני</t>
        </is>
      </c>
      <c r="AE1104" t="inlineStr">
        <is>
          <t>חיפוש חלקי</t>
        </is>
      </c>
      <c r="AG1104" t="inlineStr"/>
      <c r="AH1104" t="inlineStr"/>
      <c r="AI1104" t="inlineStr">
        <is>
          <t>Only The Safety Zone LLC (US) brand info; Israeli hits unrelated (an unnamed glove importer on chamber.org.il; Gamida Ltd listed as Shield Scientific's distributor).</t>
        </is>
      </c>
      <c r="AJ1104" t="inlineStr"/>
      <c r="AN1104" t="inlineStr">
        <is>
          <t>https://www.thesafetyzone.com/</t>
        </is>
      </c>
      <c r="AP1104" t="inlineStr">
        <is>
          <t>https://www.quartzy.com/suppliers | https://www.thomassci.com/browse-by/suppliers/safety-zone | https://www.thesafetyzone.com/</t>
        </is>
      </c>
    </row>
    <row r="1105">
      <c r="A1105" t="n">
        <v>1104</v>
      </c>
      <c r="B1105" t="inlineStr">
        <is>
          <t>Sagis PLLC</t>
        </is>
      </c>
      <c r="C1105" t="inlineStr">
        <is>
          <t>T</t>
        </is>
      </c>
      <c r="E1105" t="inlineStr">
        <is>
          <t>https://www.thomassci.com/browse-by/suppliers/sagis-pllc</t>
        </is>
      </c>
      <c r="F1105" t="inlineStr"/>
      <c r="J1105" t="inlineStr"/>
      <c r="Y1105" t="inlineStr">
        <is>
          <t>unknown</t>
        </is>
      </c>
      <c r="Z1105" t="inlineStr"/>
      <c r="AA1105" t="inlineStr"/>
      <c r="AB1105" t="inlineStr"/>
      <c r="AC1105" t="inlineStr"/>
      <c r="AD1105" t="inlineStr">
        <is>
          <t>לא נמצא בסריקת המפיצים</t>
        </is>
      </c>
      <c r="AE1105" t="inlineStr">
        <is>
          <t>סריקת אתרי מפיצים</t>
        </is>
      </c>
      <c r="AG1105" t="inlineStr"/>
      <c r="AH1105" t="inlineStr"/>
      <c r="AJ1105" t="inlineStr"/>
      <c r="AP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Y1106" t="inlineStr">
        <is>
          <t>unknown</t>
        </is>
      </c>
      <c r="Z1106" t="inlineStr"/>
      <c r="AA1106" t="inlineStr"/>
      <c r="AB1106" t="inlineStr"/>
      <c r="AC1106" t="inlineStr"/>
      <c r="AD1106" t="inlineStr">
        <is>
          <t>לא נמצא בחיפוש ראשוני</t>
        </is>
      </c>
      <c r="AE1106" t="inlineStr">
        <is>
          <t>חיפוש חלקי</t>
        </is>
      </c>
      <c r="AG1106" t="inlineStr"/>
      <c r="AH1106" t="inlineStr"/>
      <c r="AI1106" t="inlineStr">
        <is>
          <t>Only Saint-Gobain Performance Plastics tubing product pages (ThomasSci, Fisher, Labfriend Malaysia, Saint-Gobain NA/China sites); nothing for Israel.</t>
        </is>
      </c>
      <c r="AJ1106" t="inlineStr"/>
      <c r="AP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Y1107" t="inlineStr">
        <is>
          <t>unknown</t>
        </is>
      </c>
      <c r="Z1107" t="inlineStr"/>
      <c r="AA1107" t="inlineStr"/>
      <c r="AB1107" t="inlineStr"/>
      <c r="AC1107" t="inlineStr"/>
      <c r="AD1107" t="inlineStr">
        <is>
          <t>לא נמצא בסריקת המפיצים</t>
        </is>
      </c>
      <c r="AE1107" t="inlineStr">
        <is>
          <t>סריקת אתרי מפיצים</t>
        </is>
      </c>
      <c r="AG1107" t="inlineStr"/>
      <c r="AH1107" t="inlineStr"/>
      <c r="AJ1107" t="inlineStr"/>
      <c r="AP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Y1108" t="inlineStr">
        <is>
          <t>unknown</t>
        </is>
      </c>
      <c r="Z1108" t="inlineStr"/>
      <c r="AA1108" t="inlineStr"/>
      <c r="AB1108" t="inlineStr"/>
      <c r="AC1108" t="inlineStr"/>
      <c r="AD1108" t="inlineStr">
        <is>
          <t>לא נמצא בסריקת המפיצים</t>
        </is>
      </c>
      <c r="AE1108" t="inlineStr">
        <is>
          <t>סריקת אתרי מפיצים</t>
        </is>
      </c>
      <c r="AG1108" t="inlineStr"/>
      <c r="AH1108" t="inlineStr"/>
      <c r="AJ1108" t="inlineStr"/>
      <c r="AP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clearbit_verified</t>
        </is>
      </c>
      <c r="J1109" t="inlineStr"/>
      <c r="Y1109" t="inlineStr">
        <is>
          <t>unknown</t>
        </is>
      </c>
      <c r="Z1109" t="inlineStr"/>
      <c r="AA1109" t="inlineStr"/>
      <c r="AB1109" t="inlineStr"/>
      <c r="AC1109" t="inlineStr"/>
      <c r="AD1109" t="inlineStr">
        <is>
          <t>לא נמצא בסריקת המפיצים</t>
        </is>
      </c>
      <c r="AE1109" t="inlineStr">
        <is>
          <t>סריקת אתרי מפיצים</t>
        </is>
      </c>
      <c r="AG1109" t="inlineStr"/>
      <c r="AH1109" t="inlineStr"/>
      <c r="AJ1109" t="inlineStr">
        <is>
          <t>8007902258</t>
        </is>
      </c>
      <c r="AK1109" t="inlineStr">
        <is>
          <t>info@sungwools.co.kr</t>
        </is>
      </c>
      <c r="AM1109" t="inlineStr">
        <is>
          <t>https://salimetrics.com/contact/</t>
        </is>
      </c>
      <c r="AN1109" t="inlineStr">
        <is>
          <t>https://salimetrics.com/contact/</t>
        </is>
      </c>
      <c r="AP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Y1110" t="inlineStr">
        <is>
          <t>unknown</t>
        </is>
      </c>
      <c r="Z1110" t="inlineStr"/>
      <c r="AA1110" t="inlineStr"/>
      <c r="AB1110" t="inlineStr"/>
      <c r="AC1110" t="inlineStr"/>
      <c r="AD1110" t="inlineStr">
        <is>
          <t>לא נמצא בחיפוש ראשוני</t>
        </is>
      </c>
      <c r="AE1110" t="inlineStr">
        <is>
          <t>חיפוש חלקי</t>
        </is>
      </c>
      <c r="AG1110" t="inlineStr"/>
      <c r="AH1110" t="inlineStr"/>
      <c r="AI1110" t="inlineStr">
        <is>
          <t>Sampling Systems Ltd (Coleshill, Warwickshire) says it has distributors around the globe but names none; no Israel mention.</t>
        </is>
      </c>
      <c r="AJ1110" t="inlineStr">
        <is>
          <t>1-888-414-6448</t>
        </is>
      </c>
      <c r="AK1110" t="inlineStr">
        <is>
          <t>info@sampling.com</t>
        </is>
      </c>
      <c r="AM1110" t="inlineStr">
        <is>
          <t>https://sampling.com/index.php?route=information/contact</t>
        </is>
      </c>
      <c r="AN1110" t="inlineStr">
        <is>
          <t>https://sampling.com/index.php?route=information/contact</t>
        </is>
      </c>
      <c r="AP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Y1111" t="inlineStr">
        <is>
          <t>unknown</t>
        </is>
      </c>
      <c r="Z1111" t="inlineStr"/>
      <c r="AA1111" t="inlineStr"/>
      <c r="AB1111" t="inlineStr"/>
      <c r="AC1111" t="inlineStr"/>
      <c r="AD1111" t="inlineStr">
        <is>
          <t>לא נמצא בסריקת המפיצים</t>
        </is>
      </c>
      <c r="AE1111" t="inlineStr">
        <is>
          <t>סריקת אתרי מפיצים</t>
        </is>
      </c>
      <c r="AG1111" t="inlineStr"/>
      <c r="AH1111" t="inlineStr"/>
      <c r="AJ1111" t="inlineStr"/>
      <c r="AP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Y1112" t="inlineStr">
        <is>
          <t>unknown</t>
        </is>
      </c>
      <c r="Z1112" t="inlineStr"/>
      <c r="AA1112" t="inlineStr"/>
      <c r="AB1112" t="inlineStr"/>
      <c r="AC1112" t="inlineStr"/>
      <c r="AD1112" t="inlineStr">
        <is>
          <t>לא נמצא בחיפוש ראשוני</t>
        </is>
      </c>
      <c r="AE1112" t="inlineStr">
        <is>
          <t>חיפוש חלקי</t>
        </is>
      </c>
      <c r="AG1112" t="inlineStr"/>
      <c r="AH1112" t="inlineStr"/>
      <c r="AI1112" t="inlineStr">
        <is>
          <t>Only a 2023 EcoVadis press release for SaniSure (Camarillo, CA; single-use bioprocessing); Israeli hits (Dubek, Sano, Dansell, Plasson) are unrelated name matches.</t>
        </is>
      </c>
      <c r="AJ1112" t="inlineStr">
        <is>
          <t>+18007264835</t>
        </is>
      </c>
      <c r="AM1112" t="inlineStr">
        <is>
          <t>https://sanisure.com/contact/</t>
        </is>
      </c>
      <c r="AN1112" t="inlineStr">
        <is>
          <t>https://sanisure.com/contact/</t>
        </is>
      </c>
      <c r="AP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clearbit_verified</t>
        </is>
      </c>
      <c r="J1113" t="inlineStr"/>
      <c r="Y1113" t="inlineStr">
        <is>
          <t>unknown</t>
        </is>
      </c>
      <c r="Z1113" t="inlineStr"/>
      <c r="AA1113" t="inlineStr"/>
      <c r="AB1113" t="inlineStr"/>
      <c r="AC1113" t="inlineStr"/>
      <c r="AD1113" t="inlineStr">
        <is>
          <t>מפיץ/נציג בישראל</t>
        </is>
      </c>
      <c r="AE1113" t="inlineStr">
        <is>
          <t>חיפוש חלקי</t>
        </is>
      </c>
      <c r="AF1113" t="n">
        <v>2026</v>
      </c>
      <c r="AG1113" t="inlineStr">
        <is>
          <t>Enco Scientific Services Ltd. (Enco Diagnostics)</t>
        </is>
      </c>
      <c r="AH1113" t="inlineStr">
        <is>
          <t>Enco Scientific Services Ltd. (Enco Diagnostics):</t>
        </is>
      </c>
      <c r="AJ1113" t="inlineStr">
        <is>
          <t>1-800-457-3801</t>
        </is>
      </c>
      <c r="AK1113" t="inlineStr">
        <is>
          <t>customerservice@scbt.com</t>
        </is>
      </c>
      <c r="AM1113" t="inlineStr">
        <is>
          <t>https://www.scbt.com/customer-care/contact-us</t>
        </is>
      </c>
      <c r="AN1113" t="inlineStr">
        <is>
          <t>https://www.scbt.com/customer-care/contact-us</t>
        </is>
      </c>
      <c r="AP1113" t="inlineStr">
        <is>
          <t>https://www.quartzy.com/suppliers | https://www.scbt.com/customer-care/contact-us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P1114" t="n">
        <v>3000</v>
      </c>
      <c r="Q1114" t="n">
        <v>2025</v>
      </c>
      <c r="R1114" t="inlineStr">
        <is>
          <t>company</t>
        </is>
      </c>
      <c r="S1114" t="inlineStr">
        <is>
          <t>prior</t>
        </is>
      </c>
      <c r="T1114" t="n">
        <v>815</v>
      </c>
      <c r="U1114" t="inlineStr">
        <is>
          <t>USD 814.7 million</t>
        </is>
      </c>
      <c r="V1114" t="inlineStr">
        <is>
          <t>undated (database estimate)</t>
        </is>
      </c>
      <c r="W1114" t="inlineStr">
        <is>
          <t>estimate</t>
        </is>
      </c>
      <c r="X1114" t="inlineStr">
        <is>
          <t>prior</t>
        </is>
      </c>
      <c r="Y1114" t="inlineStr">
        <is>
          <t>mixed</t>
        </is>
      </c>
      <c r="Z1114" t="inlineStr">
        <is>
          <t>S-Monovette</t>
        </is>
      </c>
      <c r="AA1114" t="inlineStr">
        <is>
          <t>Microvette &amp; Salivette</t>
        </is>
      </c>
      <c r="AB1114" t="inlineStr">
        <is>
          <t>Lab consumables (tubes, tips, cell culture)</t>
        </is>
      </c>
      <c r="AC1114" t="inlineStr">
        <is>
          <t>prior</t>
        </is>
      </c>
      <c r="AD1114" t="inlineStr">
        <is>
          <t>מפיץ/נציג בישראל</t>
        </is>
      </c>
      <c r="AE1114" t="inlineStr">
        <is>
          <t>אומת</t>
        </is>
      </c>
      <c r="AF1114" t="n">
        <v>2026</v>
      </c>
      <c r="AG1114" t="inlineStr">
        <is>
          <t>Tamar Laboratory Supplies Ltd.</t>
        </is>
      </c>
      <c r="AH1114" t="inlineStr">
        <is>
          <t>Tamar Laboratory Supplies Ltd.: +972 2-533-6070 (also 02-579-9777)</t>
        </is>
      </c>
      <c r="AI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J1114" t="inlineStr">
        <is>
          <t>+49 2293 305-0</t>
        </is>
      </c>
      <c r="AK1114" t="inlineStr">
        <is>
          <t>info@sarstedt.com</t>
        </is>
      </c>
      <c r="AL1114" t="inlineStr">
        <is>
          <t>Sarstedtstraße 1, 51588 Nümbrecht, Germany</t>
        </is>
      </c>
      <c r="AM1114" t="inlineStr">
        <is>
          <t>https://sarstedt.com/en/contact</t>
        </is>
      </c>
      <c r="AN1114" t="inlineStr">
        <is>
          <t>https://sarstedt.com/en/contact</t>
        </is>
      </c>
      <c r="AP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P1115" t="n">
        <v>14042</v>
      </c>
      <c r="Q1115" t="n">
        <v>2025</v>
      </c>
      <c r="R1115" t="inlineStr">
        <is>
          <t>company</t>
        </is>
      </c>
      <c r="S1115" t="inlineStr">
        <is>
          <t>prior</t>
        </is>
      </c>
      <c r="T1115" t="n">
        <v>3892</v>
      </c>
      <c r="U1115" t="inlineStr">
        <is>
          <t>EUR 3,538 million</t>
        </is>
      </c>
      <c r="V1115" t="inlineStr">
        <is>
          <t>FY2025</t>
        </is>
      </c>
      <c r="W1115" t="inlineStr">
        <is>
          <t>company</t>
        </is>
      </c>
      <c r="X1115" t="inlineStr">
        <is>
          <t>prior</t>
        </is>
      </c>
      <c r="Y1115" t="inlineStr">
        <is>
          <t>reported</t>
        </is>
      </c>
      <c r="Z1115" t="inlineStr">
        <is>
          <t>Octet BLI systems</t>
        </is>
      </c>
      <c r="AA1115" t="inlineStr">
        <is>
          <t>Biostat STR</t>
        </is>
      </c>
      <c r="AB1115" t="inlineStr">
        <is>
          <t>Cubis II balances</t>
        </is>
      </c>
      <c r="AC1115" t="inlineStr">
        <is>
          <t>prior</t>
        </is>
      </c>
      <c r="AD1115" t="inlineStr">
        <is>
          <t>חברה-בת בישראל</t>
        </is>
      </c>
      <c r="AE1115" t="inlineStr">
        <is>
          <t>אומת</t>
        </is>
      </c>
      <c r="AF1115" t="n">
        <v>2026</v>
      </c>
      <c r="AG1115" t="inlineStr">
        <is>
          <t>Sartorius Israel Ltd.; Labotal Scientific Equipment</t>
        </is>
      </c>
      <c r="AH1115" t="inlineStr">
        <is>
          <t>Sartorius Israel Ltd.: +972 4-996-0595; Labotal Scientific Equipment: +972 2-579-9222 Sales@labotal.co.il</t>
        </is>
      </c>
      <c r="AI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J1115" t="inlineStr">
        <is>
          <t>+972 4 996 0595</t>
        </is>
      </c>
      <c r="AK1115" t="inlineStr">
        <is>
          <t>info@sartorius.com</t>
        </is>
      </c>
      <c r="AL1115" t="inlineStr">
        <is>
          <t>Kibbutz Beit Haemek 2511500, Israel</t>
        </is>
      </c>
      <c r="AM1115" t="inlineStr">
        <is>
          <t>https://www.sartorius.com/en/contact-us/local-contact</t>
        </is>
      </c>
      <c r="AN1115" t="inlineStr">
        <is>
          <t>https://pharmchoices.com/list-of-biotech-companies-in-israel-2/5/</t>
        </is>
      </c>
      <c r="AP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Y1116" t="inlineStr">
        <is>
          <t>unknown</t>
        </is>
      </c>
      <c r="Z1116" t="inlineStr"/>
      <c r="AA1116" t="inlineStr"/>
      <c r="AB1116" t="inlineStr"/>
      <c r="AC1116" t="inlineStr"/>
      <c r="AD1116" t="inlineStr">
        <is>
          <t>לא נמצא בסריקת המפיצים</t>
        </is>
      </c>
      <c r="AE1116" t="inlineStr">
        <is>
          <t>סריקת אתרי מפיצים</t>
        </is>
      </c>
      <c r="AG1116" t="inlineStr"/>
      <c r="AH1116" t="inlineStr"/>
      <c r="AJ1116" t="inlineStr"/>
      <c r="AP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Y1117" t="inlineStr">
        <is>
          <t>unknown</t>
        </is>
      </c>
      <c r="Z1117" t="inlineStr"/>
      <c r="AA1117" t="inlineStr"/>
      <c r="AB1117" t="inlineStr"/>
      <c r="AC1117" t="inlineStr"/>
      <c r="AD1117" t="inlineStr">
        <is>
          <t>לא נמצא בסריקת המפיצים</t>
        </is>
      </c>
      <c r="AE1117" t="inlineStr">
        <is>
          <t>סריקת אתרי מפיצים</t>
        </is>
      </c>
      <c r="AG1117" t="inlineStr"/>
      <c r="AH1117" t="inlineStr"/>
      <c r="AJ1117" t="inlineStr"/>
      <c r="AN1117" t="inlineStr">
        <is>
          <t>https://www.sassafety.com/</t>
        </is>
      </c>
      <c r="AP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Y1118" t="inlineStr">
        <is>
          <t>unknown</t>
        </is>
      </c>
      <c r="Z1118" t="inlineStr"/>
      <c r="AA1118" t="inlineStr"/>
      <c r="AB1118" t="inlineStr"/>
      <c r="AC1118" t="inlineStr"/>
      <c r="AD1118" t="inlineStr">
        <is>
          <t>לא נמצא בסריקת המפיצים</t>
        </is>
      </c>
      <c r="AE1118" t="inlineStr">
        <is>
          <t>סריקת אתרי מפיצים</t>
        </is>
      </c>
      <c r="AG1118" t="inlineStr"/>
      <c r="AH1118" t="inlineStr"/>
      <c r="AJ1118" t="inlineStr">
        <is>
          <t>+19529354100</t>
        </is>
      </c>
      <c r="AK1118" t="inlineStr">
        <is>
          <t>info@savillex.com</t>
        </is>
      </c>
      <c r="AM1118" t="inlineStr">
        <is>
          <t>https://www.savillex.com/en/content/contact</t>
        </is>
      </c>
      <c r="AN1118" t="inlineStr">
        <is>
          <t>https://www.savillex.com/en/content/contact</t>
        </is>
      </c>
      <c r="AP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Y1119" t="inlineStr">
        <is>
          <t>unknown</t>
        </is>
      </c>
      <c r="Z1119" t="inlineStr"/>
      <c r="AA1119" t="inlineStr"/>
      <c r="AB1119" t="inlineStr"/>
      <c r="AC1119" t="inlineStr"/>
      <c r="AD1119" t="inlineStr">
        <is>
          <t>לא נמצא בסריקת המפיצים</t>
        </is>
      </c>
      <c r="AE1119" t="inlineStr">
        <is>
          <t>סריקת אתרי מפיצים</t>
        </is>
      </c>
      <c r="AG1119" t="inlineStr"/>
      <c r="AH1119" t="inlineStr"/>
      <c r="AJ1119" t="inlineStr"/>
      <c r="AP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Y1120" t="inlineStr">
        <is>
          <t>unknown</t>
        </is>
      </c>
      <c r="Z1120" t="inlineStr"/>
      <c r="AA1120" t="inlineStr"/>
      <c r="AB1120" t="inlineStr"/>
      <c r="AC1120" t="inlineStr"/>
      <c r="AD1120" t="inlineStr">
        <is>
          <t>לא נמצא בסריקת המפיצים</t>
        </is>
      </c>
      <c r="AE1120" t="inlineStr">
        <is>
          <t>סריקת אתרי מפיצים</t>
        </is>
      </c>
      <c r="AG1120" t="inlineStr"/>
      <c r="AH1120" t="inlineStr"/>
      <c r="AJ1120" t="inlineStr"/>
      <c r="AP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Y1121" t="inlineStr">
        <is>
          <t>unknown</t>
        </is>
      </c>
      <c r="Z1121" t="inlineStr"/>
      <c r="AA1121" t="inlineStr"/>
      <c r="AB1121" t="inlineStr"/>
      <c r="AC1121" t="inlineStr"/>
      <c r="AD1121" t="inlineStr">
        <is>
          <t>לא נמצא בסריקת המפיצים</t>
        </is>
      </c>
      <c r="AE1121" t="inlineStr">
        <is>
          <t>סריקת אתרי מפיצים</t>
        </is>
      </c>
      <c r="AG1121" t="inlineStr"/>
      <c r="AH1121" t="inlineStr"/>
      <c r="AJ1121" t="inlineStr"/>
      <c r="AP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Y1122" t="inlineStr">
        <is>
          <t>unknown</t>
        </is>
      </c>
      <c r="Z1122" t="inlineStr"/>
      <c r="AA1122" t="inlineStr"/>
      <c r="AB1122" t="inlineStr"/>
      <c r="AC1122" t="inlineStr"/>
      <c r="AD1122" t="inlineStr">
        <is>
          <t>לא נמצא בסריקת המפיצים</t>
        </is>
      </c>
      <c r="AE1122" t="inlineStr">
        <is>
          <t>סריקת אתרי מפיצים</t>
        </is>
      </c>
      <c r="AG1122" t="inlineStr"/>
      <c r="AH1122" t="inlineStr"/>
      <c r="AJ1122" t="inlineStr"/>
      <c r="AP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Y1123" t="inlineStr">
        <is>
          <t>unknown</t>
        </is>
      </c>
      <c r="Z1123" t="inlineStr"/>
      <c r="AA1123" t="inlineStr"/>
      <c r="AB1123" t="inlineStr"/>
      <c r="AC1123" t="inlineStr"/>
      <c r="AD1123" t="inlineStr">
        <is>
          <t>לא נמצא בסריקת המפיצים</t>
        </is>
      </c>
      <c r="AE1123" t="inlineStr">
        <is>
          <t>סריקת אתרי מפיצים</t>
        </is>
      </c>
      <c r="AG1123" t="inlineStr"/>
      <c r="AH1123" t="inlineStr"/>
      <c r="AJ1123" t="inlineStr">
        <is>
          <t>+120(877)20602-8549</t>
        </is>
      </c>
      <c r="AK1123" t="inlineStr">
        <is>
          <t>sales@sciencellonline.com</t>
        </is>
      </c>
      <c r="AM1123" t="inlineStr">
        <is>
          <t>https://sciencellonline.com/en/contact-us/</t>
        </is>
      </c>
      <c r="AN1123" t="inlineStr">
        <is>
          <t>https://sciencellonline.com/en/contact-us/</t>
        </is>
      </c>
      <c r="AP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Y1124" t="inlineStr">
        <is>
          <t>unknown</t>
        </is>
      </c>
      <c r="Z1124" t="inlineStr"/>
      <c r="AA1124" t="inlineStr"/>
      <c r="AB1124" t="inlineStr"/>
      <c r="AC1124" t="inlineStr"/>
      <c r="AD1124" t="inlineStr">
        <is>
          <t>לא נמצא בסריקת המפיצים</t>
        </is>
      </c>
      <c r="AE1124" t="inlineStr">
        <is>
          <t>סריקת אתרי מפיצים</t>
        </is>
      </c>
      <c r="AG1124" t="inlineStr"/>
      <c r="AH1124" t="inlineStr"/>
      <c r="AJ1124" t="inlineStr"/>
      <c r="AP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Y1125" t="inlineStr">
        <is>
          <t>unknown</t>
        </is>
      </c>
      <c r="Z1125" t="inlineStr"/>
      <c r="AA1125" t="inlineStr"/>
      <c r="AB1125" t="inlineStr"/>
      <c r="AC1125" t="inlineStr"/>
      <c r="AD1125" t="inlineStr">
        <is>
          <t>לא נמצא בחיפוש ראשוני</t>
        </is>
      </c>
      <c r="AE1125" t="inlineStr">
        <is>
          <t>חיפוש חלקי</t>
        </is>
      </c>
      <c r="AG1125" t="inlineStr"/>
      <c r="AH1125" t="inlineStr"/>
      <c r="AI1125" t="inlineStr">
        <is>
          <t>D&amp;B profile says the company has distributors worldwide (over half of sales outside US); none named for Israel.</t>
        </is>
      </c>
      <c r="AJ1125" t="inlineStr">
        <is>
          <t>(631) 567-4700</t>
        </is>
      </c>
      <c r="AK1125" t="inlineStr">
        <is>
          <t>info@scientificindustries.com</t>
        </is>
      </c>
      <c r="AM1125" t="inlineStr">
        <is>
          <t>https://www.scientificindustries.com/pages/contact</t>
        </is>
      </c>
      <c r="AN1125" t="inlineStr">
        <is>
          <t>https://www.scientificindustries.com/pages/contact</t>
        </is>
      </c>
      <c r="AP1125" t="inlineStr">
        <is>
          <t>https://www.quartzy.com/suppliers | https://www.thomassci.com/browse-by/suppliers/scientific-industries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Y1126" t="inlineStr">
        <is>
          <t>unknown</t>
        </is>
      </c>
      <c r="Z1126" t="inlineStr"/>
      <c r="AA1126" t="inlineStr"/>
      <c r="AB1126" t="inlineStr"/>
      <c r="AC1126" t="inlineStr"/>
      <c r="AD1126" t="inlineStr">
        <is>
          <t>לא נמצא בסריקת המפיצים</t>
        </is>
      </c>
      <c r="AE1126" t="inlineStr">
        <is>
          <t>סריקת אתרי מפיצים</t>
        </is>
      </c>
      <c r="AG1126" t="inlineStr"/>
      <c r="AH1126" t="inlineStr"/>
      <c r="AJ1126" t="inlineStr">
        <is>
          <t>913-432-0322</t>
        </is>
      </c>
      <c r="AM1126" t="inlineStr">
        <is>
          <t>https://www.scientificplastics.com/contact/</t>
        </is>
      </c>
      <c r="AN1126" t="inlineStr">
        <is>
          <t>https://www.scientificplastics.com/contact/</t>
        </is>
      </c>
      <c r="AP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Y1127" t="inlineStr">
        <is>
          <t>unknown</t>
        </is>
      </c>
      <c r="Z1127" t="inlineStr"/>
      <c r="AA1127" t="inlineStr"/>
      <c r="AB1127" t="inlineStr"/>
      <c r="AC1127" t="inlineStr"/>
      <c r="AD1127" t="inlineStr">
        <is>
          <t>לא נמצא בחיפוש ראשוני</t>
        </is>
      </c>
      <c r="AE1127" t="inlineStr">
        <is>
          <t>חיפוש חלקי</t>
        </is>
      </c>
      <c r="AG1127" t="inlineStr"/>
      <c r="AH1127" t="inlineStr"/>
      <c r="AI1127" t="inlineStr">
        <is>
          <t>Scilogex's distributor page only invites contact to locate a distributor; agentek.co.il pages appeared in the results but no result states Agentek carries Scilogex.</t>
        </is>
      </c>
      <c r="AJ1127" t="inlineStr"/>
      <c r="AP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Y1128" t="inlineStr">
        <is>
          <t>unknown</t>
        </is>
      </c>
      <c r="Z1128" t="inlineStr"/>
      <c r="AA1128" t="inlineStr"/>
      <c r="AB1128" t="inlineStr"/>
      <c r="AC1128" t="inlineStr"/>
      <c r="AD1128" t="inlineStr">
        <is>
          <t>לא נמצא בסריקת המפיצים</t>
        </is>
      </c>
      <c r="AE1128" t="inlineStr">
        <is>
          <t>סריקת אתרי מפיצים</t>
        </is>
      </c>
      <c r="AG1128" t="inlineStr"/>
      <c r="AH1128" t="inlineStr"/>
      <c r="AJ1128" t="inlineStr"/>
      <c r="AP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Y1129" t="inlineStr">
        <is>
          <t>unknown</t>
        </is>
      </c>
      <c r="Z1129" t="inlineStr"/>
      <c r="AA1129" t="inlineStr"/>
      <c r="AB1129" t="inlineStr"/>
      <c r="AC1129" t="inlineStr"/>
      <c r="AD1129" t="inlineStr">
        <is>
          <t>לא נמצא בסריקת המפיצים</t>
        </is>
      </c>
      <c r="AE1129" t="inlineStr">
        <is>
          <t>סריקת אתרי מפיצים</t>
        </is>
      </c>
      <c r="AG1129" t="inlineStr"/>
      <c r="AH1129" t="inlineStr"/>
      <c r="AJ1129" t="inlineStr"/>
      <c r="AP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Y1130" t="inlineStr">
        <is>
          <t>unknown</t>
        </is>
      </c>
      <c r="Z1130" t="inlineStr"/>
      <c r="AA1130" t="inlineStr"/>
      <c r="AB1130" t="inlineStr"/>
      <c r="AC1130" t="inlineStr"/>
      <c r="AD1130" t="inlineStr">
        <is>
          <t>לא נמצא בסריקת המפיצים</t>
        </is>
      </c>
      <c r="AE1130" t="inlineStr">
        <is>
          <t>סריקת אתרי מפיצים</t>
        </is>
      </c>
      <c r="AG1130" t="inlineStr"/>
      <c r="AH1130" t="inlineStr"/>
      <c r="AJ1130" t="inlineStr"/>
      <c r="AP1130" t="inlineStr">
        <is>
          <t>https://www.thomassci.com/browse-by/suppliers/scinomix</t>
        </is>
      </c>
    </row>
    <row r="1131">
      <c r="A1131" t="n">
        <v>1130</v>
      </c>
      <c r="B1131" t="inlineStr">
        <is>
          <t>SciSpec</t>
        </is>
      </c>
      <c r="C1131" t="inlineStr">
        <is>
          <t>T</t>
        </is>
      </c>
      <c r="E1131" t="inlineStr">
        <is>
          <t>https://www.thomassci.com/browse-by/suppliers/scispec</t>
        </is>
      </c>
      <c r="F1131" t="inlineStr"/>
      <c r="J1131" t="inlineStr"/>
      <c r="Y1131" t="inlineStr">
        <is>
          <t>unknown</t>
        </is>
      </c>
      <c r="Z1131" t="inlineStr"/>
      <c r="AA1131" t="inlineStr"/>
      <c r="AB1131" t="inlineStr"/>
      <c r="AC1131" t="inlineStr"/>
      <c r="AD1131" t="inlineStr">
        <is>
          <t>לא נמצא בסריקת המפיצים</t>
        </is>
      </c>
      <c r="AE1131" t="inlineStr">
        <is>
          <t>סריקת אתרי מפיצים</t>
        </is>
      </c>
      <c r="AG1131" t="inlineStr"/>
      <c r="AH1131" t="inlineStr"/>
      <c r="AJ1131" t="inlineStr"/>
      <c r="AP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Y1132" t="inlineStr">
        <is>
          <t>unknown</t>
        </is>
      </c>
      <c r="Z1132" t="inlineStr"/>
      <c r="AA1132" t="inlineStr"/>
      <c r="AB1132" t="inlineStr"/>
      <c r="AC1132" t="inlineStr"/>
      <c r="AD1132" t="inlineStr">
        <is>
          <t>לא נמצא בסריקת המפיצים</t>
        </is>
      </c>
      <c r="AE1132" t="inlineStr">
        <is>
          <t>סריקת אתרי מפיצים</t>
        </is>
      </c>
      <c r="AG1132" t="inlineStr"/>
      <c r="AH1132" t="inlineStr"/>
      <c r="AJ1132" t="inlineStr">
        <is>
          <t>(800) 726-8762</t>
        </is>
      </c>
      <c r="AK1132" t="inlineStr">
        <is>
          <t>sales@scotsman-ice.com</t>
        </is>
      </c>
      <c r="AM1132" t="inlineStr">
        <is>
          <t>https://www.scotsman-ice.com/contact-us/</t>
        </is>
      </c>
      <c r="AN1132" t="inlineStr">
        <is>
          <t>https://www.scotsman-ice.com/contact-us/</t>
        </is>
      </c>
      <c r="AP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Y1133" t="inlineStr">
        <is>
          <t>unknown</t>
        </is>
      </c>
      <c r="Z1133" t="inlineStr"/>
      <c r="AA1133" t="inlineStr"/>
      <c r="AB1133" t="inlineStr"/>
      <c r="AC1133" t="inlineStr"/>
      <c r="AD1133" t="inlineStr">
        <is>
          <t>לא נמצא בסריקת המפיצים</t>
        </is>
      </c>
      <c r="AE1133" t="inlineStr">
        <is>
          <t>סריקת אתרי מפיצים</t>
        </is>
      </c>
      <c r="AG1133" t="inlineStr"/>
      <c r="AH1133" t="inlineStr"/>
      <c r="AJ1133" t="inlineStr"/>
      <c r="AP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Y1134" t="inlineStr">
        <is>
          <t>unknown</t>
        </is>
      </c>
      <c r="Z1134" t="inlineStr"/>
      <c r="AA1134" t="inlineStr"/>
      <c r="AB1134" t="inlineStr"/>
      <c r="AC1134" t="inlineStr"/>
      <c r="AD1134" t="inlineStr">
        <is>
          <t>לא נמצא בסריקת המפיצים</t>
        </is>
      </c>
      <c r="AE1134" t="inlineStr">
        <is>
          <t>סריקת אתרי מפיצים</t>
        </is>
      </c>
      <c r="AG1134" t="inlineStr"/>
      <c r="AH1134" t="inlineStr"/>
      <c r="AJ1134" t="inlineStr"/>
      <c r="AP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Y1135" t="inlineStr">
        <is>
          <t>unknown</t>
        </is>
      </c>
      <c r="Z1135" t="inlineStr"/>
      <c r="AA1135" t="inlineStr"/>
      <c r="AB1135" t="inlineStr"/>
      <c r="AC1135" t="inlineStr"/>
      <c r="AD1135" t="inlineStr">
        <is>
          <t>לא נמצא בסריקת המפיצים</t>
        </is>
      </c>
      <c r="AE1135" t="inlineStr">
        <is>
          <t>סריקת אתרי מפיצים</t>
        </is>
      </c>
      <c r="AG1135" t="inlineStr"/>
      <c r="AH1135" t="inlineStr"/>
      <c r="AJ1135" t="inlineStr">
        <is>
          <t>+1-858-777-2600</t>
        </is>
      </c>
      <c r="AK1135" t="inlineStr">
        <is>
          <t>info@sekisui-dx.com</t>
        </is>
      </c>
      <c r="AM1135" t="inlineStr">
        <is>
          <t>https://sekisuidiagnostics.com/contact-us/</t>
        </is>
      </c>
      <c r="AN1135" t="inlineStr">
        <is>
          <t>https://sekisuidiagnostics.com/contact-us/</t>
        </is>
      </c>
      <c r="AP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Y1136" t="inlineStr">
        <is>
          <t>unknown</t>
        </is>
      </c>
      <c r="Z1136" t="inlineStr"/>
      <c r="AA1136" t="inlineStr"/>
      <c r="AB1136" t="inlineStr"/>
      <c r="AC1136" t="inlineStr"/>
      <c r="AD1136" t="inlineStr">
        <is>
          <t>לא נמצא בסריקת המפיצים</t>
        </is>
      </c>
      <c r="AE1136" t="inlineStr">
        <is>
          <t>סריקת אתרי מפיצים</t>
        </is>
      </c>
      <c r="AG1136" t="inlineStr"/>
      <c r="AH1136" t="inlineStr"/>
      <c r="AJ1136" t="inlineStr"/>
      <c r="AP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Y1137" t="inlineStr">
        <is>
          <t>unknown</t>
        </is>
      </c>
      <c r="Z1137" t="inlineStr"/>
      <c r="AA1137" t="inlineStr"/>
      <c r="AB1137" t="inlineStr"/>
      <c r="AC1137" t="inlineStr"/>
      <c r="AD1137" t="inlineStr">
        <is>
          <t>מפיץ/נציג בישראל</t>
        </is>
      </c>
      <c r="AE1137" t="inlineStr">
        <is>
          <t>סריקת אתרי מפיצים</t>
        </is>
      </c>
      <c r="AF1137" t="n">
        <v>2026</v>
      </c>
      <c r="AG1137" t="inlineStr">
        <is>
          <t>Tivan Biotech</t>
        </is>
      </c>
      <c r="AH1137" t="inlineStr">
        <is>
          <t>Tivan Biotech: 077-4701591 customerservice@tivanbiotech.com</t>
        </is>
      </c>
      <c r="AJ1137" t="inlineStr">
        <is>
          <t>(877) 796-6397</t>
        </is>
      </c>
      <c r="AK1137" t="inlineStr">
        <is>
          <t>sales@selleckchem.com</t>
        </is>
      </c>
      <c r="AM1137" t="inlineStr">
        <is>
          <t>https://www.selleckchem.com/contact.html</t>
        </is>
      </c>
      <c r="AN1137" t="inlineStr">
        <is>
          <t>https://www.selleckchem.com/contact.html</t>
        </is>
      </c>
      <c r="AP1137" t="inlineStr">
        <is>
          <t>https://www.quartzy.com/suppliers | https://tivanbiotech.com/manufacturers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c r="Y1138" t="inlineStr">
        <is>
          <t>unknown</t>
        </is>
      </c>
      <c r="Z1138" t="inlineStr"/>
      <c r="AA1138" t="inlineStr"/>
      <c r="AB1138" t="inlineStr"/>
      <c r="AC1138" t="inlineStr"/>
      <c r="AD1138" t="inlineStr">
        <is>
          <t>לא נמצא בסריקת המפיצים</t>
        </is>
      </c>
      <c r="AE1138" t="inlineStr">
        <is>
          <t>סריקת אתרי מפיצים</t>
        </is>
      </c>
      <c r="AG1138" t="inlineStr"/>
      <c r="AH1138" t="inlineStr"/>
      <c r="AJ1138" t="inlineStr">
        <is>
          <t>+4367687158257</t>
        </is>
      </c>
      <c r="AM1138" t="inlineStr">
        <is>
          <t>https://www.semperitgroup.com/newsroom/press-contact/</t>
        </is>
      </c>
      <c r="AN1138" t="inlineStr">
        <is>
          <t>https://www.semperitgroup.com/newsroom/press-contact/</t>
        </is>
      </c>
      <c r="AP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Y1139" t="inlineStr">
        <is>
          <t>unknown</t>
        </is>
      </c>
      <c r="Z1139" t="inlineStr"/>
      <c r="AA1139" t="inlineStr"/>
      <c r="AB1139" t="inlineStr"/>
      <c r="AC1139" t="inlineStr"/>
      <c r="AD1139" t="inlineStr">
        <is>
          <t>לא נמצא בחיפוש ראשוני</t>
        </is>
      </c>
      <c r="AE1139" t="inlineStr">
        <is>
          <t>חיפוש חלקי</t>
        </is>
      </c>
      <c r="AG1139" t="inlineStr"/>
      <c r="AH1139" t="inlineStr"/>
      <c r="AI1139" t="inlineStr">
        <is>
          <t>Only US (MDS Associates, Sempermed USA) and Swiss (Huberlab) channels and FDA device records; no Israel mention.</t>
        </is>
      </c>
      <c r="AJ1139" t="inlineStr">
        <is>
          <t>+4319346348</t>
        </is>
      </c>
      <c r="AM1139" t="inlineStr">
        <is>
          <t>https://harpsglobal.com/contact/</t>
        </is>
      </c>
      <c r="AN1139" t="inlineStr">
        <is>
          <t>https://harpsglobal.com/contact/</t>
        </is>
      </c>
      <c r="AP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Y1140" t="inlineStr">
        <is>
          <t>unknown</t>
        </is>
      </c>
      <c r="Z1140" t="inlineStr"/>
      <c r="AA1140" t="inlineStr"/>
      <c r="AB1140" t="inlineStr"/>
      <c r="AC1140" t="inlineStr"/>
      <c r="AD1140" t="inlineStr">
        <is>
          <t>לא נמצא בסריקת המפיצים</t>
        </is>
      </c>
      <c r="AE1140" t="inlineStr">
        <is>
          <t>סריקת אתרי מפיצים</t>
        </is>
      </c>
      <c r="AG1140" t="inlineStr"/>
      <c r="AH1140" t="inlineStr"/>
      <c r="AJ1140" t="inlineStr">
        <is>
          <t>+39 0731 213243</t>
        </is>
      </c>
      <c r="AM1140" t="inlineStr">
        <is>
          <t>https://www.diatechpharmacogenetics.com/contacts/</t>
        </is>
      </c>
      <c r="AN1140" t="inlineStr">
        <is>
          <t>https://www.diatechpharmacogenetics.com/contacts/</t>
        </is>
      </c>
      <c r="AP1140" t="inlineStr">
        <is>
          <t>https://www.dutscher.com/search?initialFilters=brand:Sensoquest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Y1141" t="inlineStr">
        <is>
          <t>unknown</t>
        </is>
      </c>
      <c r="Z1141" t="inlineStr"/>
      <c r="AA1141" t="inlineStr"/>
      <c r="AB1141" t="inlineStr"/>
      <c r="AC1141" t="inlineStr"/>
      <c r="AD1141" t="inlineStr">
        <is>
          <t>לא נמצא בסריקת המפיצים</t>
        </is>
      </c>
      <c r="AE1141" t="inlineStr">
        <is>
          <t>סריקת אתרי מפיצים</t>
        </is>
      </c>
      <c r="AG1141" t="inlineStr"/>
      <c r="AH1141" t="inlineStr"/>
      <c r="AJ1141" t="inlineStr">
        <is>
          <t>+1 714-895-4344</t>
        </is>
      </c>
      <c r="AK1141" t="inlineStr">
        <is>
          <t>info@sensorex.com</t>
        </is>
      </c>
      <c r="AM1141" t="inlineStr">
        <is>
          <t>https://sensorex.com/contact/</t>
        </is>
      </c>
      <c r="AN1141" t="inlineStr">
        <is>
          <t>https://sensorex.com/contact/</t>
        </is>
      </c>
      <c r="AP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Y1142" t="inlineStr">
        <is>
          <t>unknown</t>
        </is>
      </c>
      <c r="Z1142" t="inlineStr"/>
      <c r="AA1142" t="inlineStr"/>
      <c r="AB1142" t="inlineStr"/>
      <c r="AC1142" t="inlineStr"/>
      <c r="AD1142" t="inlineStr">
        <is>
          <t>לא נמצא בסריקת המפיצים</t>
        </is>
      </c>
      <c r="AE1142" t="inlineStr">
        <is>
          <t>סריקת אתרי מפיצים</t>
        </is>
      </c>
      <c r="AG1142" t="inlineStr"/>
      <c r="AH1142" t="inlineStr"/>
      <c r="AJ1142" t="inlineStr">
        <is>
          <t>+1 603.769.0963</t>
        </is>
      </c>
      <c r="AK1142" t="inlineStr">
        <is>
          <t>service@sequencebiotech.com</t>
        </is>
      </c>
      <c r="AM1142" t="inlineStr">
        <is>
          <t>https://www.sequencebiotech.com/contact-us/</t>
        </is>
      </c>
      <c r="AN1142" t="inlineStr">
        <is>
          <t>https://www.sequencebiotech.com/contact-us/</t>
        </is>
      </c>
      <c r="AP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Y1143" t="inlineStr">
        <is>
          <t>unknown</t>
        </is>
      </c>
      <c r="Z1143" t="inlineStr"/>
      <c r="AA1143" t="inlineStr"/>
      <c r="AB1143" t="inlineStr"/>
      <c r="AC1143" t="inlineStr"/>
      <c r="AD1143" t="inlineStr">
        <is>
          <t>לא נמצא בסריקת המפיצים</t>
        </is>
      </c>
      <c r="AE1143" t="inlineStr">
        <is>
          <t>סריקת אתרי מפיצים</t>
        </is>
      </c>
      <c r="AG1143" t="inlineStr"/>
      <c r="AH1143" t="inlineStr"/>
      <c r="AJ1143" t="inlineStr"/>
      <c r="AK1143" t="inlineStr">
        <is>
          <t>info@licorbio.com</t>
        </is>
      </c>
      <c r="AM1143" t="inlineStr">
        <is>
          <t>https://www.serva.de/deDE/14_UEber_SERVA_Kontakt.html</t>
        </is>
      </c>
      <c r="AN1143" t="inlineStr">
        <is>
          <t>https://www.serva.de/deDE/14_UEber_SERVA_Kontakt.html</t>
        </is>
      </c>
      <c r="AP1143" t="inlineStr">
        <is>
          <t>https://www.dutscher.com/search?initialFilters=brand:Serva | https://www.serva.de/deDE/14_UEber_SERVA_Kontakt.html</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Y1144" t="inlineStr">
        <is>
          <t>unknown</t>
        </is>
      </c>
      <c r="Z1144" t="inlineStr"/>
      <c r="AA1144" t="inlineStr"/>
      <c r="AB1144" t="inlineStr"/>
      <c r="AC1144" t="inlineStr"/>
      <c r="AD1144" t="inlineStr">
        <is>
          <t>לא נמצא בחיפוש ראשוני</t>
        </is>
      </c>
      <c r="AE1144" t="inlineStr">
        <is>
          <t>חיפוש חלקי</t>
        </is>
      </c>
      <c r="AG1144" t="inlineStr"/>
      <c r="AH1144" t="inlineStr"/>
      <c r="AI1144" t="inlineStr">
        <is>
          <t>Seward (part of FermionX Ltd since 2016) results are US/EU catalog pages (VWR, Thomas Scientific, Capitol Scientific); no Israel mention.</t>
        </is>
      </c>
      <c r="AJ1144" t="inlineStr"/>
      <c r="AP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Y1145" t="inlineStr">
        <is>
          <t>unknown</t>
        </is>
      </c>
      <c r="Z1145" t="inlineStr"/>
      <c r="AA1145" t="inlineStr"/>
      <c r="AB1145" t="inlineStr"/>
      <c r="AC1145" t="inlineStr"/>
      <c r="AD1145" t="inlineStr">
        <is>
          <t>לא נמצא בסריקת המפיצים</t>
        </is>
      </c>
      <c r="AE1145" t="inlineStr">
        <is>
          <t>סריקת אתרי מפיצים</t>
        </is>
      </c>
      <c r="AG1145" t="inlineStr"/>
      <c r="AH1145" t="inlineStr"/>
      <c r="AJ1145" t="inlineStr"/>
      <c r="AP1145" t="inlineStr">
        <is>
          <t>https://www.thomassci.com/browse-by/suppliers/sge-by-trajan</t>
        </is>
      </c>
    </row>
    <row r="1146">
      <c r="A1146" t="n">
        <v>1145</v>
      </c>
      <c r="B1146" t="inlineStr">
        <is>
          <t>SGI-DNA</t>
        </is>
      </c>
      <c r="C1146" t="inlineStr">
        <is>
          <t>Q</t>
        </is>
      </c>
      <c r="F1146" t="inlineStr">
        <is>
          <t>yes</t>
        </is>
      </c>
      <c r="J1146" t="inlineStr"/>
      <c r="Y1146" t="inlineStr">
        <is>
          <t>unknown</t>
        </is>
      </c>
      <c r="Z1146" t="inlineStr"/>
      <c r="AA1146" t="inlineStr"/>
      <c r="AB1146" t="inlineStr"/>
      <c r="AC1146" t="inlineStr"/>
      <c r="AD1146" t="inlineStr">
        <is>
          <t>לא נמצא בסריקת המפיצים</t>
        </is>
      </c>
      <c r="AE1146" t="inlineStr">
        <is>
          <t>סריקת אתרי מפיצים</t>
        </is>
      </c>
      <c r="AG1146" t="inlineStr"/>
      <c r="AH1146" t="inlineStr"/>
      <c r="AJ1146" t="inlineStr"/>
      <c r="AP1146" t="inlineStr">
        <is>
          <t>https://www.quartzy.com/suppliers</t>
        </is>
      </c>
    </row>
    <row r="1147">
      <c r="A1147" t="n">
        <v>1146</v>
      </c>
      <c r="B1147" t="inlineStr">
        <is>
          <t>Shamrock</t>
        </is>
      </c>
      <c r="C1147" t="inlineStr">
        <is>
          <t>T</t>
        </is>
      </c>
      <c r="E1147" t="inlineStr">
        <is>
          <t>https://www.thomassci.com/browse-by/suppliers/shamrock</t>
        </is>
      </c>
      <c r="F1147" t="inlineStr"/>
      <c r="J1147" t="inlineStr"/>
      <c r="Y1147" t="inlineStr">
        <is>
          <t>unknown</t>
        </is>
      </c>
      <c r="Z1147" t="inlineStr"/>
      <c r="AA1147" t="inlineStr"/>
      <c r="AB1147" t="inlineStr"/>
      <c r="AC1147" t="inlineStr"/>
      <c r="AD1147" t="inlineStr">
        <is>
          <t>לא נמצא בסריקת המפיצים</t>
        </is>
      </c>
      <c r="AE1147" t="inlineStr">
        <is>
          <t>סריקת אתרי מפיצים</t>
        </is>
      </c>
      <c r="AG1147" t="inlineStr"/>
      <c r="AH1147" t="inlineStr"/>
      <c r="AJ1147" t="inlineStr"/>
      <c r="AP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c r="Y1148" t="inlineStr">
        <is>
          <t>unknown</t>
        </is>
      </c>
      <c r="Z1148" t="inlineStr"/>
      <c r="AA1148" t="inlineStr"/>
      <c r="AB1148" t="inlineStr"/>
      <c r="AC1148" t="inlineStr"/>
      <c r="AD1148" t="inlineStr">
        <is>
          <t>לא נמצא בסריקת המפיצים</t>
        </is>
      </c>
      <c r="AE1148" t="inlineStr">
        <is>
          <t>סריקת אתרי מפיצים</t>
        </is>
      </c>
      <c r="AG1148" t="inlineStr"/>
      <c r="AH1148" t="inlineStr"/>
      <c r="AJ1148" t="inlineStr"/>
      <c r="AP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Y1149" t="inlineStr">
        <is>
          <t>unknown</t>
        </is>
      </c>
      <c r="Z1149" t="inlineStr"/>
      <c r="AA1149" t="inlineStr"/>
      <c r="AB1149" t="inlineStr"/>
      <c r="AC1149" t="inlineStr"/>
      <c r="AD1149" t="inlineStr">
        <is>
          <t>לא נמצא בסריקת המפיצים</t>
        </is>
      </c>
      <c r="AE1149" t="inlineStr">
        <is>
          <t>סריקת אתרי מפיצים</t>
        </is>
      </c>
      <c r="AG1149" t="inlineStr"/>
      <c r="AH1149" t="inlineStr"/>
      <c r="AJ1149" t="inlineStr"/>
      <c r="AP1149" t="inlineStr">
        <is>
          <t>https://www.thomassci.com/browse-by/suppliers/shel-lab</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Y1150" t="inlineStr">
        <is>
          <t>unknown</t>
        </is>
      </c>
      <c r="Z1150" t="inlineStr"/>
      <c r="AA1150" t="inlineStr"/>
      <c r="AB1150" t="inlineStr"/>
      <c r="AC1150" t="inlineStr"/>
      <c r="AD1150" t="inlineStr">
        <is>
          <t>לא נמצא בסריקת המפיצים</t>
        </is>
      </c>
      <c r="AE1150" t="inlineStr">
        <is>
          <t>סריקת אתרי מפיצים</t>
        </is>
      </c>
      <c r="AG1150" t="inlineStr"/>
      <c r="AH1150" t="inlineStr"/>
      <c r="AJ1150" t="inlineStr">
        <is>
          <t>(503) 640-3000</t>
        </is>
      </c>
      <c r="AK1150" t="inlineStr">
        <is>
          <t>sales@shellab.com</t>
        </is>
      </c>
      <c r="AM1150" t="inlineStr">
        <is>
          <t>https://www.sheldonmanufacturing.com/contact</t>
        </is>
      </c>
      <c r="AN1150" t="inlineStr">
        <is>
          <t>https://www.sheldonmanufacturing.com/contact</t>
        </is>
      </c>
      <c r="AP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Y1151" t="inlineStr">
        <is>
          <t>unknown</t>
        </is>
      </c>
      <c r="Z1151" t="inlineStr"/>
      <c r="AA1151" t="inlineStr"/>
      <c r="AB1151" t="inlineStr"/>
      <c r="AC1151" t="inlineStr"/>
      <c r="AD1151" t="inlineStr">
        <is>
          <t>לא נמצא בסריקת המפיצים</t>
        </is>
      </c>
      <c r="AE1151" t="inlineStr">
        <is>
          <t>סריקת אתרי מפיצים</t>
        </is>
      </c>
      <c r="AG1151" t="inlineStr"/>
      <c r="AH1151" t="inlineStr"/>
      <c r="AJ1151" t="inlineStr">
        <is>
          <t>+31317700202</t>
        </is>
      </c>
      <c r="AK1151" t="inlineStr">
        <is>
          <t>info@shieldscientific.com</t>
        </is>
      </c>
      <c r="AM1151" t="inlineStr">
        <is>
          <t>https://www.shieldscientific.com/contact/</t>
        </is>
      </c>
      <c r="AN1151" t="inlineStr">
        <is>
          <t>https://www.shieldscientific.com/contact/</t>
        </is>
      </c>
      <c r="AP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Y1152" t="inlineStr">
        <is>
          <t>unknown</t>
        </is>
      </c>
      <c r="Z1152" t="inlineStr"/>
      <c r="AA1152" t="inlineStr"/>
      <c r="AB1152" t="inlineStr"/>
      <c r="AC1152" t="inlineStr"/>
      <c r="AD1152" t="inlineStr">
        <is>
          <t>לא נמצא בסריקת המפיצים</t>
        </is>
      </c>
      <c r="AE1152" t="inlineStr">
        <is>
          <t>סריקת אתרי מפיצים</t>
        </is>
      </c>
      <c r="AG1152" t="inlineStr"/>
      <c r="AH1152" t="inlineStr"/>
      <c r="AJ1152" t="inlineStr"/>
      <c r="AP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Y1153" t="inlineStr">
        <is>
          <t>unknown</t>
        </is>
      </c>
      <c r="Z1153" t="inlineStr"/>
      <c r="AA1153" t="inlineStr"/>
      <c r="AB1153" t="inlineStr"/>
      <c r="AC1153" t="inlineStr"/>
      <c r="AD1153" t="inlineStr">
        <is>
          <t>לא נמצא בסריקת המפיצים</t>
        </is>
      </c>
      <c r="AE1153" t="inlineStr">
        <is>
          <t>סריקת אתרי מפיצים</t>
        </is>
      </c>
      <c r="AG1153" t="inlineStr"/>
      <c r="AH1153" t="inlineStr"/>
      <c r="AJ1153" t="inlineStr">
        <is>
          <t>6063930949</t>
        </is>
      </c>
      <c r="AK1153" t="inlineStr">
        <is>
          <t>info@shoecovermagic.com</t>
        </is>
      </c>
      <c r="AM1153" t="inlineStr">
        <is>
          <t>https://shoecovermagic.com/contact/</t>
        </is>
      </c>
      <c r="AN1153" t="inlineStr">
        <is>
          <t>https://shoecovermagic.com/contact/</t>
        </is>
      </c>
      <c r="AP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Y1154" t="inlineStr">
        <is>
          <t>unknown</t>
        </is>
      </c>
      <c r="Z1154" t="inlineStr"/>
      <c r="AA1154" t="inlineStr"/>
      <c r="AB1154" t="inlineStr"/>
      <c r="AC1154" t="inlineStr"/>
      <c r="AD1154" t="inlineStr">
        <is>
          <t>לא נמצא בסריקת המפיצים</t>
        </is>
      </c>
      <c r="AE1154" t="inlineStr">
        <is>
          <t>סריקת אתרי מפיצים</t>
        </is>
      </c>
      <c r="AG1154" t="inlineStr"/>
      <c r="AH1154" t="inlineStr"/>
      <c r="AJ1154" t="inlineStr"/>
      <c r="AP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clearbit_verified</t>
        </is>
      </c>
      <c r="J1155" t="inlineStr"/>
      <c r="Y1155" t="inlineStr">
        <is>
          <t>unknown</t>
        </is>
      </c>
      <c r="Z1155" t="inlineStr"/>
      <c r="AA1155" t="inlineStr"/>
      <c r="AB1155" t="inlineStr"/>
      <c r="AC1155" t="inlineStr"/>
      <c r="AD1155" t="inlineStr">
        <is>
          <t>לא נמצא בחיפוש ראשוני</t>
        </is>
      </c>
      <c r="AE1155" t="inlineStr">
        <is>
          <t>חיפוש חלקי</t>
        </is>
      </c>
      <c r="AG1155" t="inlineStr"/>
      <c r="AH1155" t="inlineStr"/>
      <c r="AI1155" t="inlineStr">
        <is>
          <t>SHOWA (gloves) sells via a worldwide distributor network; results show US/ZA sellers (MDS Associates, Gemplers, RS South Africa) and showagroup.com EU pages; no Israeli distributor named.</t>
        </is>
      </c>
      <c r="AJ1155" t="inlineStr">
        <is>
          <t>31-0-88-004-2100</t>
        </is>
      </c>
      <c r="AK1155" t="inlineStr">
        <is>
          <t>info@showagroup.eu</t>
        </is>
      </c>
      <c r="AM1155" t="inlineStr">
        <is>
          <t>https://www.showagroup.com/eu-en/contact/</t>
        </is>
      </c>
      <c r="AN1155" t="inlineStr">
        <is>
          <t>https://www.showagroup.com/eu-en/contact/</t>
        </is>
      </c>
      <c r="AP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Y1156" t="inlineStr">
        <is>
          <t>unknown</t>
        </is>
      </c>
      <c r="Z1156" t="inlineStr"/>
      <c r="AA1156" t="inlineStr"/>
      <c r="AB1156" t="inlineStr"/>
      <c r="AC1156" t="inlineStr"/>
      <c r="AD1156" t="inlineStr">
        <is>
          <t>לא נמצא בסריקת המפיצים</t>
        </is>
      </c>
      <c r="AE1156" t="inlineStr">
        <is>
          <t>סריקת אתרי מפיצים</t>
        </is>
      </c>
      <c r="AG1156" t="inlineStr"/>
      <c r="AH1156" t="inlineStr"/>
      <c r="AJ1156" t="inlineStr"/>
      <c r="AP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Y1157" t="inlineStr">
        <is>
          <t>unknown</t>
        </is>
      </c>
      <c r="Z1157" t="inlineStr"/>
      <c r="AA1157" t="inlineStr"/>
      <c r="AB1157" t="inlineStr"/>
      <c r="AC1157" t="inlineStr"/>
      <c r="AD1157" t="inlineStr">
        <is>
          <t>לא נמצא בסריקת המפיצים</t>
        </is>
      </c>
      <c r="AE1157" t="inlineStr">
        <is>
          <t>סריקת אתרי מפיצים</t>
        </is>
      </c>
      <c r="AG1157" t="inlineStr"/>
      <c r="AH1157" t="inlineStr"/>
      <c r="AJ1157" t="inlineStr">
        <is>
          <t>+49 881 183-0</t>
        </is>
      </c>
      <c r="AM1157" t="inlineStr">
        <is>
          <t>https://www.xylemanalytics.com/en/contact/general-contact</t>
        </is>
      </c>
      <c r="AN1157" t="inlineStr">
        <is>
          <t>https://www.xylemanalytics.com/en/contact/general-contact</t>
        </is>
      </c>
      <c r="AP1157" t="inlineStr">
        <is>
          <t>https://www.thomassci.com/browse-by/suppliers/si-analytics | https://www.xylemanalytics.com/en/contact/general-contact</t>
        </is>
      </c>
    </row>
    <row r="1158">
      <c r="A1158" t="n">
        <v>1157</v>
      </c>
      <c r="B1158" t="inlineStr">
        <is>
          <t>SignalChem</t>
        </is>
      </c>
      <c r="C1158" t="inlineStr">
        <is>
          <t>Q</t>
        </is>
      </c>
      <c r="F1158" t="inlineStr">
        <is>
          <t>yes</t>
        </is>
      </c>
      <c r="J1158" t="inlineStr"/>
      <c r="Y1158" t="inlineStr">
        <is>
          <t>unknown</t>
        </is>
      </c>
      <c r="Z1158" t="inlineStr"/>
      <c r="AA1158" t="inlineStr"/>
      <c r="AB1158" t="inlineStr"/>
      <c r="AC1158" t="inlineStr"/>
      <c r="AD1158" t="inlineStr">
        <is>
          <t>לא נמצא בסריקת המפיצים</t>
        </is>
      </c>
      <c r="AE1158" t="inlineStr">
        <is>
          <t>סריקת אתרי מפיצים</t>
        </is>
      </c>
      <c r="AG1158" t="inlineStr"/>
      <c r="AH1158" t="inlineStr"/>
      <c r="AJ1158" t="inlineStr"/>
      <c r="AP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Y1159" t="inlineStr">
        <is>
          <t>unknown</t>
        </is>
      </c>
      <c r="Z1159" t="inlineStr"/>
      <c r="AA1159" t="inlineStr"/>
      <c r="AB1159" t="inlineStr"/>
      <c r="AC1159" t="inlineStr"/>
      <c r="AD1159" t="inlineStr">
        <is>
          <t>לא נמצא בסריקת המפיצים</t>
        </is>
      </c>
      <c r="AE1159" t="inlineStr">
        <is>
          <t>סריקת אתרי מפיצים</t>
        </is>
      </c>
      <c r="AG1159" t="inlineStr"/>
      <c r="AH1159" t="inlineStr"/>
      <c r="AJ1159" t="inlineStr"/>
      <c r="AP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Y1160" t="inlineStr">
        <is>
          <t>unknown</t>
        </is>
      </c>
      <c r="Z1160" t="inlineStr"/>
      <c r="AA1160" t="inlineStr"/>
      <c r="AB1160" t="inlineStr"/>
      <c r="AC1160" t="inlineStr"/>
      <c r="AD1160" t="inlineStr">
        <is>
          <t>לא נמצא בסריקת המפיצים</t>
        </is>
      </c>
      <c r="AE1160" t="inlineStr">
        <is>
          <t>סריקת אתרי מפיצים</t>
        </is>
      </c>
      <c r="AG1160" t="inlineStr"/>
      <c r="AH1160" t="inlineStr"/>
      <c r="AJ1160" t="inlineStr"/>
      <c r="AP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clearbit_verified</t>
        </is>
      </c>
      <c r="J1161" t="inlineStr"/>
      <c r="Y1161" t="inlineStr">
        <is>
          <t>unknown</t>
        </is>
      </c>
      <c r="Z1161" t="inlineStr"/>
      <c r="AA1161" t="inlineStr"/>
      <c r="AB1161" t="inlineStr"/>
      <c r="AC1161" t="inlineStr"/>
      <c r="AD1161" t="inlineStr">
        <is>
          <t>לא נמצא בסריקת המפיצים</t>
        </is>
      </c>
      <c r="AE1161" t="inlineStr">
        <is>
          <t>סריקת אתרי מפיצים</t>
        </is>
      </c>
      <c r="AG1161" t="inlineStr"/>
      <c r="AH1161" t="inlineStr"/>
      <c r="AJ1161" t="inlineStr"/>
      <c r="AN1161" t="inlineStr">
        <is>
          <t>https://simplegreen.com/</t>
        </is>
      </c>
      <c r="AP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Y1162" t="inlineStr">
        <is>
          <t>unknown</t>
        </is>
      </c>
      <c r="Z1162" t="inlineStr"/>
      <c r="AA1162" t="inlineStr"/>
      <c r="AB1162" t="inlineStr"/>
      <c r="AC1162" t="inlineStr"/>
      <c r="AD1162" t="inlineStr">
        <is>
          <t>לא נמצא בסריקת המפיצים</t>
        </is>
      </c>
      <c r="AE1162" t="inlineStr">
        <is>
          <t>סריקת אתרי מפיצים</t>
        </is>
      </c>
      <c r="AG1162" t="inlineStr"/>
      <c r="AH1162" t="inlineStr"/>
      <c r="AJ1162" t="inlineStr">
        <is>
          <t>+18772245641</t>
        </is>
      </c>
      <c r="AK1162" t="inlineStr">
        <is>
          <t>hello@simplesolvents.com</t>
        </is>
      </c>
      <c r="AM1162" t="inlineStr">
        <is>
          <t>https://simplesolvents.com/contact-us/</t>
        </is>
      </c>
      <c r="AN1162" t="inlineStr">
        <is>
          <t>https://simplesolvents.com/contact-us/</t>
        </is>
      </c>
      <c r="AP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Y1163" t="inlineStr">
        <is>
          <t>unknown</t>
        </is>
      </c>
      <c r="Z1163" t="inlineStr"/>
      <c r="AA1163" t="inlineStr"/>
      <c r="AB1163" t="inlineStr"/>
      <c r="AC1163" t="inlineStr"/>
      <c r="AD1163" t="inlineStr">
        <is>
          <t>לא נמצא בחיפוש ראשוני</t>
        </is>
      </c>
      <c r="AE1163" t="inlineStr">
        <is>
          <t>חיפוש חלקי</t>
        </is>
      </c>
      <c r="AG1163" t="inlineStr"/>
      <c r="AH1163" t="inlineStr"/>
      <c r="AI1163" t="inlineStr">
        <is>
          <t>Simport Scientific (Quebec) cites a global distribution network; no Israeli distributor named (Enco and M. Stauber surfaced only as Agrisera distributors).</t>
        </is>
      </c>
      <c r="AJ1163" t="inlineStr">
        <is>
          <t>(450) 464-1723</t>
        </is>
      </c>
      <c r="AK1163" t="inlineStr">
        <is>
          <t>info@simport.com</t>
        </is>
      </c>
      <c r="AM1163" t="inlineStr">
        <is>
          <t>https://www.simport.com/en/page/15-contact-page</t>
        </is>
      </c>
      <c r="AN1163" t="inlineStr">
        <is>
          <t>https://www.simport.com/en/page/15-contact-page</t>
        </is>
      </c>
      <c r="AP1163" t="inlineStr">
        <is>
          <t>https://www.dutscher.com/search?initialFilters=brand:Simport | https://www.thomassci.com/browse-by/suppliers/simport | https://www.simport.com/en/page/15-contact-page</t>
        </is>
      </c>
    </row>
    <row r="1164">
      <c r="A1164" t="n">
        <v>1163</v>
      </c>
      <c r="B1164" t="inlineStr">
        <is>
          <t>Sino Biological</t>
        </is>
      </c>
      <c r="C1164" t="inlineStr">
        <is>
          <t>Q</t>
        </is>
      </c>
      <c r="F1164" t="inlineStr">
        <is>
          <t>yes</t>
        </is>
      </c>
      <c r="H1164" t="inlineStr">
        <is>
          <t>https://sinobiological.com</t>
        </is>
      </c>
      <c r="I1164" t="inlineStr">
        <is>
          <t>clearbit_verified</t>
        </is>
      </c>
      <c r="J1164" t="inlineStr"/>
      <c r="Y1164" t="inlineStr">
        <is>
          <t>unknown</t>
        </is>
      </c>
      <c r="Z1164" t="inlineStr"/>
      <c r="AA1164" t="inlineStr"/>
      <c r="AB1164" t="inlineStr"/>
      <c r="AC1164" t="inlineStr"/>
      <c r="AD1164" t="inlineStr">
        <is>
          <t>לא נמצא בסריקת המפיצים</t>
        </is>
      </c>
      <c r="AE1164" t="inlineStr">
        <is>
          <t>סריקת אתרי מפיצים</t>
        </is>
      </c>
      <c r="AG1164" t="inlineStr"/>
      <c r="AH1164" t="inlineStr"/>
      <c r="AJ1164" t="inlineStr">
        <is>
          <t>215-583-7898</t>
        </is>
      </c>
      <c r="AM1164" t="inlineStr">
        <is>
          <t>https://www.sinobiological.com/contact-us/distributors</t>
        </is>
      </c>
      <c r="AN1164" t="inlineStr">
        <is>
          <t>https://www.sinobiological.com/contact-us/distributors</t>
        </is>
      </c>
      <c r="AP1164" t="inlineStr">
        <is>
          <t>https://www.quartzy.com/suppliers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c r="Y1165" t="inlineStr">
        <is>
          <t>unknown</t>
        </is>
      </c>
      <c r="Z1165" t="inlineStr"/>
      <c r="AA1165" t="inlineStr"/>
      <c r="AB1165" t="inlineStr"/>
      <c r="AC1165" t="inlineStr"/>
      <c r="AD1165" t="inlineStr">
        <is>
          <t>לא נמצא בחיפוש ראשוני</t>
        </is>
      </c>
      <c r="AE1165" t="inlineStr">
        <is>
          <t>חיפוש חלקי</t>
        </is>
      </c>
      <c r="AG1165" t="inlineStr"/>
      <c r="AH1165" t="inlineStr"/>
      <c r="AI1165" t="inlineStr">
        <is>
          <t>SKC Inc. (Eighty Four, PA) has a distributor locator but no Israel entry visible; target website sk.co.kr is wrong (skcinc.com).</t>
        </is>
      </c>
      <c r="AJ1165" t="inlineStr"/>
      <c r="AP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J1166" t="inlineStr"/>
      <c r="Y1166" t="inlineStr">
        <is>
          <t>unknown</t>
        </is>
      </c>
      <c r="Z1166" t="inlineStr"/>
      <c r="AA1166" t="inlineStr"/>
      <c r="AB1166" t="inlineStr"/>
      <c r="AC1166" t="inlineStr"/>
      <c r="AD1166" t="inlineStr">
        <is>
          <t>לא נמצא בסריקת המפיצים</t>
        </is>
      </c>
      <c r="AE1166" t="inlineStr">
        <is>
          <t>סריקת אתרי מפיצים</t>
        </is>
      </c>
      <c r="AG1166" t="inlineStr"/>
      <c r="AH1166" t="inlineStr"/>
      <c r="AJ1166" t="inlineStr"/>
      <c r="AP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Y1167" t="inlineStr">
        <is>
          <t>unknown</t>
        </is>
      </c>
      <c r="Z1167" t="inlineStr"/>
      <c r="AA1167" t="inlineStr"/>
      <c r="AB1167" t="inlineStr"/>
      <c r="AC1167" t="inlineStr"/>
      <c r="AD1167" t="inlineStr">
        <is>
          <t>לא נמצא בסריקת המפיצים</t>
        </is>
      </c>
      <c r="AE1167" t="inlineStr">
        <is>
          <t>סריקת אתרי מפיצים</t>
        </is>
      </c>
      <c r="AG1167" t="inlineStr"/>
      <c r="AH1167" t="inlineStr"/>
      <c r="AJ1167" t="inlineStr"/>
      <c r="AK1167" t="inlineStr">
        <is>
          <t>info@sliceproducts.com</t>
        </is>
      </c>
      <c r="AM1167" t="inlineStr">
        <is>
          <t>https://www.sliceproducts.com/pages/contact-us</t>
        </is>
      </c>
      <c r="AN1167" t="inlineStr">
        <is>
          <t>https://www.sliceproducts.com/pages/contact-us</t>
        </is>
      </c>
      <c r="AP1167" t="inlineStr">
        <is>
          <t>https://www.thomassci.com/browse-by/suppliers/slice | https://www.sliceproducts.com/pages/contact-us</t>
        </is>
      </c>
    </row>
    <row r="1168">
      <c r="A1168" t="n">
        <v>1167</v>
      </c>
      <c r="B1168" t="inlineStr">
        <is>
          <t>Slingshot Biosciences</t>
        </is>
      </c>
      <c r="C1168" t="inlineStr">
        <is>
          <t>Q</t>
        </is>
      </c>
      <c r="F1168" t="inlineStr">
        <is>
          <t>yes</t>
        </is>
      </c>
      <c r="J1168" t="inlineStr"/>
      <c r="Y1168" t="inlineStr">
        <is>
          <t>unknown</t>
        </is>
      </c>
      <c r="Z1168" t="inlineStr"/>
      <c r="AA1168" t="inlineStr"/>
      <c r="AB1168" t="inlineStr"/>
      <c r="AC1168" t="inlineStr"/>
      <c r="AD1168" t="inlineStr">
        <is>
          <t>לא נמצא בסריקת המפיצים</t>
        </is>
      </c>
      <c r="AE1168" t="inlineStr">
        <is>
          <t>סריקת אתרי מפיצים</t>
        </is>
      </c>
      <c r="AG1168" t="inlineStr"/>
      <c r="AH1168" t="inlineStr"/>
      <c r="AJ1168" t="inlineStr"/>
      <c r="AP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O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Y1169" t="inlineStr">
        <is>
          <t>unknown</t>
        </is>
      </c>
      <c r="Z1169" t="inlineStr"/>
      <c r="AA1169" t="inlineStr"/>
      <c r="AB1169" t="inlineStr"/>
      <c r="AC1169" t="inlineStr"/>
      <c r="AD1169" t="inlineStr">
        <is>
          <t>לא נמצא בסריקת המפיצים</t>
        </is>
      </c>
      <c r="AE1169" t="inlineStr">
        <is>
          <t>סריקת אתרי מפיצים</t>
        </is>
      </c>
      <c r="AG1169" t="inlineStr"/>
      <c r="AH1169" t="inlineStr"/>
      <c r="AJ1169" t="inlineStr">
        <is>
          <t>+15107706806</t>
        </is>
      </c>
      <c r="AK1169" t="inlineStr">
        <is>
          <t>sales@slingshotbio.com</t>
        </is>
      </c>
      <c r="AM1169" t="inlineStr">
        <is>
          <t>https://www.slingshotbio.com/contact</t>
        </is>
      </c>
      <c r="AN1169" t="inlineStr">
        <is>
          <t>https://www.slingshotbio.com/contact</t>
        </is>
      </c>
      <c r="AP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Y1170" t="inlineStr">
        <is>
          <t>unknown</t>
        </is>
      </c>
      <c r="Z1170" t="inlineStr"/>
      <c r="AA1170" t="inlineStr"/>
      <c r="AB1170" t="inlineStr"/>
      <c r="AC1170" t="inlineStr"/>
      <c r="AD1170" t="inlineStr">
        <is>
          <t>לא נמצא בסריקת המפיצים</t>
        </is>
      </c>
      <c r="AE1170" t="inlineStr">
        <is>
          <t>סריקת אתרי מפיצים</t>
        </is>
      </c>
      <c r="AG1170" t="inlineStr"/>
      <c r="AH1170" t="inlineStr"/>
      <c r="AJ1170" t="inlineStr">
        <is>
          <t>115 982 1111</t>
        </is>
      </c>
      <c r="AM1170" t="inlineStr">
        <is>
          <t>https://www.scientificlabs.co.uk/contactus</t>
        </is>
      </c>
      <c r="AN1170" t="inlineStr">
        <is>
          <t>https://www.scientificlabs.co.uk/contactus</t>
        </is>
      </c>
      <c r="AP1170" t="inlineStr">
        <is>
          <t>https://www.dutscher.com/search?initialFilters=brand:SLS | https://www.scientificlabs.co.uk/contactus</t>
        </is>
      </c>
    </row>
    <row r="1171">
      <c r="A1171" t="n">
        <v>1170</v>
      </c>
      <c r="B1171" t="inlineStr">
        <is>
          <t>Small Precision Tools</t>
        </is>
      </c>
      <c r="C1171" t="inlineStr">
        <is>
          <t>T</t>
        </is>
      </c>
      <c r="E1171" t="inlineStr">
        <is>
          <t>https://www.thomassci.com/browse-by/suppliers/small-precision-tools</t>
        </is>
      </c>
      <c r="F1171" t="inlineStr"/>
      <c r="J1171" t="inlineStr"/>
      <c r="Y1171" t="inlineStr">
        <is>
          <t>unknown</t>
        </is>
      </c>
      <c r="Z1171" t="inlineStr"/>
      <c r="AA1171" t="inlineStr"/>
      <c r="AB1171" t="inlineStr"/>
      <c r="AC1171" t="inlineStr"/>
      <c r="AD1171" t="inlineStr">
        <is>
          <t>לא נמצא בסריקת המפיצים</t>
        </is>
      </c>
      <c r="AE1171" t="inlineStr">
        <is>
          <t>סריקת אתרי מפיצים</t>
        </is>
      </c>
      <c r="AG1171" t="inlineStr"/>
      <c r="AH1171" t="inlineStr"/>
      <c r="AJ1171" t="inlineStr"/>
      <c r="AP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Y1172" t="inlineStr">
        <is>
          <t>unknown</t>
        </is>
      </c>
      <c r="Z1172" t="inlineStr"/>
      <c r="AA1172" t="inlineStr"/>
      <c r="AB1172" t="inlineStr"/>
      <c r="AC1172" t="inlineStr"/>
      <c r="AD1172" t="inlineStr">
        <is>
          <t>לא נמצא בסריקת המפיצים</t>
        </is>
      </c>
      <c r="AE1172" t="inlineStr">
        <is>
          <t>סריקת אתרי מפיצים</t>
        </is>
      </c>
      <c r="AG1172" t="inlineStr"/>
      <c r="AH1172" t="inlineStr"/>
      <c r="AJ1172" t="inlineStr">
        <is>
          <t>1300889837</t>
        </is>
      </c>
      <c r="AK1172" t="inlineStr">
        <is>
          <t>orders@smartrecordsgroup.com.au</t>
        </is>
      </c>
      <c r="AM1172" t="inlineStr">
        <is>
          <t>https://smartstack.com.au/contact-us/</t>
        </is>
      </c>
      <c r="AN1172" t="inlineStr">
        <is>
          <t>https://smartstack.com.au/contact-us/</t>
        </is>
      </c>
      <c r="AP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clearbit_verified</t>
        </is>
      </c>
      <c r="J1173" t="inlineStr"/>
      <c r="Y1173" t="inlineStr">
        <is>
          <t>unknown</t>
        </is>
      </c>
      <c r="Z1173" t="inlineStr"/>
      <c r="AA1173" t="inlineStr"/>
      <c r="AB1173" t="inlineStr"/>
      <c r="AC1173" t="inlineStr"/>
      <c r="AD1173" t="inlineStr">
        <is>
          <t>לא נמצא בסריקת המפיצים</t>
        </is>
      </c>
      <c r="AE1173" t="inlineStr">
        <is>
          <t>סריקת אתרי מפיצים</t>
        </is>
      </c>
      <c r="AG1173" t="inlineStr"/>
      <c r="AH1173" t="inlineStr"/>
      <c r="AJ1173" t="inlineStr">
        <is>
          <t>+1-844-275-6947</t>
        </is>
      </c>
      <c r="AM1173" t="inlineStr">
        <is>
          <t>https://www.smith-nephew.com/en-us/contact-us</t>
        </is>
      </c>
      <c r="AN1173" t="inlineStr">
        <is>
          <t>https://www.smith-nephew.com/en-us/contact-us</t>
        </is>
      </c>
      <c r="AP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Y1174" t="inlineStr">
        <is>
          <t>unknown</t>
        </is>
      </c>
      <c r="Z1174" t="inlineStr"/>
      <c r="AA1174" t="inlineStr"/>
      <c r="AB1174" t="inlineStr"/>
      <c r="AC1174" t="inlineStr"/>
      <c r="AD1174" t="inlineStr">
        <is>
          <t>לא נמצא בסריקת המפיצים</t>
        </is>
      </c>
      <c r="AE1174" t="inlineStr">
        <is>
          <t>סריקת אתרי מפיצים</t>
        </is>
      </c>
      <c r="AG1174" t="inlineStr"/>
      <c r="AH1174" t="inlineStr"/>
      <c r="AJ1174" t="inlineStr"/>
      <c r="AP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Y1175" t="inlineStr">
        <is>
          <t>unknown</t>
        </is>
      </c>
      <c r="Z1175" t="inlineStr"/>
      <c r="AA1175" t="inlineStr"/>
      <c r="AB1175" t="inlineStr"/>
      <c r="AC1175" t="inlineStr"/>
      <c r="AD1175" t="inlineStr">
        <is>
          <t>לא נמצא בסריקת המפיצים</t>
        </is>
      </c>
      <c r="AE1175" t="inlineStr">
        <is>
          <t>סריקת אתרי מפיצים</t>
        </is>
      </c>
      <c r="AG1175" t="inlineStr"/>
      <c r="AH1175" t="inlineStr"/>
      <c r="AJ1175" t="inlineStr"/>
      <c r="AP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Y1176" t="inlineStr">
        <is>
          <t>unknown</t>
        </is>
      </c>
      <c r="Z1176" t="inlineStr"/>
      <c r="AA1176" t="inlineStr"/>
      <c r="AB1176" t="inlineStr"/>
      <c r="AC1176" t="inlineStr"/>
      <c r="AD1176" t="inlineStr">
        <is>
          <t>לא נמצא בסריקת המפיצים</t>
        </is>
      </c>
      <c r="AE1176" t="inlineStr">
        <is>
          <t>סריקת אתרי מפיצים</t>
        </is>
      </c>
      <c r="AG1176" t="inlineStr"/>
      <c r="AH1176" t="inlineStr"/>
      <c r="AJ1176" t="inlineStr"/>
      <c r="AP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is>
          <t>צרפת</t>
        </is>
      </c>
      <c r="M1177" t="inlineStr">
        <is>
          <t>2007</t>
        </is>
      </c>
      <c r="Y1177" t="inlineStr">
        <is>
          <t>unknown</t>
        </is>
      </c>
      <c r="Z1177" t="inlineStr"/>
      <c r="AA1177" t="inlineStr"/>
      <c r="AB1177" t="inlineStr"/>
      <c r="AC1177" t="inlineStr"/>
      <c r="AD1177" t="inlineStr">
        <is>
          <t>לא נמצא בחיפוש ראשוני</t>
        </is>
      </c>
      <c r="AE1177" t="inlineStr">
        <is>
          <t>חיפוש חלקי</t>
        </is>
      </c>
      <c r="AG1177" t="inlineStr"/>
      <c r="AH1177" t="inlineStr"/>
      <c r="AI1177" t="inlineStr">
        <is>
          <t>No result mentions Socorex at all; hits are unrelated Israeli distributor announcements (OpteamX, Militram, Rhenium, Agentek).</t>
        </is>
      </c>
      <c r="AJ1177" t="inlineStr">
        <is>
          <t>+41216516000</t>
        </is>
      </c>
      <c r="AM1177" t="inlineStr">
        <is>
          <t>https://socorex.com/en/contact</t>
        </is>
      </c>
      <c r="AN1177" t="inlineStr">
        <is>
          <t>https://socorex.com/en/contact</t>
        </is>
      </c>
      <c r="AO1177" t="inlineStr">
        <is>
          <t>Q112202793</t>
        </is>
      </c>
      <c r="AP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Y1178" t="inlineStr">
        <is>
          <t>unknown</t>
        </is>
      </c>
      <c r="Z1178" t="inlineStr"/>
      <c r="AA1178" t="inlineStr"/>
      <c r="AB1178" t="inlineStr"/>
      <c r="AC1178" t="inlineStr"/>
      <c r="AD1178" t="inlineStr">
        <is>
          <t>לא נמצא בסריקת המפיצים</t>
        </is>
      </c>
      <c r="AE1178" t="inlineStr">
        <is>
          <t>סריקת אתרי מפיצים</t>
        </is>
      </c>
      <c r="AG1178" t="inlineStr"/>
      <c r="AH1178" t="inlineStr"/>
      <c r="AJ1178" t="inlineStr"/>
      <c r="AP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Y1179" t="inlineStr">
        <is>
          <t>unknown</t>
        </is>
      </c>
      <c r="Z1179" t="inlineStr"/>
      <c r="AA1179" t="inlineStr"/>
      <c r="AB1179" t="inlineStr"/>
      <c r="AC1179" t="inlineStr"/>
      <c r="AD1179" t="inlineStr">
        <is>
          <t>לא נמצא בסריקת המפיצים</t>
        </is>
      </c>
      <c r="AE1179" t="inlineStr">
        <is>
          <t>סריקת אתרי מפיצים</t>
        </is>
      </c>
      <c r="AG1179" t="inlineStr"/>
      <c r="AH1179" t="inlineStr"/>
      <c r="AJ1179" t="inlineStr"/>
      <c r="AP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Y1180" t="inlineStr">
        <is>
          <t>unknown</t>
        </is>
      </c>
      <c r="Z1180" t="inlineStr"/>
      <c r="AA1180" t="inlineStr"/>
      <c r="AB1180" t="inlineStr"/>
      <c r="AC1180" t="inlineStr"/>
      <c r="AD1180" t="inlineStr">
        <is>
          <t>לא נמצא בסריקת המפיצים</t>
        </is>
      </c>
      <c r="AE1180" t="inlineStr">
        <is>
          <t>סריקת אתרי מפיצים</t>
        </is>
      </c>
      <c r="AG1180" t="inlineStr"/>
      <c r="AH1180" t="inlineStr"/>
      <c r="AJ1180" t="inlineStr"/>
      <c r="AO1180" t="inlineStr">
        <is>
          <t>Q131668935</t>
        </is>
      </c>
      <c r="AP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Y1181" t="inlineStr">
        <is>
          <t>unknown</t>
        </is>
      </c>
      <c r="Z1181" t="inlineStr"/>
      <c r="AA1181" t="inlineStr"/>
      <c r="AB1181" t="inlineStr"/>
      <c r="AC1181" t="inlineStr"/>
      <c r="AD1181" t="inlineStr">
        <is>
          <t>לא נמצא בסריקת המפיצים</t>
        </is>
      </c>
      <c r="AE1181" t="inlineStr">
        <is>
          <t>סריקת אתרי מפיצים</t>
        </is>
      </c>
      <c r="AG1181" t="inlineStr"/>
      <c r="AH1181" t="inlineStr"/>
      <c r="AJ1181" t="inlineStr"/>
      <c r="AP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Y1182" t="inlineStr">
        <is>
          <t>unknown</t>
        </is>
      </c>
      <c r="Z1182" t="inlineStr"/>
      <c r="AA1182" t="inlineStr"/>
      <c r="AB1182" t="inlineStr"/>
      <c r="AC1182" t="inlineStr"/>
      <c r="AD1182" t="inlineStr">
        <is>
          <t>לא נמצא בסריקת המפיצים</t>
        </is>
      </c>
      <c r="AE1182" t="inlineStr">
        <is>
          <t>סריקת אתרי מפיצים</t>
        </is>
      </c>
      <c r="AG1182" t="inlineStr"/>
      <c r="AH1182" t="inlineStr"/>
      <c r="AJ1182" t="inlineStr"/>
      <c r="AP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Y1183" t="inlineStr">
        <is>
          <t>unknown</t>
        </is>
      </c>
      <c r="Z1183" t="inlineStr"/>
      <c r="AA1183" t="inlineStr"/>
      <c r="AB1183" t="inlineStr"/>
      <c r="AC1183" t="inlineStr"/>
      <c r="AD1183" t="inlineStr">
        <is>
          <t>לא נמצא בסריקת המפיצים</t>
        </is>
      </c>
      <c r="AE1183" t="inlineStr">
        <is>
          <t>סריקת אתרי מפיצים</t>
        </is>
      </c>
      <c r="AG1183" t="inlineStr"/>
      <c r="AH1183" t="inlineStr"/>
      <c r="AJ1183" t="inlineStr">
        <is>
          <t>+372 740 9960</t>
        </is>
      </c>
      <c r="AK1183" t="inlineStr">
        <is>
          <t>orders@solisbiodyne.com</t>
        </is>
      </c>
      <c r="AM1183" t="inlineStr">
        <is>
          <t>https://solisbiodyne.com/EN/contact-us/contact_us/</t>
        </is>
      </c>
      <c r="AN1183" t="inlineStr">
        <is>
          <t>https://solisbiodyne.com/EN/contact-us/contact_us/</t>
        </is>
      </c>
      <c r="AP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J1184" t="inlineStr"/>
      <c r="Y1184" t="inlineStr">
        <is>
          <t>unknown</t>
        </is>
      </c>
      <c r="Z1184" t="inlineStr"/>
      <c r="AA1184" t="inlineStr"/>
      <c r="AB1184" t="inlineStr"/>
      <c r="AC1184" t="inlineStr"/>
      <c r="AD1184" t="inlineStr">
        <is>
          <t>לא נמצא בסריקת המפיצים</t>
        </is>
      </c>
      <c r="AE1184" t="inlineStr">
        <is>
          <t>סריקת אתרי מפיצים</t>
        </is>
      </c>
      <c r="AG1184" t="inlineStr"/>
      <c r="AH1184" t="inlineStr"/>
      <c r="AJ1184" t="inlineStr"/>
      <c r="AP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Y1185" t="inlineStr">
        <is>
          <t>unknown</t>
        </is>
      </c>
      <c r="Z1185" t="inlineStr"/>
      <c r="AA1185" t="inlineStr"/>
      <c r="AB1185" t="inlineStr"/>
      <c r="AC1185" t="inlineStr"/>
      <c r="AD1185" t="inlineStr">
        <is>
          <t>לא נמצא בסריקת המפיצים</t>
        </is>
      </c>
      <c r="AE1185" t="inlineStr">
        <is>
          <t>סריקת אתרי מפיצים</t>
        </is>
      </c>
      <c r="AG1185" t="inlineStr"/>
      <c r="AH1185" t="inlineStr"/>
      <c r="AJ1185" t="inlineStr"/>
      <c r="AP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Y1186" t="inlineStr">
        <is>
          <t>unknown</t>
        </is>
      </c>
      <c r="Z1186" t="inlineStr"/>
      <c r="AA1186" t="inlineStr"/>
      <c r="AB1186" t="inlineStr"/>
      <c r="AC1186" t="inlineStr"/>
      <c r="AD1186" t="inlineStr">
        <is>
          <t>לא נמצא בסריקת המפיצים</t>
        </is>
      </c>
      <c r="AE1186" t="inlineStr">
        <is>
          <t>סריקת אתרי מפיצים</t>
        </is>
      </c>
      <c r="AG1186" t="inlineStr"/>
      <c r="AH1186" t="inlineStr"/>
      <c r="AJ1186" t="inlineStr">
        <is>
          <t>2032704600</t>
        </is>
      </c>
      <c r="AK1186" t="inlineStr">
        <is>
          <t>info@sonics.com</t>
        </is>
      </c>
      <c r="AM1186" t="inlineStr">
        <is>
          <t>https://sonics.com/contact-general/</t>
        </is>
      </c>
      <c r="AN1186" t="inlineStr">
        <is>
          <t>https://sonics.com/contact-general/</t>
        </is>
      </c>
      <c r="AP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clearbit_verified</t>
        </is>
      </c>
      <c r="J1187" t="inlineStr"/>
      <c r="Y1187" t="inlineStr">
        <is>
          <t>unknown</t>
        </is>
      </c>
      <c r="Z1187" t="inlineStr"/>
      <c r="AA1187" t="inlineStr"/>
      <c r="AB1187" t="inlineStr"/>
      <c r="AC1187" t="inlineStr"/>
      <c r="AD1187" t="inlineStr">
        <is>
          <t>לא נמצא בסריקת המפיצים</t>
        </is>
      </c>
      <c r="AE1187" t="inlineStr">
        <is>
          <t>סריקת אתרי מפיצים</t>
        </is>
      </c>
      <c r="AG1187" t="inlineStr"/>
      <c r="AH1187" t="inlineStr"/>
      <c r="AJ1187" t="inlineStr">
        <is>
          <t>1-800-377-2692</t>
        </is>
      </c>
      <c r="AM1187" t="inlineStr">
        <is>
          <t>https://www.sonoco.com/na/contact</t>
        </is>
      </c>
      <c r="AN1187" t="inlineStr">
        <is>
          <t>https://www.sonoco.com/na/contact</t>
        </is>
      </c>
      <c r="AP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Y1188" t="inlineStr">
        <is>
          <t>unknown</t>
        </is>
      </c>
      <c r="Z1188" t="inlineStr"/>
      <c r="AA1188" t="inlineStr"/>
      <c r="AB1188" t="inlineStr"/>
      <c r="AC1188" t="inlineStr"/>
      <c r="AD1188" t="inlineStr">
        <is>
          <t>לא נמצא בסריקת המפיצים</t>
        </is>
      </c>
      <c r="AE1188" t="inlineStr">
        <is>
          <t>סריקת אתרי מפיצים</t>
        </is>
      </c>
      <c r="AG1188" t="inlineStr"/>
      <c r="AH1188" t="inlineStr"/>
      <c r="AJ1188" t="inlineStr">
        <is>
          <t>18775572227</t>
        </is>
      </c>
      <c r="AK1188" t="inlineStr">
        <is>
          <t>support@captioncall.com</t>
        </is>
      </c>
      <c r="AM1188" t="inlineStr">
        <is>
          <t>https://sorenson.com/company/contact-sorenson/</t>
        </is>
      </c>
      <c r="AN1188" t="inlineStr">
        <is>
          <t>https://sorenson.com/company/contact-sorenson/</t>
        </is>
      </c>
      <c r="AP1188" t="inlineStr">
        <is>
          <t>https://www.thomassci.com/browse-by/suppliers/sorenson | https://sorenson.com/company/contact-sorenson/</t>
        </is>
      </c>
    </row>
    <row r="1189">
      <c r="A1189" t="n">
        <v>1188</v>
      </c>
      <c r="B1189" t="inlineStr">
        <is>
          <t>Sorifa</t>
        </is>
      </c>
      <c r="C1189" t="inlineStr">
        <is>
          <t>D</t>
        </is>
      </c>
      <c r="D1189" t="inlineStr">
        <is>
          <t>https://www.dutscher.com/search?initialFilters=brand:Sorifa</t>
        </is>
      </c>
      <c r="F1189" t="inlineStr"/>
      <c r="J1189" t="inlineStr"/>
      <c r="Y1189" t="inlineStr">
        <is>
          <t>unknown</t>
        </is>
      </c>
      <c r="Z1189" t="inlineStr"/>
      <c r="AA1189" t="inlineStr"/>
      <c r="AB1189" t="inlineStr"/>
      <c r="AC1189" t="inlineStr"/>
      <c r="AD1189" t="inlineStr">
        <is>
          <t>לא נמצא בסריקת המפיצים</t>
        </is>
      </c>
      <c r="AE1189" t="inlineStr">
        <is>
          <t>סריקת אתרי מפיצים</t>
        </is>
      </c>
      <c r="AG1189" t="inlineStr"/>
      <c r="AH1189" t="inlineStr"/>
      <c r="AJ1189" t="inlineStr"/>
      <c r="AP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Y1190" t="inlineStr">
        <is>
          <t>unknown</t>
        </is>
      </c>
      <c r="Z1190" t="inlineStr"/>
      <c r="AA1190" t="inlineStr"/>
      <c r="AB1190" t="inlineStr"/>
      <c r="AC1190" t="inlineStr"/>
      <c r="AD1190" t="inlineStr">
        <is>
          <t>לא נמצא בחיפוש ראשוני</t>
        </is>
      </c>
      <c r="AE1190" t="inlineStr">
        <is>
          <t>חיפוש חלקי</t>
        </is>
      </c>
      <c r="AG1190" t="inlineStr"/>
      <c r="AH1190" t="inlineStr"/>
      <c r="AI1190" t="inlineStr">
        <is>
          <t>No result connected SouthernBiotech to an Israeli distributor; Enco's listed brands do not include it.</t>
        </is>
      </c>
      <c r="AJ1190" t="inlineStr"/>
      <c r="AP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O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Y1191" t="inlineStr">
        <is>
          <t>unknown</t>
        </is>
      </c>
      <c r="Z1191" t="inlineStr"/>
      <c r="AA1191" t="inlineStr"/>
      <c r="AB1191" t="inlineStr"/>
      <c r="AC1191" t="inlineStr"/>
      <c r="AD1191" t="inlineStr">
        <is>
          <t>לא נמצא בחיפוש ראשוני</t>
        </is>
      </c>
      <c r="AE1191" t="inlineStr">
        <is>
          <t>חיפוש חלקי</t>
        </is>
      </c>
      <c r="AG1191" t="inlineStr"/>
      <c r="AH1191" t="inlineStr"/>
      <c r="AI1191" t="inlineStr">
        <is>
          <t>Only overseas resellers in South Africa/NZ/India/Australia and Fisher listings; no Israel mention.</t>
        </is>
      </c>
      <c r="AJ1191" t="inlineStr">
        <is>
          <t>18004235278</t>
        </is>
      </c>
      <c r="AM1191" t="inlineStr">
        <is>
          <t>https://belart.com/contact/</t>
        </is>
      </c>
      <c r="AN1191" t="inlineStr">
        <is>
          <t>https://belart.com/contact/</t>
        </is>
      </c>
      <c r="AP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Y1192" t="inlineStr">
        <is>
          <t>unknown</t>
        </is>
      </c>
      <c r="Z1192" t="inlineStr"/>
      <c r="AA1192" t="inlineStr"/>
      <c r="AB1192" t="inlineStr"/>
      <c r="AC1192" t="inlineStr"/>
      <c r="AD1192" t="inlineStr">
        <is>
          <t>לא נמצא בסריקת המפיצים</t>
        </is>
      </c>
      <c r="AE1192" t="inlineStr">
        <is>
          <t>סריקת אתרי מפיצים</t>
        </is>
      </c>
      <c r="AG1192" t="inlineStr"/>
      <c r="AH1192" t="inlineStr"/>
      <c r="AJ1192" t="inlineStr"/>
      <c r="AP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Y1193" t="inlineStr">
        <is>
          <t>unknown</t>
        </is>
      </c>
      <c r="Z1193" t="inlineStr"/>
      <c r="AA1193" t="inlineStr"/>
      <c r="AB1193" t="inlineStr"/>
      <c r="AC1193" t="inlineStr"/>
      <c r="AD1193" t="inlineStr">
        <is>
          <t>לא נמצא בסריקת המפיצים</t>
        </is>
      </c>
      <c r="AE1193" t="inlineStr">
        <is>
          <t>סריקת אתרי מפיצים</t>
        </is>
      </c>
      <c r="AG1193" t="inlineStr"/>
      <c r="AH1193" t="inlineStr"/>
      <c r="AJ1193" t="inlineStr">
        <is>
          <t>+44 (0) 1689 873 134</t>
        </is>
      </c>
      <c r="AK1193" t="inlineStr">
        <is>
          <t>sales@specac.co.uk</t>
        </is>
      </c>
      <c r="AM1193" t="inlineStr">
        <is>
          <t>https://specac.com/contact-us/</t>
        </is>
      </c>
      <c r="AN1193" t="inlineStr">
        <is>
          <t>https://specac.com/contact-us/</t>
        </is>
      </c>
      <c r="AP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Y1194" t="inlineStr">
        <is>
          <t>unknown</t>
        </is>
      </c>
      <c r="Z1194" t="inlineStr"/>
      <c r="AA1194" t="inlineStr"/>
      <c r="AB1194" t="inlineStr"/>
      <c r="AC1194" t="inlineStr"/>
      <c r="AD1194" t="inlineStr">
        <is>
          <t>לא נמצא בסריקת המפיצים</t>
        </is>
      </c>
      <c r="AE1194" t="inlineStr">
        <is>
          <t>סריקת אתרי מפיצים</t>
        </is>
      </c>
      <c r="AG1194" t="inlineStr"/>
      <c r="AH1194" t="inlineStr"/>
      <c r="AJ1194" t="inlineStr">
        <is>
          <t>18002748888</t>
        </is>
      </c>
      <c r="AK1194" t="inlineStr">
        <is>
          <t>marketing@spectroline.com</t>
        </is>
      </c>
      <c r="AM1194" t="inlineStr">
        <is>
          <t>https://spectroline.com/contact/</t>
        </is>
      </c>
      <c r="AN1194" t="inlineStr">
        <is>
          <t>https://spectroline.com/contact/</t>
        </is>
      </c>
      <c r="AP1194" t="inlineStr">
        <is>
          <t>https://www.thomassci.com/browse-by/suppliers/spectronics | https://spectroline.com/contact/</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Y1195" t="inlineStr">
        <is>
          <t>unknown</t>
        </is>
      </c>
      <c r="Z1195" t="inlineStr"/>
      <c r="AA1195" t="inlineStr"/>
      <c r="AB1195" t="inlineStr"/>
      <c r="AC1195" t="inlineStr"/>
      <c r="AD1195" t="inlineStr">
        <is>
          <t>לא נמצא בסריקת המפיצים</t>
        </is>
      </c>
      <c r="AE1195" t="inlineStr">
        <is>
          <t>סריקת אתרי מפיצים</t>
        </is>
      </c>
      <c r="AG1195" t="inlineStr"/>
      <c r="AH1195" t="inlineStr"/>
      <c r="AJ1195" t="inlineStr"/>
      <c r="AP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Y1196" t="inlineStr">
        <is>
          <t>unknown</t>
        </is>
      </c>
      <c r="Z1196" t="inlineStr"/>
      <c r="AA1196" t="inlineStr"/>
      <c r="AB1196" t="inlineStr"/>
      <c r="AC1196" t="inlineStr"/>
      <c r="AD1196" t="inlineStr">
        <is>
          <t>לא ברור</t>
        </is>
      </c>
      <c r="AE1196" t="inlineStr">
        <is>
          <t>חיפוש חלקי</t>
        </is>
      </c>
      <c r="AG1196" t="inlineStr"/>
      <c r="AH1196" t="inlineStr"/>
      <c r="AI1196" t="inlineStr">
        <is>
          <t>Spectrum's distributor page has a 'Worldwide' locator (partners in 70 countries) but country entries were not visible in results; USA distributor page lists Cole-Parmer, Fisher, Grainger, Quartzy, VWR; no Israeli distributor named.</t>
        </is>
      </c>
      <c r="AJ1196" t="inlineStr"/>
      <c r="AP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Y1197" t="inlineStr">
        <is>
          <t>unknown</t>
        </is>
      </c>
      <c r="Z1197" t="inlineStr"/>
      <c r="AA1197" t="inlineStr"/>
      <c r="AB1197" t="inlineStr"/>
      <c r="AC1197" t="inlineStr"/>
      <c r="AD1197" t="inlineStr">
        <is>
          <t>לא נמצא בסריקת המפיצים</t>
        </is>
      </c>
      <c r="AE1197" t="inlineStr">
        <is>
          <t>סריקת אתרי מפיצים</t>
        </is>
      </c>
      <c r="AG1197" t="inlineStr"/>
      <c r="AH1197" t="inlineStr"/>
      <c r="AJ1197" t="inlineStr"/>
      <c r="AP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Y1198" t="inlineStr">
        <is>
          <t>unknown</t>
        </is>
      </c>
      <c r="Z1198" t="inlineStr"/>
      <c r="AA1198" t="inlineStr"/>
      <c r="AB1198" t="inlineStr"/>
      <c r="AC1198" t="inlineStr"/>
      <c r="AD1198" t="inlineStr">
        <is>
          <t>לא נמצא בסריקת המפיצים</t>
        </is>
      </c>
      <c r="AE1198" t="inlineStr">
        <is>
          <t>סריקת אתרי מפיצים</t>
        </is>
      </c>
      <c r="AG1198" t="inlineStr"/>
      <c r="AH1198" t="inlineStr"/>
      <c r="AJ1198" t="inlineStr">
        <is>
          <t>+1.480.948.4448</t>
        </is>
      </c>
      <c r="AK1198" t="inlineStr">
        <is>
          <t>support@sperdirect.com</t>
        </is>
      </c>
      <c r="AM1198" t="inlineStr">
        <is>
          <t>https://sperdirect.com/pages/contact-us</t>
        </is>
      </c>
      <c r="AN1198" t="inlineStr">
        <is>
          <t>https://sperdirect.com/pages/contact-us</t>
        </is>
      </c>
      <c r="AP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Y1199" t="inlineStr">
        <is>
          <t>unknown</t>
        </is>
      </c>
      <c r="Z1199" t="inlineStr"/>
      <c r="AA1199" t="inlineStr"/>
      <c r="AB1199" t="inlineStr"/>
      <c r="AC1199" t="inlineStr"/>
      <c r="AD1199" t="inlineStr">
        <is>
          <t>לא נמצא בסריקת המפיצים</t>
        </is>
      </c>
      <c r="AE1199" t="inlineStr">
        <is>
          <t>סריקת אתרי מפיצים</t>
        </is>
      </c>
      <c r="AG1199" t="inlineStr"/>
      <c r="AH1199" t="inlineStr"/>
      <c r="AJ1199" t="inlineStr"/>
      <c r="AP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Y1200" t="inlineStr">
        <is>
          <t>unknown</t>
        </is>
      </c>
      <c r="Z1200" t="inlineStr"/>
      <c r="AA1200" t="inlineStr"/>
      <c r="AB1200" t="inlineStr"/>
      <c r="AC1200" t="inlineStr"/>
      <c r="AD1200" t="inlineStr">
        <is>
          <t>לא נמצא בחיפוש ראשוני</t>
        </is>
      </c>
      <c r="AE1200" t="inlineStr">
        <is>
          <t>חיפוש חלקי</t>
        </is>
      </c>
      <c r="AG1200" t="inlineStr"/>
      <c r="AH1200" t="inlineStr"/>
      <c r="AI1200" t="inlineStr">
        <is>
          <t>SPEX CertiPrep (Metuchen NJ; UK subsidiary) works through worldwide distributors; none named for Israel in results.</t>
        </is>
      </c>
      <c r="AJ1200" t="inlineStr"/>
      <c r="AP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Y1201" t="inlineStr">
        <is>
          <t>unknown</t>
        </is>
      </c>
      <c r="Z1201" t="inlineStr"/>
      <c r="AA1201" t="inlineStr"/>
      <c r="AB1201" t="inlineStr"/>
      <c r="AC1201" t="inlineStr"/>
      <c r="AD1201" t="inlineStr">
        <is>
          <t>לא נמצא בחיפוש ראשוני</t>
        </is>
      </c>
      <c r="AE1201" t="inlineStr">
        <is>
          <t>חיפוש חלקי</t>
        </is>
      </c>
      <c r="AG1201" t="inlineStr"/>
      <c r="AH1201" t="inlineStr"/>
      <c r="AI1201" t="inlineStr">
        <is>
          <t>Only Australia/NZ distributor (John Morris Group) and US listings; no Israel mention.</t>
        </is>
      </c>
      <c r="AJ1201" t="inlineStr">
        <is>
          <t>+1.732.623.0465</t>
        </is>
      </c>
      <c r="AM1201" t="inlineStr">
        <is>
          <t>https://www.cpsampleprep.com/contactus</t>
        </is>
      </c>
      <c r="AN1201" t="inlineStr">
        <is>
          <t>https://www.cpsampleprep.com/contactus</t>
        </is>
      </c>
      <c r="AP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Y1202" t="inlineStr">
        <is>
          <t>unknown</t>
        </is>
      </c>
      <c r="Z1202" t="inlineStr"/>
      <c r="AA1202" t="inlineStr"/>
      <c r="AB1202" t="inlineStr"/>
      <c r="AC1202" t="inlineStr"/>
      <c r="AD1202" t="inlineStr">
        <is>
          <t>לא נמצא בסריקת המפיצים</t>
        </is>
      </c>
      <c r="AE1202" t="inlineStr">
        <is>
          <t>סריקת אתרי מפיצים</t>
        </is>
      </c>
      <c r="AG1202" t="inlineStr"/>
      <c r="AH1202" t="inlineStr"/>
      <c r="AJ1202" t="inlineStr"/>
      <c r="AP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Y1203" t="inlineStr">
        <is>
          <t>unknown</t>
        </is>
      </c>
      <c r="Z1203" t="inlineStr"/>
      <c r="AA1203" t="inlineStr"/>
      <c r="AB1203" t="inlineStr"/>
      <c r="AC1203" t="inlineStr"/>
      <c r="AD1203" t="inlineStr">
        <is>
          <t>לא נמצא בסריקת המפיצים</t>
        </is>
      </c>
      <c r="AE1203" t="inlineStr">
        <is>
          <t>סריקת אתרי מפיצים</t>
        </is>
      </c>
      <c r="AG1203" t="inlineStr"/>
      <c r="AH1203" t="inlineStr"/>
      <c r="AJ1203" t="inlineStr"/>
      <c r="AP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Y1204" t="inlineStr">
        <is>
          <t>unknown</t>
        </is>
      </c>
      <c r="Z1204" t="inlineStr"/>
      <c r="AA1204" t="inlineStr"/>
      <c r="AB1204" t="inlineStr"/>
      <c r="AC1204" t="inlineStr"/>
      <c r="AD1204" t="inlineStr">
        <is>
          <t>לא נמצא בסריקת המפיצים</t>
        </is>
      </c>
      <c r="AE1204" t="inlineStr">
        <is>
          <t>סריקת אתרי מפיצים</t>
        </is>
      </c>
      <c r="AG1204" t="inlineStr"/>
      <c r="AH1204" t="inlineStr"/>
      <c r="AJ1204" t="inlineStr"/>
      <c r="AM1204" t="inlineStr">
        <is>
          <t>https://www.spraynine.com/contact-us/</t>
        </is>
      </c>
      <c r="AN1204" t="inlineStr">
        <is>
          <t>https://www.spraynine.com/contact-us/</t>
        </is>
      </c>
      <c r="AP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Y1205" t="inlineStr">
        <is>
          <t>unknown</t>
        </is>
      </c>
      <c r="Z1205" t="inlineStr"/>
      <c r="AA1205" t="inlineStr"/>
      <c r="AB1205" t="inlineStr"/>
      <c r="AC1205" t="inlineStr"/>
      <c r="AD1205" t="inlineStr">
        <is>
          <t>לא נמצא בסריקת המפיצים</t>
        </is>
      </c>
      <c r="AE1205" t="inlineStr">
        <is>
          <t>סריקת אתרי מפיצים</t>
        </is>
      </c>
      <c r="AG1205" t="inlineStr"/>
      <c r="AH1205" t="inlineStr"/>
      <c r="AJ1205" t="inlineStr">
        <is>
          <t>1-209-333-2120</t>
        </is>
      </c>
      <c r="AK1205" t="inlineStr">
        <is>
          <t>support@denverwebsitedesigns.com</t>
        </is>
      </c>
      <c r="AM1205" t="inlineStr">
        <is>
          <t>https://www.ssibio.com/contact-us</t>
        </is>
      </c>
      <c r="AN1205" t="inlineStr">
        <is>
          <t>https://www.ssibio.com/contact-us</t>
        </is>
      </c>
      <c r="AP1205" t="inlineStr">
        <is>
          <t>https://www.thomassci.com/browse-by/suppliers/ssi | https://www.ssibio.com/contact-us</t>
        </is>
      </c>
    </row>
    <row r="1206">
      <c r="A1206" t="n">
        <v>1205</v>
      </c>
      <c r="B1206" t="inlineStr">
        <is>
          <t>Stanley</t>
        </is>
      </c>
      <c r="C1206" t="inlineStr">
        <is>
          <t>T</t>
        </is>
      </c>
      <c r="E1206" t="inlineStr">
        <is>
          <t>https://www.thomassci.com/browse-by/suppliers/stanley</t>
        </is>
      </c>
      <c r="F1206" t="inlineStr"/>
      <c r="J1206" t="inlineStr"/>
      <c r="Y1206" t="inlineStr">
        <is>
          <t>unknown</t>
        </is>
      </c>
      <c r="Z1206" t="inlineStr"/>
      <c r="AA1206" t="inlineStr"/>
      <c r="AB1206" t="inlineStr"/>
      <c r="AC1206" t="inlineStr"/>
      <c r="AD1206" t="inlineStr">
        <is>
          <t>לא נמצא בסריקת המפיצים</t>
        </is>
      </c>
      <c r="AE1206" t="inlineStr">
        <is>
          <t>סריקת אתרי מפיצים</t>
        </is>
      </c>
      <c r="AG1206" t="inlineStr"/>
      <c r="AH1206" t="inlineStr"/>
      <c r="AJ1206" t="inlineStr"/>
      <c r="AP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clearbit_verified</t>
        </is>
      </c>
      <c r="J1207" t="inlineStr"/>
      <c r="Y1207" t="inlineStr">
        <is>
          <t>unknown</t>
        </is>
      </c>
      <c r="Z1207" t="inlineStr"/>
      <c r="AA1207" t="inlineStr"/>
      <c r="AB1207" t="inlineStr"/>
      <c r="AC1207" t="inlineStr"/>
      <c r="AD1207" t="inlineStr">
        <is>
          <t>לא נמצא בסריקת המפיצים</t>
        </is>
      </c>
      <c r="AE1207" t="inlineStr">
        <is>
          <t>סריקת אתרי מפיצים</t>
        </is>
      </c>
      <c r="AG1207" t="inlineStr"/>
      <c r="AH1207" t="inlineStr"/>
      <c r="AJ1207" t="inlineStr"/>
      <c r="AN1207" t="inlineStr">
        <is>
          <t>https://www.staples.com/</t>
        </is>
      </c>
      <c r="AP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Y1208" t="inlineStr">
        <is>
          <t>unknown</t>
        </is>
      </c>
      <c r="Z1208" t="inlineStr"/>
      <c r="AA1208" t="inlineStr"/>
      <c r="AB1208" t="inlineStr"/>
      <c r="AC1208" t="inlineStr"/>
      <c r="AD1208" t="inlineStr">
        <is>
          <t>לא נמצא בסריקת המפיצים</t>
        </is>
      </c>
      <c r="AE1208" t="inlineStr">
        <is>
          <t>סריקת אתרי מפיצים</t>
        </is>
      </c>
      <c r="AG1208" t="inlineStr"/>
      <c r="AH1208" t="inlineStr"/>
      <c r="AJ1208" t="inlineStr"/>
      <c r="AP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Y1209" t="inlineStr">
        <is>
          <t>unknown</t>
        </is>
      </c>
      <c r="Z1209" t="inlineStr"/>
      <c r="AA1209" t="inlineStr"/>
      <c r="AB1209" t="inlineStr"/>
      <c r="AC1209" t="inlineStr"/>
      <c r="AD1209" t="inlineStr">
        <is>
          <t>לא נמצא בסריקת המפיצים</t>
        </is>
      </c>
      <c r="AE1209" t="inlineStr">
        <is>
          <t>סריקת אתרי מפיצים</t>
        </is>
      </c>
      <c r="AG1209" t="inlineStr"/>
      <c r="AH1209" t="inlineStr"/>
      <c r="AJ1209" t="inlineStr">
        <is>
          <t>1-800-665-0954</t>
        </is>
      </c>
      <c r="AM1209" t="inlineStr">
        <is>
          <t>https://starplexscientific.com/contact-us/</t>
        </is>
      </c>
      <c r="AN1209" t="inlineStr">
        <is>
          <t>https://starplexscientific.com/contact-us/</t>
        </is>
      </c>
      <c r="AP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Y1210" t="inlineStr">
        <is>
          <t>unknown</t>
        </is>
      </c>
      <c r="Z1210" t="inlineStr"/>
      <c r="AA1210" t="inlineStr"/>
      <c r="AB1210" t="inlineStr"/>
      <c r="AC1210" t="inlineStr"/>
      <c r="AD1210" t="inlineStr">
        <is>
          <t>לא נמצא בסריקת המפיצים</t>
        </is>
      </c>
      <c r="AE1210" t="inlineStr">
        <is>
          <t>סריקת אתרי מפיצים</t>
        </is>
      </c>
      <c r="AG1210" t="inlineStr"/>
      <c r="AH1210" t="inlineStr"/>
      <c r="AJ1210" t="inlineStr">
        <is>
          <t>1-800-442-3573</t>
        </is>
      </c>
      <c r="AN1210" t="inlineStr">
        <is>
          <t>https://statlab.com/</t>
        </is>
      </c>
      <c r="AP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Y1211" t="inlineStr">
        <is>
          <t>unknown</t>
        </is>
      </c>
      <c r="Z1211" t="inlineStr"/>
      <c r="AA1211" t="inlineStr"/>
      <c r="AB1211" t="inlineStr"/>
      <c r="AC1211" t="inlineStr"/>
      <c r="AD1211" t="inlineStr">
        <is>
          <t>מפיץ/נציג בישראל</t>
        </is>
      </c>
      <c r="AE1211" t="inlineStr">
        <is>
          <t>חיפוש חלקי</t>
        </is>
      </c>
      <c r="AF1211" t="n">
        <v>2026</v>
      </c>
      <c r="AG1211" t="inlineStr">
        <is>
          <t>Enco Scientific Services Ltd. (Enco Diagnostics)</t>
        </is>
      </c>
      <c r="AH1211" t="inlineStr">
        <is>
          <t>Enco Scientific Services Ltd. (Enco Diagnostics):</t>
        </is>
      </c>
      <c r="AJ1211" t="inlineStr">
        <is>
          <t>+1 604 877 0713</t>
        </is>
      </c>
      <c r="AK1211" t="inlineStr">
        <is>
          <t>info@stemcell.com</t>
        </is>
      </c>
      <c r="AM1211" t="inlineStr">
        <is>
          <t>https://www.stemcell.com/contact-us</t>
        </is>
      </c>
      <c r="AN1211" t="inlineStr">
        <is>
          <t>https://www.stemcell.com/contact-us</t>
        </is>
      </c>
      <c r="AP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Y1212" t="inlineStr">
        <is>
          <t>unknown</t>
        </is>
      </c>
      <c r="Z1212" t="inlineStr"/>
      <c r="AA1212" t="inlineStr"/>
      <c r="AB1212" t="inlineStr"/>
      <c r="AC1212" t="inlineStr"/>
      <c r="AD1212" t="inlineStr">
        <is>
          <t>לא נמצא בסריקת המפיצים</t>
        </is>
      </c>
      <c r="AE1212" t="inlineStr">
        <is>
          <t>סריקת אתרי מפיצים</t>
        </is>
      </c>
      <c r="AG1212" t="inlineStr"/>
      <c r="AH1212" t="inlineStr"/>
      <c r="AJ1212" t="inlineStr">
        <is>
          <t>+39 031 592064</t>
        </is>
      </c>
      <c r="AK1212" t="inlineStr">
        <is>
          <t>info@steriline.it</t>
        </is>
      </c>
      <c r="AM1212" t="inlineStr">
        <is>
          <t>https://www.steriline.it/en/contacts/</t>
        </is>
      </c>
      <c r="AN1212" t="inlineStr">
        <is>
          <t>https://www.steriline.it/en/contacts/</t>
        </is>
      </c>
      <c r="AP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clearbit_verified</t>
        </is>
      </c>
      <c r="J1213" t="inlineStr"/>
      <c r="Y1213" t="inlineStr">
        <is>
          <t>unknown</t>
        </is>
      </c>
      <c r="Z1213" t="inlineStr"/>
      <c r="AA1213" t="inlineStr"/>
      <c r="AB1213" t="inlineStr"/>
      <c r="AC1213" t="inlineStr"/>
      <c r="AD1213" t="inlineStr">
        <is>
          <t>לא נמצא בסריקת המפיצים</t>
        </is>
      </c>
      <c r="AE1213" t="inlineStr">
        <is>
          <t>סריקת אתרי מפיצים</t>
        </is>
      </c>
      <c r="AG1213" t="inlineStr"/>
      <c r="AH1213" t="inlineStr"/>
      <c r="AJ1213" t="inlineStr">
        <is>
          <t>440.354.2600</t>
        </is>
      </c>
      <c r="AM1213" t="inlineStr">
        <is>
          <t>https://www.steris.com/contact/contact-information</t>
        </is>
      </c>
      <c r="AN1213" t="inlineStr">
        <is>
          <t>https://www.steris.com/contact/contact-information</t>
        </is>
      </c>
      <c r="AP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Y1214" t="inlineStr">
        <is>
          <t>unknown</t>
        </is>
      </c>
      <c r="Z1214" t="inlineStr"/>
      <c r="AA1214" t="inlineStr"/>
      <c r="AB1214" t="inlineStr"/>
      <c r="AC1214" t="inlineStr"/>
      <c r="AD1214" t="inlineStr">
        <is>
          <t>לא נמצא בחיפוש ראשוני</t>
        </is>
      </c>
      <c r="AE1214" t="inlineStr">
        <is>
          <t>חיפוש חלקי</t>
        </is>
      </c>
      <c r="AG1214" t="inlineStr"/>
      <c r="AH1214" t="inlineStr"/>
      <c r="AI1214" t="inlineStr">
        <is>
          <t>Sterlitech (Kent, WA) claims customers in 125+ countries; no Israeli distributor named; Agentek appeared only as a generic Israeli distributor with no Sterlitech link.</t>
        </is>
      </c>
      <c r="AJ1214" t="inlineStr">
        <is>
          <t>18775444420</t>
        </is>
      </c>
      <c r="AK1214" t="inlineStr">
        <is>
          <t>sales@sterlitech.com</t>
        </is>
      </c>
      <c r="AM1214" t="inlineStr">
        <is>
          <t>https://www.sterlitech.com/contact-us</t>
        </is>
      </c>
      <c r="AN1214" t="inlineStr">
        <is>
          <t>https://www.sterlitech.com/contact-us</t>
        </is>
      </c>
      <c r="AP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Y1215" t="inlineStr">
        <is>
          <t>unknown</t>
        </is>
      </c>
      <c r="Z1215" t="inlineStr"/>
      <c r="AA1215" t="inlineStr"/>
      <c r="AB1215" t="inlineStr"/>
      <c r="AC1215" t="inlineStr"/>
      <c r="AD1215" t="inlineStr">
        <is>
          <t>לא נמצא בסריקת המפיצים</t>
        </is>
      </c>
      <c r="AE1215" t="inlineStr">
        <is>
          <t>סריקת אתרי מפיצים</t>
        </is>
      </c>
      <c r="AG1215" t="inlineStr"/>
      <c r="AH1215" t="inlineStr"/>
      <c r="AJ1215" t="inlineStr"/>
      <c r="AN1215" t="inlineStr">
        <is>
          <t>https://stimpson.com/</t>
        </is>
      </c>
      <c r="AP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Y1216" t="inlineStr">
        <is>
          <t>unknown</t>
        </is>
      </c>
      <c r="Z1216" t="inlineStr"/>
      <c r="AA1216" t="inlineStr"/>
      <c r="AB1216" t="inlineStr"/>
      <c r="AC1216" t="inlineStr"/>
      <c r="AD1216" t="inlineStr">
        <is>
          <t>לא נמצא בסריקת המפיצים</t>
        </is>
      </c>
      <c r="AE1216" t="inlineStr">
        <is>
          <t>סריקת אתרי מפיצים</t>
        </is>
      </c>
      <c r="AG1216" t="inlineStr"/>
      <c r="AH1216" t="inlineStr"/>
      <c r="AJ1216" t="inlineStr"/>
      <c r="AP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Y1217" t="inlineStr">
        <is>
          <t>unknown</t>
        </is>
      </c>
      <c r="Z1217" t="inlineStr"/>
      <c r="AA1217" t="inlineStr"/>
      <c r="AB1217" t="inlineStr"/>
      <c r="AC1217" t="inlineStr"/>
      <c r="AD1217" t="inlineStr">
        <is>
          <t>לא נמצא בסריקת המפיצים</t>
        </is>
      </c>
      <c r="AE1217" t="inlineStr">
        <is>
          <t>סריקת אתרי מפיצים</t>
        </is>
      </c>
      <c r="AG1217" t="inlineStr"/>
      <c r="AH1217" t="inlineStr"/>
      <c r="AJ1217" t="inlineStr"/>
      <c r="AP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Y1218" t="inlineStr">
        <is>
          <t>unknown</t>
        </is>
      </c>
      <c r="Z1218" t="inlineStr"/>
      <c r="AA1218" t="inlineStr"/>
      <c r="AB1218" t="inlineStr"/>
      <c r="AC1218" t="inlineStr"/>
      <c r="AD1218" t="inlineStr">
        <is>
          <t>לא נמצא בסריקת המפיצים</t>
        </is>
      </c>
      <c r="AE1218" t="inlineStr">
        <is>
          <t>סריקת אתרי מפיצים</t>
        </is>
      </c>
      <c r="AG1218" t="inlineStr"/>
      <c r="AH1218" t="inlineStr"/>
      <c r="AJ1218" t="inlineStr"/>
      <c r="AP1218" t="inlineStr">
        <is>
          <t>https://www.thomassci.com/browse-by/suppliers/streamlight</t>
        </is>
      </c>
    </row>
    <row r="1219">
      <c r="A1219" t="n">
        <v>1218</v>
      </c>
      <c r="B1219" t="inlineStr">
        <is>
          <t>Strem Chemicals</t>
        </is>
      </c>
      <c r="C1219" t="inlineStr">
        <is>
          <t>Q</t>
        </is>
      </c>
      <c r="F1219" t="inlineStr">
        <is>
          <t>yes</t>
        </is>
      </c>
      <c r="J1219" t="inlineStr"/>
      <c r="Y1219" t="inlineStr">
        <is>
          <t>unknown</t>
        </is>
      </c>
      <c r="Z1219" t="inlineStr"/>
      <c r="AA1219" t="inlineStr"/>
      <c r="AB1219" t="inlineStr"/>
      <c r="AC1219" t="inlineStr"/>
      <c r="AD1219" t="inlineStr">
        <is>
          <t>לא נמצא בסריקת המפיצים</t>
        </is>
      </c>
      <c r="AE1219" t="inlineStr">
        <is>
          <t>סריקת אתרי מפיצים</t>
        </is>
      </c>
      <c r="AG1219" t="inlineStr"/>
      <c r="AH1219" t="inlineStr"/>
      <c r="AJ1219" t="inlineStr"/>
      <c r="AP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P1220" t="n">
        <v>2000</v>
      </c>
      <c r="Q1220" t="n">
        <v>2024</v>
      </c>
      <c r="R1220" t="inlineStr">
        <is>
          <t>estimate</t>
        </is>
      </c>
      <c r="S1220" t="inlineStr">
        <is>
          <t>prior</t>
        </is>
      </c>
      <c r="T1220" t="n">
        <v>400</v>
      </c>
      <c r="U1220" t="inlineStr">
        <is>
          <t>approx. USD 400 million (third-party directory estimate)</t>
        </is>
      </c>
      <c r="V1220" t="inlineStr">
        <is>
          <t>n/a (directory estimate seen Oct 2026)</t>
        </is>
      </c>
      <c r="W1220" t="inlineStr">
        <is>
          <t>estimate</t>
        </is>
      </c>
      <c r="X1220" t="inlineStr">
        <is>
          <t>prior</t>
        </is>
      </c>
      <c r="Y1220" t="inlineStr">
        <is>
          <t>estimate</t>
        </is>
      </c>
      <c r="Z1220" t="inlineStr">
        <is>
          <t>Jenway spectrophotometers</t>
        </is>
      </c>
      <c r="AA1220" t="inlineStr">
        <is>
          <t>Environmental Express HotBlock</t>
        </is>
      </c>
      <c r="AB1220" t="inlineStr">
        <is>
          <t>Stuart / Techne benchtop equipment</t>
        </is>
      </c>
      <c r="AC1220" t="inlineStr">
        <is>
          <t>prior</t>
        </is>
      </c>
      <c r="AD1220" t="inlineStr">
        <is>
          <t>מפיץ/נציג בישראל</t>
        </is>
      </c>
      <c r="AE1220" t="inlineStr">
        <is>
          <t>אומת</t>
        </is>
      </c>
      <c r="AF1220" t="n">
        <v>2026</v>
      </c>
      <c r="AG1220" t="inlineStr">
        <is>
          <t>Medent Scientific Instruments</t>
        </is>
      </c>
      <c r="AH1220" t="inlineStr">
        <is>
          <t>Medent Scientific Instruments: +972 72-395-0508 (sales); +972 8-683-6306 (service) info@medent.co.il</t>
        </is>
      </c>
      <c r="AI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20" t="inlineStr">
        <is>
          <t>+1 800-323-4340</t>
        </is>
      </c>
      <c r="AK1220" t="inlineStr">
        <is>
          <t>sales@antylia.com</t>
        </is>
      </c>
      <c r="AL1220" t="inlineStr">
        <is>
          <t>625 East Bunker Court, Vernon Hills, IL 60061, USA</t>
        </is>
      </c>
      <c r="AN1220" t="inlineStr">
        <is>
          <t>https://www.thomasnet.com/company/cole-parmer-1148924/profile</t>
        </is>
      </c>
      <c r="AP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Y1221" t="inlineStr">
        <is>
          <t>unknown</t>
        </is>
      </c>
      <c r="Z1221" t="inlineStr"/>
      <c r="AA1221" t="inlineStr"/>
      <c r="AB1221" t="inlineStr"/>
      <c r="AC1221" t="inlineStr"/>
      <c r="AD1221" t="inlineStr">
        <is>
          <t>לא נמצא בסריקת המפיצים</t>
        </is>
      </c>
      <c r="AE1221" t="inlineStr">
        <is>
          <t>סריקת אתרי מפיצים</t>
        </is>
      </c>
      <c r="AG1221" t="inlineStr"/>
      <c r="AH1221" t="inlineStr"/>
      <c r="AJ1221" t="inlineStr"/>
      <c r="AP1221" t="inlineStr">
        <is>
          <t>https://www.quartzy.com/suppliers</t>
        </is>
      </c>
    </row>
    <row r="1222">
      <c r="A1222" t="n">
        <v>1221</v>
      </c>
      <c r="B1222" t="inlineStr">
        <is>
          <t>Supera</t>
        </is>
      </c>
      <c r="C1222" t="inlineStr">
        <is>
          <t>T</t>
        </is>
      </c>
      <c r="E1222" t="inlineStr">
        <is>
          <t>https://www.thomassci.com/browse-by/suppliers/supera</t>
        </is>
      </c>
      <c r="F1222" t="inlineStr"/>
      <c r="J1222" t="inlineStr"/>
      <c r="Y1222" t="inlineStr">
        <is>
          <t>unknown</t>
        </is>
      </c>
      <c r="Z1222" t="inlineStr"/>
      <c r="AA1222" t="inlineStr"/>
      <c r="AB1222" t="inlineStr"/>
      <c r="AC1222" t="inlineStr"/>
      <c r="AD1222" t="inlineStr">
        <is>
          <t>לא נמצא בסריקת המפיצים</t>
        </is>
      </c>
      <c r="AE1222" t="inlineStr">
        <is>
          <t>סריקת אתרי מפיצים</t>
        </is>
      </c>
      <c r="AG1222" t="inlineStr"/>
      <c r="AH1222" t="inlineStr"/>
      <c r="AJ1222" t="inlineStr"/>
      <c r="AP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Y1223" t="inlineStr">
        <is>
          <t>unknown</t>
        </is>
      </c>
      <c r="Z1223" t="inlineStr"/>
      <c r="AA1223" t="inlineStr"/>
      <c r="AB1223" t="inlineStr"/>
      <c r="AC1223" t="inlineStr"/>
      <c r="AD1223" t="inlineStr">
        <is>
          <t>לא נמצא בסריקת המפיצים</t>
        </is>
      </c>
      <c r="AE1223" t="inlineStr">
        <is>
          <t>סריקת אתרי מפיצים</t>
        </is>
      </c>
      <c r="AG1223" t="inlineStr"/>
      <c r="AH1223" t="inlineStr"/>
      <c r="AJ1223" t="inlineStr"/>
      <c r="AP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c r="Y1224" t="inlineStr">
        <is>
          <t>unknown</t>
        </is>
      </c>
      <c r="Z1224" t="inlineStr"/>
      <c r="AA1224" t="inlineStr"/>
      <c r="AB1224" t="inlineStr"/>
      <c r="AC1224" t="inlineStr"/>
      <c r="AD1224" t="inlineStr">
        <is>
          <t>לא נמצא בסריקת המפיצים</t>
        </is>
      </c>
      <c r="AE1224" t="inlineStr">
        <is>
          <t>סריקת אתרי מפיצים</t>
        </is>
      </c>
      <c r="AG1224" t="inlineStr"/>
      <c r="AH1224" t="inlineStr"/>
      <c r="AJ1224" t="inlineStr">
        <is>
          <t>603-6145 2328</t>
        </is>
      </c>
      <c r="AM1224" t="inlineStr">
        <is>
          <t>https://www.supermax.com.my/our-business-contact-lenses</t>
        </is>
      </c>
      <c r="AN1224" t="inlineStr">
        <is>
          <t>https://www.supermax.com.my/our-business-contact-lenses</t>
        </is>
      </c>
      <c r="AP1224" t="inlineStr">
        <is>
          <t>https://www.quartzy.com/suppliers | https://www.thomassci.com/browse-by/suppliers/supermax | https://www.supermax.com.my/our-business-contact-lenses</t>
        </is>
      </c>
    </row>
    <row r="1225">
      <c r="A1225" t="n">
        <v>1224</v>
      </c>
      <c r="B1225" t="inlineStr">
        <is>
          <t>SureWerx USA, Inc.</t>
        </is>
      </c>
      <c r="C1225" t="inlineStr">
        <is>
          <t>T</t>
        </is>
      </c>
      <c r="E1225" t="inlineStr">
        <is>
          <t>https://www.thomassci.com/browse-by/suppliers/surewerx-usa-inc-</t>
        </is>
      </c>
      <c r="F1225" t="inlineStr"/>
      <c r="J1225" t="inlineStr"/>
      <c r="Y1225" t="inlineStr">
        <is>
          <t>unknown</t>
        </is>
      </c>
      <c r="Z1225" t="inlineStr"/>
      <c r="AA1225" t="inlineStr"/>
      <c r="AB1225" t="inlineStr"/>
      <c r="AC1225" t="inlineStr"/>
      <c r="AD1225" t="inlineStr">
        <is>
          <t>לא נמצא בסריקת המפיצים</t>
        </is>
      </c>
      <c r="AE1225" t="inlineStr">
        <is>
          <t>סריקת אתרי מפיצים</t>
        </is>
      </c>
      <c r="AG1225" t="inlineStr"/>
      <c r="AH1225" t="inlineStr"/>
      <c r="AJ1225" t="inlineStr"/>
      <c r="AP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Y1226" t="inlineStr">
        <is>
          <t>unknown</t>
        </is>
      </c>
      <c r="Z1226" t="inlineStr"/>
      <c r="AA1226" t="inlineStr"/>
      <c r="AB1226" t="inlineStr"/>
      <c r="AC1226" t="inlineStr"/>
      <c r="AD1226" t="inlineStr">
        <is>
          <t>לא נמצא בסריקת המפיצים</t>
        </is>
      </c>
      <c r="AE1226" t="inlineStr">
        <is>
          <t>סריקת אתרי מפיצים</t>
        </is>
      </c>
      <c r="AG1226" t="inlineStr"/>
      <c r="AH1226" t="inlineStr"/>
      <c r="AJ1226" t="inlineStr"/>
      <c r="AP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c r="Y1227" t="inlineStr">
        <is>
          <t>unknown</t>
        </is>
      </c>
      <c r="Z1227" t="inlineStr"/>
      <c r="AA1227" t="inlineStr"/>
      <c r="AB1227" t="inlineStr"/>
      <c r="AC1227" t="inlineStr"/>
      <c r="AD1227" t="inlineStr">
        <is>
          <t>לא נמצא בסריקת המפיצים</t>
        </is>
      </c>
      <c r="AE1227" t="inlineStr">
        <is>
          <t>סריקת אתרי מפיצים</t>
        </is>
      </c>
      <c r="AG1227" t="inlineStr"/>
      <c r="AH1227" t="inlineStr"/>
      <c r="AJ1227" t="inlineStr"/>
      <c r="AN1227" t="inlineStr">
        <is>
          <t>https://www.swagelok.com/</t>
        </is>
      </c>
      <c r="AP1227" t="inlineStr">
        <is>
          <t>https://www.thomassci.com/browse-by/suppliers/swagelok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Y1228" t="inlineStr">
        <is>
          <t>unknown</t>
        </is>
      </c>
      <c r="Z1228" t="inlineStr"/>
      <c r="AA1228" t="inlineStr"/>
      <c r="AB1228" t="inlineStr"/>
      <c r="AC1228" t="inlineStr"/>
      <c r="AD1228" t="inlineStr">
        <is>
          <t>לא נמצא בסריקת המפיצים</t>
        </is>
      </c>
      <c r="AE1228" t="inlineStr">
        <is>
          <t>סריקת אתרי מפיצים</t>
        </is>
      </c>
      <c r="AG1228" t="inlineStr"/>
      <c r="AH1228" t="inlineStr"/>
      <c r="AJ1228" t="inlineStr"/>
      <c r="AP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Y1229" t="inlineStr">
        <is>
          <t>unknown</t>
        </is>
      </c>
      <c r="Z1229" t="inlineStr"/>
      <c r="AA1229" t="inlineStr"/>
      <c r="AB1229" t="inlineStr"/>
      <c r="AC1229" t="inlineStr"/>
      <c r="AD1229" t="inlineStr">
        <is>
          <t>לא נמצא בסריקת המפיצים</t>
        </is>
      </c>
      <c r="AE1229" t="inlineStr">
        <is>
          <t>סריקת אתרי מפיצים</t>
        </is>
      </c>
      <c r="AG1229" t="inlineStr"/>
      <c r="AH1229" t="inlineStr"/>
      <c r="AJ1229" t="inlineStr">
        <is>
          <t>11 053 1900</t>
        </is>
      </c>
      <c r="AM1229" t="inlineStr">
        <is>
          <t>https://www.syntech.co.za/contact/</t>
        </is>
      </c>
      <c r="AN1229" t="inlineStr">
        <is>
          <t>https://www.syntech.co.za/contact/</t>
        </is>
      </c>
      <c r="AP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O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Y1230" t="inlineStr">
        <is>
          <t>unknown</t>
        </is>
      </c>
      <c r="Z1230" t="inlineStr"/>
      <c r="AA1230" t="inlineStr"/>
      <c r="AB1230" t="inlineStr"/>
      <c r="AC1230" t="inlineStr"/>
      <c r="AD1230" t="inlineStr">
        <is>
          <t>לא נמצא בחיפוש ראשוני</t>
        </is>
      </c>
      <c r="AE1230" t="inlineStr">
        <is>
          <t>חיפוש חלקי</t>
        </is>
      </c>
      <c r="AG1230" t="inlineStr"/>
      <c r="AH1230" t="inlineStr"/>
      <c r="AI1230" t="inlineStr">
        <is>
          <t>Synthego has a worldwide authorized-distributor directory, but the snippet showed no Israel entry; only global deals with Eurofins (44 countries, 2018) and Thermo Fisher (TrueGuide) surfaced. Slingshot/Almog press release is unrelated.</t>
        </is>
      </c>
      <c r="AJ1230" t="inlineStr">
        <is>
          <t>18444274777</t>
        </is>
      </c>
      <c r="AM1230" t="inlineStr">
        <is>
          <t>https://www.synthego.com/contact/worldwide/</t>
        </is>
      </c>
      <c r="AN1230" t="inlineStr">
        <is>
          <t>https://www.synthego.com/contact/worldwide/</t>
        </is>
      </c>
      <c r="AP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Y1231" t="inlineStr">
        <is>
          <t>unknown</t>
        </is>
      </c>
      <c r="Z1231" t="inlineStr"/>
      <c r="AA1231" t="inlineStr"/>
      <c r="AB1231" t="inlineStr"/>
      <c r="AC1231" t="inlineStr"/>
      <c r="AD1231" t="inlineStr">
        <is>
          <t>לא נמצא בסריקת המפיצים</t>
        </is>
      </c>
      <c r="AE1231" t="inlineStr">
        <is>
          <t>סריקת אתרי מפיצים</t>
        </is>
      </c>
      <c r="AG1231" t="inlineStr"/>
      <c r="AH1231" t="inlineStr"/>
      <c r="AJ1231" t="inlineStr"/>
      <c r="AP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Y1232" t="inlineStr">
        <is>
          <t>unknown</t>
        </is>
      </c>
      <c r="Z1232" t="inlineStr"/>
      <c r="AA1232" t="inlineStr"/>
      <c r="AB1232" t="inlineStr"/>
      <c r="AC1232" t="inlineStr"/>
      <c r="AD1232" t="inlineStr">
        <is>
          <t>לא נמצא בסריקת המפיצים</t>
        </is>
      </c>
      <c r="AE1232" t="inlineStr">
        <is>
          <t>סריקת אתרי מפיצים</t>
        </is>
      </c>
      <c r="AG1232" t="inlineStr"/>
      <c r="AH1232" t="inlineStr"/>
      <c r="AJ1232" t="inlineStr"/>
      <c r="AP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Y1233" t="inlineStr">
        <is>
          <t>unknown</t>
        </is>
      </c>
      <c r="Z1233" t="inlineStr"/>
      <c r="AA1233" t="inlineStr"/>
      <c r="AB1233" t="inlineStr"/>
      <c r="AC1233" t="inlineStr"/>
      <c r="AD1233" t="inlineStr">
        <is>
          <t>מפיץ/נציג בישראל</t>
        </is>
      </c>
      <c r="AE1233" t="inlineStr">
        <is>
          <t>סריקת אתרי מפיצים</t>
        </is>
      </c>
      <c r="AF1233" t="n">
        <v>2026</v>
      </c>
      <c r="AG1233" t="inlineStr">
        <is>
          <t>distributor of Recombinant Proteins, Antibodies, Cell Line, ELISA Kit; Tivan Biotech</t>
        </is>
      </c>
      <c r="AH1233" t="inlineStr">
        <is>
          <t>distributor of Recombinant Proteins, Antibodies, Cell Line, ELISA Kit: 054-5544004 info@doronscientific.com; Tivan Biotech: 077-4701591 customerservice@tivanbiotech.com</t>
        </is>
      </c>
      <c r="AJ1233" t="inlineStr"/>
      <c r="AP1233" t="inlineStr">
        <is>
          <t>https://www.quartzy.com/suppliers | https://doronscientific.com/products/ | https://tivanbiotech.com/manufacturers</t>
        </is>
      </c>
    </row>
    <row r="1234">
      <c r="A1234" t="n">
        <v>1233</v>
      </c>
      <c r="B1234" t="inlineStr">
        <is>
          <t>Tarr</t>
        </is>
      </c>
      <c r="C1234" t="inlineStr">
        <is>
          <t>T</t>
        </is>
      </c>
      <c r="E1234" t="inlineStr">
        <is>
          <t>https://www.thomassci.com/browse-by/suppliers/tarr</t>
        </is>
      </c>
      <c r="F1234" t="inlineStr"/>
      <c r="J1234" t="inlineStr"/>
      <c r="Y1234" t="inlineStr">
        <is>
          <t>unknown</t>
        </is>
      </c>
      <c r="Z1234" t="inlineStr"/>
      <c r="AA1234" t="inlineStr"/>
      <c r="AB1234" t="inlineStr"/>
      <c r="AC1234" t="inlineStr"/>
      <c r="AD1234" t="inlineStr">
        <is>
          <t>לא נמצא בסריקת המפיצים</t>
        </is>
      </c>
      <c r="AE1234" t="inlineStr">
        <is>
          <t>סריקת אתרי מפיצים</t>
        </is>
      </c>
      <c r="AG1234" t="inlineStr"/>
      <c r="AH1234" t="inlineStr"/>
      <c r="AJ1234" t="inlineStr"/>
      <c r="AP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Y1235" t="inlineStr">
        <is>
          <t>unknown</t>
        </is>
      </c>
      <c r="Z1235" t="inlineStr"/>
      <c r="AA1235" t="inlineStr"/>
      <c r="AB1235" t="inlineStr"/>
      <c r="AC1235" t="inlineStr"/>
      <c r="AD1235" t="inlineStr">
        <is>
          <t>לא נמצא בסריקת המפיצים</t>
        </is>
      </c>
      <c r="AE1235" t="inlineStr">
        <is>
          <t>סריקת אתרי מפיצים</t>
        </is>
      </c>
      <c r="AG1235" t="inlineStr"/>
      <c r="AH1235" t="inlineStr"/>
      <c r="AJ1235" t="inlineStr"/>
      <c r="AP1235" t="inlineStr">
        <is>
          <t>https://www.thomassci.com/browse-by/suppliers/taylor-precision</t>
        </is>
      </c>
    </row>
    <row r="1236">
      <c r="A1236" t="n">
        <v>1235</v>
      </c>
      <c r="B1236" t="inlineStr">
        <is>
          <t>TCI America</t>
        </is>
      </c>
      <c r="C1236" t="inlineStr">
        <is>
          <t>Q</t>
        </is>
      </c>
      <c r="F1236" t="inlineStr">
        <is>
          <t>yes</t>
        </is>
      </c>
      <c r="J1236" t="inlineStr"/>
      <c r="Y1236" t="inlineStr">
        <is>
          <t>unknown</t>
        </is>
      </c>
      <c r="Z1236" t="inlineStr"/>
      <c r="AA1236" t="inlineStr"/>
      <c r="AB1236" t="inlineStr"/>
      <c r="AC1236" t="inlineStr"/>
      <c r="AD1236" t="inlineStr">
        <is>
          <t>לא נמצא בסריקת המפיצים</t>
        </is>
      </c>
      <c r="AE1236" t="inlineStr">
        <is>
          <t>סריקת אתרי מפיצים</t>
        </is>
      </c>
      <c r="AG1236" t="inlineStr"/>
      <c r="AH1236" t="inlineStr"/>
      <c r="AJ1236" t="inlineStr"/>
      <c r="AP1236" t="inlineStr">
        <is>
          <t>https://www.quartzy.com/suppliers</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Y1237" t="inlineStr">
        <is>
          <t>unknown</t>
        </is>
      </c>
      <c r="Z1237" t="inlineStr"/>
      <c r="AA1237" t="inlineStr"/>
      <c r="AB1237" t="inlineStr"/>
      <c r="AC1237" t="inlineStr"/>
      <c r="AD1237" t="inlineStr">
        <is>
          <t>לא נמצא בסריקת המפיצים</t>
        </is>
      </c>
      <c r="AE1237" t="inlineStr">
        <is>
          <t>סריקת אתרי מפיצים</t>
        </is>
      </c>
      <c r="AG1237" t="inlineStr"/>
      <c r="AH1237" t="inlineStr"/>
      <c r="AJ1237" t="inlineStr">
        <is>
          <t>+17147516782</t>
        </is>
      </c>
      <c r="AM1237" t="inlineStr">
        <is>
          <t>https://tdicustompackaging.com/contact/</t>
        </is>
      </c>
      <c r="AN1237" t="inlineStr">
        <is>
          <t>https://tdicustompackaging.com/contact/</t>
        </is>
      </c>
      <c r="AP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P1238" t="n">
        <v>3300</v>
      </c>
      <c r="Q1238" t="n">
        <v>2024</v>
      </c>
      <c r="R1238" t="inlineStr">
        <is>
          <t>company</t>
        </is>
      </c>
      <c r="S1238" t="inlineStr">
        <is>
          <t>prior</t>
        </is>
      </c>
      <c r="T1238" t="n">
        <v>1033</v>
      </c>
      <c r="U1238" t="inlineStr">
        <is>
          <t>CHF 882.5 million</t>
        </is>
      </c>
      <c r="V1238" t="inlineStr">
        <is>
          <t>FY2025</t>
        </is>
      </c>
      <c r="W1238" t="inlineStr">
        <is>
          <t>company</t>
        </is>
      </c>
      <c r="X1238" t="inlineStr">
        <is>
          <t>prior</t>
        </is>
      </c>
      <c r="Y1238" t="inlineStr">
        <is>
          <t>reported</t>
        </is>
      </c>
      <c r="Z1238" t="inlineStr">
        <is>
          <t>Fluent</t>
        </is>
      </c>
      <c r="AA1238" t="inlineStr">
        <is>
          <t>Freedom EVO</t>
        </is>
      </c>
      <c r="AB1238" t="inlineStr">
        <is>
          <t>Spark</t>
        </is>
      </c>
      <c r="AC1238" t="inlineStr">
        <is>
          <t>prior</t>
        </is>
      </c>
      <c r="AD1238" t="inlineStr">
        <is>
          <t>מפיץ/נציג בישראל</t>
        </is>
      </c>
      <c r="AE1238" t="inlineStr">
        <is>
          <t>אומת</t>
        </is>
      </c>
      <c r="AF1238" t="n">
        <v>2026</v>
      </c>
      <c r="AG1238" t="inlineStr">
        <is>
          <t>Gamidor Diagnostics (1984) Ltd.</t>
        </is>
      </c>
      <c r="AH1238" t="inlineStr">
        <is>
          <t>Gamidor Diagnostics (1984) Ltd.: +972-3-927-7277 info@gamidor.co.il</t>
        </is>
      </c>
      <c r="AI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J1238" t="inlineStr">
        <is>
          <t>+41 44 922 81 11</t>
        </is>
      </c>
      <c r="AK1238" t="inlineStr">
        <is>
          <t>info@tecan.com</t>
        </is>
      </c>
      <c r="AL1238" t="inlineStr">
        <is>
          <t>Seestrasse 103, 8708 Männedorf, Switzerland</t>
        </is>
      </c>
      <c r="AM1238" t="inlineStr">
        <is>
          <t>https://www.tecan.com/contact-us</t>
        </is>
      </c>
      <c r="AN1238" t="inlineStr">
        <is>
          <t>https://www.tecanannualreport.com/annual-report-2022/global</t>
        </is>
      </c>
      <c r="AP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P1239" t="n">
        <v>2000</v>
      </c>
      <c r="Q1239" t="n">
        <v>2024</v>
      </c>
      <c r="R1239" t="inlineStr">
        <is>
          <t>estimate</t>
        </is>
      </c>
      <c r="S1239" t="inlineStr">
        <is>
          <t>prior</t>
        </is>
      </c>
      <c r="T1239" t="n">
        <v>400</v>
      </c>
      <c r="U1239" t="inlineStr">
        <is>
          <t>approx. USD 400 million (third-party directory estimate)</t>
        </is>
      </c>
      <c r="V1239" t="inlineStr">
        <is>
          <t>n/a (directory estimate seen Oct 2026)</t>
        </is>
      </c>
      <c r="W1239" t="inlineStr">
        <is>
          <t>estimate</t>
        </is>
      </c>
      <c r="X1239" t="inlineStr">
        <is>
          <t>prior</t>
        </is>
      </c>
      <c r="Y1239" t="inlineStr">
        <is>
          <t>estimate</t>
        </is>
      </c>
      <c r="Z1239" t="inlineStr">
        <is>
          <t>Jenway spectrophotometers</t>
        </is>
      </c>
      <c r="AA1239" t="inlineStr">
        <is>
          <t>Environmental Express HotBlock</t>
        </is>
      </c>
      <c r="AB1239" t="inlineStr">
        <is>
          <t>Stuart / Techne benchtop equipment</t>
        </is>
      </c>
      <c r="AC1239" t="inlineStr">
        <is>
          <t>prior</t>
        </is>
      </c>
      <c r="AD1239" t="inlineStr">
        <is>
          <t>מפיץ/נציג בישראל</t>
        </is>
      </c>
      <c r="AE1239" t="inlineStr">
        <is>
          <t>אומת</t>
        </is>
      </c>
      <c r="AF1239" t="n">
        <v>2026</v>
      </c>
      <c r="AG1239" t="inlineStr">
        <is>
          <t>Medent Scientific Instruments</t>
        </is>
      </c>
      <c r="AH1239" t="inlineStr">
        <is>
          <t>Medent Scientific Instruments: +972 72-395-0508 (sales); +972 8-683-6306 (service) info@medent.co.il</t>
        </is>
      </c>
      <c r="AI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J1239" t="inlineStr">
        <is>
          <t>+1 800-323-4340</t>
        </is>
      </c>
      <c r="AK1239" t="inlineStr">
        <is>
          <t>sales@antylia.com</t>
        </is>
      </c>
      <c r="AL1239" t="inlineStr">
        <is>
          <t>625 East Bunker Court, Vernon Hills, IL 60061, USA</t>
        </is>
      </c>
      <c r="AN1239" t="inlineStr">
        <is>
          <t>https://www.thomasnet.com/company/cole-parmer-1148924/profile</t>
        </is>
      </c>
      <c r="AP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Y1240" t="inlineStr">
        <is>
          <t>unknown</t>
        </is>
      </c>
      <c r="Z1240" t="inlineStr"/>
      <c r="AA1240" t="inlineStr"/>
      <c r="AB1240" t="inlineStr"/>
      <c r="AC1240" t="inlineStr"/>
      <c r="AD1240" t="inlineStr">
        <is>
          <t>לא נמצא בסריקת המפיצים</t>
        </is>
      </c>
      <c r="AE1240" t="inlineStr">
        <is>
          <t>סריקת אתרי מפיצים</t>
        </is>
      </c>
      <c r="AG1240" t="inlineStr"/>
      <c r="AH1240" t="inlineStr"/>
      <c r="AJ1240" t="inlineStr"/>
      <c r="AN1240" t="inlineStr">
        <is>
          <t>https://www.testequity.com/#TTR</t>
        </is>
      </c>
      <c r="AP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Y1241" t="inlineStr">
        <is>
          <t>unknown</t>
        </is>
      </c>
      <c r="Z1241" t="inlineStr"/>
      <c r="AA1241" t="inlineStr"/>
      <c r="AB1241" t="inlineStr"/>
      <c r="AC1241" t="inlineStr"/>
      <c r="AD1241" t="inlineStr">
        <is>
          <t>לא נמצא בסריקת המפיצים</t>
        </is>
      </c>
      <c r="AE1241" t="inlineStr">
        <is>
          <t>סריקת אתרי מפיצים</t>
        </is>
      </c>
      <c r="AG1241" t="inlineStr"/>
      <c r="AH1241" t="inlineStr"/>
      <c r="AJ1241" t="inlineStr"/>
      <c r="AP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Y1242" t="inlineStr">
        <is>
          <t>unknown</t>
        </is>
      </c>
      <c r="Z1242" t="inlineStr"/>
      <c r="AA1242" t="inlineStr"/>
      <c r="AB1242" t="inlineStr"/>
      <c r="AC1242" t="inlineStr"/>
      <c r="AD1242" t="inlineStr">
        <is>
          <t>לא נמצא בסריקת המפיצים</t>
        </is>
      </c>
      <c r="AE1242" t="inlineStr">
        <is>
          <t>סריקת אתרי מפיצים</t>
        </is>
      </c>
      <c r="AG1242" t="inlineStr"/>
      <c r="AH1242" t="inlineStr"/>
      <c r="AJ1242" t="inlineStr">
        <is>
          <t>33 443 62 00</t>
        </is>
      </c>
      <c r="AM1242" t="inlineStr">
        <is>
          <t>https://techniplast.pl/en/7-contact-form</t>
        </is>
      </c>
      <c r="AN1242" t="inlineStr">
        <is>
          <t>https://techniplast.pl/en/7-contact-form</t>
        </is>
      </c>
      <c r="AP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Y1243" t="inlineStr">
        <is>
          <t>unknown</t>
        </is>
      </c>
      <c r="Z1243" t="inlineStr"/>
      <c r="AA1243" t="inlineStr"/>
      <c r="AB1243" t="inlineStr"/>
      <c r="AC1243" t="inlineStr"/>
      <c r="AD1243" t="inlineStr">
        <is>
          <t>לא נמצא בסריקת המפיצים</t>
        </is>
      </c>
      <c r="AE1243" t="inlineStr">
        <is>
          <t>סריקת אתרי מפיצים</t>
        </is>
      </c>
      <c r="AG1243" t="inlineStr"/>
      <c r="AH1243" t="inlineStr"/>
      <c r="AJ1243" t="inlineStr">
        <is>
          <t>96049-2477</t>
        </is>
      </c>
      <c r="AM1243" t="inlineStr">
        <is>
          <t>https://www.tedpella.com/company_html/Contact.aspx</t>
        </is>
      </c>
      <c r="AN1243" t="inlineStr">
        <is>
          <t>https://www.tedpella.com/company_html/Contact.aspx</t>
        </is>
      </c>
      <c r="AP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Y1244" t="inlineStr">
        <is>
          <t>unknown</t>
        </is>
      </c>
      <c r="Z1244" t="inlineStr"/>
      <c r="AA1244" t="inlineStr"/>
      <c r="AB1244" t="inlineStr"/>
      <c r="AC1244" t="inlineStr"/>
      <c r="AD1244" t="inlineStr">
        <is>
          <t>לא נמצא בסריקת המפיצים</t>
        </is>
      </c>
      <c r="AE1244" t="inlineStr">
        <is>
          <t>סריקת אתרי מפיצים</t>
        </is>
      </c>
      <c r="AG1244" t="inlineStr"/>
      <c r="AH1244" t="inlineStr"/>
      <c r="AJ1244" t="inlineStr"/>
      <c r="AP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Y1245" t="inlineStr">
        <is>
          <t>unknown</t>
        </is>
      </c>
      <c r="Z1245" t="inlineStr"/>
      <c r="AA1245" t="inlineStr"/>
      <c r="AB1245" t="inlineStr"/>
      <c r="AC1245" t="inlineStr"/>
      <c r="AD1245" t="inlineStr">
        <is>
          <t>לא נמצא בחיפוש ראשוני</t>
        </is>
      </c>
      <c r="AE1245" t="inlineStr">
        <is>
          <t>חיפוש חלקי</t>
        </is>
      </c>
      <c r="AG1245" t="inlineStr"/>
      <c r="AH1245" t="inlineStr"/>
      <c r="AI1245" t="inlineStr">
        <is>
          <t>Company profiles only; Agentek/Enco appeared with no link to Teknova.</t>
        </is>
      </c>
      <c r="AJ1245" t="inlineStr">
        <is>
          <t>18002094488</t>
        </is>
      </c>
      <c r="AK1245" t="inlineStr">
        <is>
          <t>info@teknova.com</t>
        </is>
      </c>
      <c r="AM1245" t="inlineStr">
        <is>
          <t>https://www.teknova.com/en/company/support.html#contact</t>
        </is>
      </c>
      <c r="AN1245" t="inlineStr">
        <is>
          <t>https://www.teknova.com/en/company/support.html#contact</t>
        </is>
      </c>
      <c r="AP1245" t="inlineStr">
        <is>
          <t>https://www.quartzy.com/suppliers | https://www.thomassci.com/browse-by/suppliers/teknova | https://www.teknova.com/en/company/support.html#contact</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Y1246" t="inlineStr">
        <is>
          <t>unknown</t>
        </is>
      </c>
      <c r="Z1246" t="inlineStr"/>
      <c r="AA1246" t="inlineStr"/>
      <c r="AB1246" t="inlineStr"/>
      <c r="AC1246" t="inlineStr"/>
      <c r="AD1246" t="inlineStr">
        <is>
          <t>לא נמצא בחיפוש ראשוני</t>
        </is>
      </c>
      <c r="AE1246" t="inlineStr">
        <is>
          <t>חיפוש חלקי</t>
        </is>
      </c>
      <c r="AG1246" t="inlineStr"/>
      <c r="AH1246" t="inlineStr"/>
      <c r="AI1246" t="inlineStr">
        <is>
          <t>Only Singapore distributor (PDS International/safety.com.sg) and Fisher/VWR/Thomas/ProSciTech listings; no Israel mention.</t>
        </is>
      </c>
      <c r="AJ1246" t="inlineStr">
        <is>
          <t>1-800-680-2796</t>
        </is>
      </c>
      <c r="AK1246" t="inlineStr">
        <is>
          <t>info@tempshield.com</t>
        </is>
      </c>
      <c r="AM1246" t="inlineStr">
        <is>
          <t>https://www.tempshield.com/pages/contact-us</t>
        </is>
      </c>
      <c r="AN1246" t="inlineStr">
        <is>
          <t>https://www.tempshield.com/pages/contact-us</t>
        </is>
      </c>
      <c r="AP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Y1247" t="inlineStr">
        <is>
          <t>unknown</t>
        </is>
      </c>
      <c r="Z1247" t="inlineStr"/>
      <c r="AA1247" t="inlineStr"/>
      <c r="AB1247" t="inlineStr"/>
      <c r="AC1247" t="inlineStr"/>
      <c r="AD1247" t="inlineStr">
        <is>
          <t>לא נמצא בסריקת המפיצים</t>
        </is>
      </c>
      <c r="AE1247" t="inlineStr">
        <is>
          <t>סריקת אתרי מפיצים</t>
        </is>
      </c>
      <c r="AG1247" t="inlineStr"/>
      <c r="AH1247" t="inlineStr"/>
      <c r="AJ1247" t="inlineStr"/>
      <c r="AP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clearbit_verified</t>
        </is>
      </c>
      <c r="J1248" t="inlineStr"/>
      <c r="Y1248" t="inlineStr">
        <is>
          <t>unknown</t>
        </is>
      </c>
      <c r="Z1248" t="inlineStr"/>
      <c r="AA1248" t="inlineStr"/>
      <c r="AB1248" t="inlineStr"/>
      <c r="AC1248" t="inlineStr"/>
      <c r="AD1248" t="inlineStr">
        <is>
          <t>לא נמצא בסריקת המפיצים</t>
        </is>
      </c>
      <c r="AE1248" t="inlineStr">
        <is>
          <t>סריקת אתרי מפיצים</t>
        </is>
      </c>
      <c r="AG1248" t="inlineStr"/>
      <c r="AH1248" t="inlineStr"/>
      <c r="AJ1248" t="inlineStr"/>
      <c r="AN1248" t="inlineStr">
        <is>
          <t>https://www.terracycle.com/en-US/</t>
        </is>
      </c>
      <c r="AP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Y1249" t="inlineStr">
        <is>
          <t>unknown</t>
        </is>
      </c>
      <c r="Z1249" t="inlineStr"/>
      <c r="AA1249" t="inlineStr"/>
      <c r="AB1249" t="inlineStr"/>
      <c r="AC1249" t="inlineStr"/>
      <c r="AD1249" t="inlineStr">
        <is>
          <t>לא נמצא בסריקת המפיצים</t>
        </is>
      </c>
      <c r="AE1249" t="inlineStr">
        <is>
          <t>סריקת אתרי מפיצים</t>
        </is>
      </c>
      <c r="AG1249" t="inlineStr"/>
      <c r="AH1249" t="inlineStr"/>
      <c r="AJ1249" t="inlineStr"/>
      <c r="AP1249" t="inlineStr">
        <is>
          <t>https://www.dutscher.com/search?initialFilters=brand:Terumo</t>
        </is>
      </c>
    </row>
    <row r="1250">
      <c r="A1250" t="n">
        <v>1249</v>
      </c>
      <c r="B1250" t="inlineStr">
        <is>
          <t>Terumo Medical Corporation</t>
        </is>
      </c>
      <c r="C1250" t="inlineStr">
        <is>
          <t>T</t>
        </is>
      </c>
      <c r="E1250" t="inlineStr">
        <is>
          <t>https://www.thomassci.com/browse-by/suppliers/terumo-medical-corporation</t>
        </is>
      </c>
      <c r="F1250" t="inlineStr"/>
      <c r="J1250" t="inlineStr"/>
      <c r="Y1250" t="inlineStr">
        <is>
          <t>unknown</t>
        </is>
      </c>
      <c r="Z1250" t="inlineStr"/>
      <c r="AA1250" t="inlineStr"/>
      <c r="AB1250" t="inlineStr"/>
      <c r="AC1250" t="inlineStr"/>
      <c r="AD1250" t="inlineStr">
        <is>
          <t>לא נמצא בסריקת המפיצים</t>
        </is>
      </c>
      <c r="AE1250" t="inlineStr">
        <is>
          <t>סריקת אתרי מפיצים</t>
        </is>
      </c>
      <c r="AG1250" t="inlineStr"/>
      <c r="AH1250" t="inlineStr"/>
      <c r="AJ1250" t="inlineStr"/>
      <c r="AP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c r="Y1251" t="inlineStr">
        <is>
          <t>unknown</t>
        </is>
      </c>
      <c r="Z1251" t="inlineStr"/>
      <c r="AA1251" t="inlineStr"/>
      <c r="AB1251" t="inlineStr"/>
      <c r="AC1251" t="inlineStr"/>
      <c r="AD1251" t="inlineStr">
        <is>
          <t>לא נמצא בסריקת המפיצים</t>
        </is>
      </c>
      <c r="AE1251" t="inlineStr">
        <is>
          <t>סריקת אתרי מפיצים</t>
        </is>
      </c>
      <c r="AG1251" t="inlineStr"/>
      <c r="AH1251" t="inlineStr"/>
      <c r="AJ1251" t="inlineStr"/>
      <c r="AP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Y1252" t="inlineStr">
        <is>
          <t>unknown</t>
        </is>
      </c>
      <c r="Z1252" t="inlineStr"/>
      <c r="AA1252" t="inlineStr"/>
      <c r="AB1252" t="inlineStr"/>
      <c r="AC1252" t="inlineStr"/>
      <c r="AD1252" t="inlineStr">
        <is>
          <t>לא נמצא בסריקת המפיצים</t>
        </is>
      </c>
      <c r="AE1252" t="inlineStr">
        <is>
          <t>סריקת אתרי מפיצים</t>
        </is>
      </c>
      <c r="AG1252" t="inlineStr"/>
      <c r="AH1252" t="inlineStr"/>
      <c r="AJ1252" t="inlineStr"/>
      <c r="AP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Y1253" t="inlineStr">
        <is>
          <t>unknown</t>
        </is>
      </c>
      <c r="Z1253" t="inlineStr"/>
      <c r="AA1253" t="inlineStr"/>
      <c r="AB1253" t="inlineStr"/>
      <c r="AC1253" t="inlineStr"/>
      <c r="AD1253" t="inlineStr">
        <is>
          <t>לא נמצא בסריקת המפיצים</t>
        </is>
      </c>
      <c r="AE1253" t="inlineStr">
        <is>
          <t>סריקת אתרי מפיצים</t>
        </is>
      </c>
      <c r="AG1253" t="inlineStr"/>
      <c r="AH1253" t="inlineStr"/>
      <c r="AJ1253" t="inlineStr"/>
      <c r="AP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Y1254" t="inlineStr">
        <is>
          <t>unknown</t>
        </is>
      </c>
      <c r="Z1254" t="inlineStr"/>
      <c r="AA1254" t="inlineStr"/>
      <c r="AB1254" t="inlineStr"/>
      <c r="AC1254" t="inlineStr"/>
      <c r="AD1254" t="inlineStr">
        <is>
          <t>לא נמצא בסריקת המפיצים</t>
        </is>
      </c>
      <c r="AE1254" t="inlineStr">
        <is>
          <t>סריקת אתרי מפיצים</t>
        </is>
      </c>
      <c r="AG1254" t="inlineStr"/>
      <c r="AH1254" t="inlineStr"/>
      <c r="AJ1254" t="inlineStr"/>
      <c r="AP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Y1255" t="inlineStr">
        <is>
          <t>unknown</t>
        </is>
      </c>
      <c r="Z1255" t="inlineStr"/>
      <c r="AA1255" t="inlineStr"/>
      <c r="AB1255" t="inlineStr"/>
      <c r="AC1255" t="inlineStr"/>
      <c r="AD1255" t="inlineStr">
        <is>
          <t>לא נמצא בסריקת המפיצים</t>
        </is>
      </c>
      <c r="AE1255" t="inlineStr">
        <is>
          <t>סריקת אתרי מפיצים</t>
        </is>
      </c>
      <c r="AG1255" t="inlineStr"/>
      <c r="AH1255" t="inlineStr"/>
      <c r="AJ1255" t="inlineStr">
        <is>
          <t>20(973)20300-9100</t>
        </is>
      </c>
      <c r="AK1255" t="inlineStr">
        <is>
          <t>info@thermcoproducts.com</t>
        </is>
      </c>
      <c r="AM1255" t="inlineStr">
        <is>
          <t>https://thermcoproducts.com/contact/</t>
        </is>
      </c>
      <c r="AN1255" t="inlineStr">
        <is>
          <t>https://thermcoproducts.com/contact/</t>
        </is>
      </c>
      <c r="AP1255" t="inlineStr">
        <is>
          <t>https://www.thomassci.com/browse-by/suppliers/thermco | https://thermcoproducts.com/contact/</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P1256" t="n">
        <v>125000</v>
      </c>
      <c r="Q1256" t="n">
        <v>2025</v>
      </c>
      <c r="R1256" t="inlineStr">
        <is>
          <t>company</t>
        </is>
      </c>
      <c r="S1256" t="inlineStr">
        <is>
          <t>prior</t>
        </is>
      </c>
      <c r="T1256" t="n">
        <v>44560</v>
      </c>
      <c r="U1256" t="inlineStr">
        <is>
          <t>USD 44.56 billion</t>
        </is>
      </c>
      <c r="V1256" t="inlineStr">
        <is>
          <t>FY2025</t>
        </is>
      </c>
      <c r="W1256" t="inlineStr">
        <is>
          <t>company</t>
        </is>
      </c>
      <c r="X1256" t="inlineStr">
        <is>
          <t>prior</t>
        </is>
      </c>
      <c r="Y1256" t="inlineStr">
        <is>
          <t>reported</t>
        </is>
      </c>
      <c r="Z1256" t="inlineStr">
        <is>
          <t>Thermo Scientific Orbitrap Astral</t>
        </is>
      </c>
      <c r="AA1256" t="inlineStr">
        <is>
          <t>Applied Biosystems QuantStudio</t>
        </is>
      </c>
      <c r="AB1256" t="inlineStr">
        <is>
          <t>Thermo Scientific Krios cryo-TEM</t>
        </is>
      </c>
      <c r="AC1256" t="inlineStr">
        <is>
          <t>prior</t>
        </is>
      </c>
      <c r="AD1256" t="inlineStr">
        <is>
          <t>חברה-בת בישראל</t>
        </is>
      </c>
      <c r="AE1256" t="inlineStr">
        <is>
          <t>אומת</t>
        </is>
      </c>
      <c r="AF1256" t="n">
        <v>2026</v>
      </c>
      <c r="AG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56" t="inlineStr">
        <is>
          <t>+972 73 256 0860</t>
        </is>
      </c>
      <c r="AL1256" t="inlineStr">
        <is>
          <t>Waltham, Massachusetts</t>
        </is>
      </c>
      <c r="AM1256" t="inlineStr">
        <is>
          <t>https://www.thermofisher.com/store/v2/contact-us?enableChat=true</t>
        </is>
      </c>
      <c r="AN1256" t="inlineStr">
        <is>
          <t>https://slimpages.startupim.com/company_page/thermo-fisher-scientific</t>
        </is>
      </c>
      <c r="AP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57">
      <c r="A1257" t="n">
        <v>1256</v>
      </c>
      <c r="B1257" t="inlineStr">
        <is>
          <t>Thermo Scientific Capitol Vial</t>
        </is>
      </c>
      <c r="C1257" t="inlineStr">
        <is>
          <t>T</t>
        </is>
      </c>
      <c r="E1257" t="inlineStr">
        <is>
          <t>https://www.thomassci.com/browse-by/suppliers/thermo-scientific-capitol-vial</t>
        </is>
      </c>
      <c r="F1257" t="inlineStr"/>
      <c r="J1257" t="inlineStr"/>
      <c r="Y1257" t="inlineStr">
        <is>
          <t>unknown</t>
        </is>
      </c>
      <c r="Z1257" t="inlineStr"/>
      <c r="AA1257" t="inlineStr"/>
      <c r="AB1257" t="inlineStr"/>
      <c r="AC1257" t="inlineStr"/>
      <c r="AD1257" t="inlineStr">
        <is>
          <t>לא נמצא בסריקת המפיצים</t>
        </is>
      </c>
      <c r="AE1257" t="inlineStr">
        <is>
          <t>סריקת אתרי מפיצים</t>
        </is>
      </c>
      <c r="AG1257" t="inlineStr"/>
      <c r="AH1257" t="inlineStr"/>
      <c r="AJ1257" t="inlineStr"/>
      <c r="AP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Y1258" t="inlineStr">
        <is>
          <t>unknown</t>
        </is>
      </c>
      <c r="Z1258" t="inlineStr"/>
      <c r="AA1258" t="inlineStr"/>
      <c r="AB1258" t="inlineStr"/>
      <c r="AC1258" t="inlineStr"/>
      <c r="AD1258" t="inlineStr">
        <is>
          <t>לא נמצא בסריקת המפיצים</t>
        </is>
      </c>
      <c r="AE1258" t="inlineStr">
        <is>
          <t>סריקת אתרי מפיצים</t>
        </is>
      </c>
      <c r="AG1258" t="inlineStr"/>
      <c r="AH1258" t="inlineStr"/>
      <c r="AJ1258" t="inlineStr"/>
      <c r="AP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Y1259" t="inlineStr">
        <is>
          <t>unknown</t>
        </is>
      </c>
      <c r="Z1259" t="inlineStr"/>
      <c r="AA1259" t="inlineStr"/>
      <c r="AB1259" t="inlineStr"/>
      <c r="AC1259" t="inlineStr"/>
      <c r="AD1259" t="inlineStr">
        <is>
          <t>לא נמצא בסריקת המפיצים</t>
        </is>
      </c>
      <c r="AE1259" t="inlineStr">
        <is>
          <t>סריקת אתרי מפיצים</t>
        </is>
      </c>
      <c r="AG1259" t="inlineStr"/>
      <c r="AH1259" t="inlineStr"/>
      <c r="AJ1259" t="inlineStr"/>
      <c r="AP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P1260" t="n">
        <v>125000</v>
      </c>
      <c r="Q1260" t="n">
        <v>2025</v>
      </c>
      <c r="R1260" t="inlineStr">
        <is>
          <t>company</t>
        </is>
      </c>
      <c r="S1260" t="inlineStr">
        <is>
          <t>prior</t>
        </is>
      </c>
      <c r="T1260" t="n">
        <v>44560</v>
      </c>
      <c r="U1260" t="inlineStr">
        <is>
          <t>USD 44.56 billion</t>
        </is>
      </c>
      <c r="V1260" t="inlineStr">
        <is>
          <t>FY2025</t>
        </is>
      </c>
      <c r="W1260" t="inlineStr">
        <is>
          <t>company</t>
        </is>
      </c>
      <c r="X1260" t="inlineStr">
        <is>
          <t>prior</t>
        </is>
      </c>
      <c r="Y1260" t="inlineStr">
        <is>
          <t>reported</t>
        </is>
      </c>
      <c r="Z1260" t="inlineStr">
        <is>
          <t>Thermo Scientific Orbitrap Astral</t>
        </is>
      </c>
      <c r="AA1260" t="inlineStr">
        <is>
          <t>Applied Biosystems QuantStudio</t>
        </is>
      </c>
      <c r="AB1260" t="inlineStr">
        <is>
          <t>Thermo Scientific Krios cryo-TEM</t>
        </is>
      </c>
      <c r="AC1260" t="inlineStr">
        <is>
          <t>prior</t>
        </is>
      </c>
      <c r="AD1260" t="inlineStr">
        <is>
          <t>חברה-בת בישראל</t>
        </is>
      </c>
      <c r="AE1260" t="inlineStr">
        <is>
          <t>אומת</t>
        </is>
      </c>
      <c r="AF1260" t="n">
        <v>2026</v>
      </c>
      <c r="AG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0" t="inlineStr">
        <is>
          <t>+972 73 256 0860</t>
        </is>
      </c>
      <c r="AL1260" t="inlineStr">
        <is>
          <t>Waltham, Massachusetts</t>
        </is>
      </c>
      <c r="AM1260" t="inlineStr">
        <is>
          <t>https://www.thermofisher.com/store/v2/contact-us?enableChat=true</t>
        </is>
      </c>
      <c r="AN1260" t="inlineStr">
        <is>
          <t>https://slimpages.startupim.com/company_page/thermo-fisher-scientific</t>
        </is>
      </c>
      <c r="AP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Y1261" t="inlineStr">
        <is>
          <t>unknown</t>
        </is>
      </c>
      <c r="Z1261" t="inlineStr"/>
      <c r="AA1261" t="inlineStr"/>
      <c r="AB1261" t="inlineStr"/>
      <c r="AC1261" t="inlineStr"/>
      <c r="AD1261" t="inlineStr">
        <is>
          <t>לא נמצא בסריקת המפיצים</t>
        </is>
      </c>
      <c r="AE1261" t="inlineStr">
        <is>
          <t>סריקת אתרי מפיצים</t>
        </is>
      </c>
      <c r="AG1261" t="inlineStr"/>
      <c r="AH1261" t="inlineStr"/>
      <c r="AJ1261" t="inlineStr"/>
      <c r="AP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P1262" t="n">
        <v>125000</v>
      </c>
      <c r="Q1262" t="n">
        <v>2025</v>
      </c>
      <c r="R1262" t="inlineStr">
        <is>
          <t>company</t>
        </is>
      </c>
      <c r="S1262" t="inlineStr">
        <is>
          <t>prior</t>
        </is>
      </c>
      <c r="T1262" t="n">
        <v>44560</v>
      </c>
      <c r="U1262" t="inlineStr">
        <is>
          <t>USD 44.56 billion</t>
        </is>
      </c>
      <c r="V1262" t="inlineStr">
        <is>
          <t>FY2025</t>
        </is>
      </c>
      <c r="W1262" t="inlineStr">
        <is>
          <t>company</t>
        </is>
      </c>
      <c r="X1262" t="inlineStr">
        <is>
          <t>prior</t>
        </is>
      </c>
      <c r="Y1262" t="inlineStr">
        <is>
          <t>reported</t>
        </is>
      </c>
      <c r="Z1262" t="inlineStr">
        <is>
          <t>Thermo Scientific Orbitrap Astral</t>
        </is>
      </c>
      <c r="AA1262" t="inlineStr">
        <is>
          <t>Applied Biosystems QuantStudio</t>
        </is>
      </c>
      <c r="AB1262" t="inlineStr">
        <is>
          <t>Thermo Scientific Krios cryo-TEM</t>
        </is>
      </c>
      <c r="AC1262" t="inlineStr">
        <is>
          <t>prior</t>
        </is>
      </c>
      <c r="AD1262" t="inlineStr">
        <is>
          <t>חברה-בת בישראל</t>
        </is>
      </c>
      <c r="AE1262" t="inlineStr">
        <is>
          <t>אומת</t>
        </is>
      </c>
      <c r="AF1262" t="n">
        <v>2026</v>
      </c>
      <c r="AG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H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I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J1262" t="inlineStr">
        <is>
          <t>+972 73 256 0860</t>
        </is>
      </c>
      <c r="AL1262" t="inlineStr">
        <is>
          <t>Waltham, Massachusetts</t>
        </is>
      </c>
      <c r="AM1262" t="inlineStr">
        <is>
          <t>https://www.thermofisher.com/store/v2/contact-us?enableChat=true</t>
        </is>
      </c>
      <c r="AN1262" t="inlineStr">
        <is>
          <t>https://slimpages.startupim.com/company_page/thermo-fisher-scientific</t>
        </is>
      </c>
      <c r="AP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Y1263" t="inlineStr">
        <is>
          <t>unknown</t>
        </is>
      </c>
      <c r="Z1263" t="inlineStr"/>
      <c r="AA1263" t="inlineStr"/>
      <c r="AB1263" t="inlineStr"/>
      <c r="AC1263" t="inlineStr"/>
      <c r="AD1263" t="inlineStr">
        <is>
          <t>לא נמצא בסריקת המפיצים</t>
        </is>
      </c>
      <c r="AE1263" t="inlineStr">
        <is>
          <t>סריקת אתרי מפיצים</t>
        </is>
      </c>
      <c r="AG1263" t="inlineStr"/>
      <c r="AH1263" t="inlineStr"/>
      <c r="AJ1263" t="inlineStr"/>
      <c r="AP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Y1264" t="inlineStr">
        <is>
          <t>unknown</t>
        </is>
      </c>
      <c r="Z1264" t="inlineStr"/>
      <c r="AA1264" t="inlineStr"/>
      <c r="AB1264" t="inlineStr"/>
      <c r="AC1264" t="inlineStr"/>
      <c r="AD1264" t="inlineStr">
        <is>
          <t>לא נמצא בסריקת המפיצים</t>
        </is>
      </c>
      <c r="AE1264" t="inlineStr">
        <is>
          <t>סריקת אתרי מפיצים</t>
        </is>
      </c>
      <c r="AG1264" t="inlineStr"/>
      <c r="AH1264" t="inlineStr"/>
      <c r="AJ1264" t="inlineStr"/>
      <c r="AP1264" t="inlineStr">
        <is>
          <t>https://www.thomassci.com/browse-by/suppliers/thermo-scientific-sorvall</t>
        </is>
      </c>
    </row>
    <row r="1265">
      <c r="A1265" t="n">
        <v>1264</v>
      </c>
      <c r="B1265" t="inlineStr">
        <is>
          <t>Thermo Scientific Sterilin</t>
        </is>
      </c>
      <c r="C1265" t="inlineStr">
        <is>
          <t>T</t>
        </is>
      </c>
      <c r="E1265" t="inlineStr">
        <is>
          <t>https://www.thomassci.com/browse-by/suppliers/thermo-scientific-sterilin</t>
        </is>
      </c>
      <c r="F1265" t="inlineStr"/>
      <c r="J1265" t="inlineStr"/>
      <c r="Y1265" t="inlineStr">
        <is>
          <t>unknown</t>
        </is>
      </c>
      <c r="Z1265" t="inlineStr"/>
      <c r="AA1265" t="inlineStr"/>
      <c r="AB1265" t="inlineStr"/>
      <c r="AC1265" t="inlineStr"/>
      <c r="AD1265" t="inlineStr">
        <is>
          <t>לא נמצא בסריקת המפיצים</t>
        </is>
      </c>
      <c r="AE1265" t="inlineStr">
        <is>
          <t>סריקת אתרי מפיצים</t>
        </is>
      </c>
      <c r="AG1265" t="inlineStr"/>
      <c r="AH1265" t="inlineStr"/>
      <c r="AJ1265" t="inlineStr"/>
      <c r="AP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Y1266" t="inlineStr">
        <is>
          <t>unknown</t>
        </is>
      </c>
      <c r="Z1266" t="inlineStr"/>
      <c r="AA1266" t="inlineStr"/>
      <c r="AB1266" t="inlineStr"/>
      <c r="AC1266" t="inlineStr"/>
      <c r="AD1266" t="inlineStr">
        <is>
          <t>לא נמצא בסריקת המפיצים</t>
        </is>
      </c>
      <c r="AE1266" t="inlineStr">
        <is>
          <t>סריקת אתרי מפיצים</t>
        </is>
      </c>
      <c r="AG1266" t="inlineStr"/>
      <c r="AH1266" t="inlineStr"/>
      <c r="AJ1266" t="inlineStr"/>
      <c r="AP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Y1267" t="inlineStr">
        <is>
          <t>unknown</t>
        </is>
      </c>
      <c r="Z1267" t="inlineStr"/>
      <c r="AA1267" t="inlineStr"/>
      <c r="AB1267" t="inlineStr"/>
      <c r="AC1267" t="inlineStr"/>
      <c r="AD1267" t="inlineStr">
        <is>
          <t>לא נמצא בסריקת המפיצים</t>
        </is>
      </c>
      <c r="AE1267" t="inlineStr">
        <is>
          <t>סריקת אתרי מפיצים</t>
        </is>
      </c>
      <c r="AG1267" t="inlineStr"/>
      <c r="AH1267" t="inlineStr"/>
      <c r="AJ1267" t="inlineStr"/>
      <c r="AP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Y1268" t="inlineStr">
        <is>
          <t>unknown</t>
        </is>
      </c>
      <c r="Z1268" t="inlineStr"/>
      <c r="AA1268" t="inlineStr"/>
      <c r="AB1268" t="inlineStr"/>
      <c r="AC1268" t="inlineStr"/>
      <c r="AD1268" t="inlineStr">
        <is>
          <t>לא נמצא בסריקת המפיצים</t>
        </is>
      </c>
      <c r="AE1268" t="inlineStr">
        <is>
          <t>סריקת אתרי מפיצים</t>
        </is>
      </c>
      <c r="AG1268" t="inlineStr"/>
      <c r="AH1268" t="inlineStr"/>
      <c r="AJ1268" t="inlineStr">
        <is>
          <t>(800) 208-3009</t>
        </is>
      </c>
      <c r="AK1268" t="inlineStr">
        <is>
          <t>sales@thermomedics.com</t>
        </is>
      </c>
      <c r="AM1268" t="inlineStr">
        <is>
          <t>https://thermomedics.com/contact-us/</t>
        </is>
      </c>
      <c r="AN1268" t="inlineStr">
        <is>
          <t>https://thermomedics.com/contact-us/</t>
        </is>
      </c>
      <c r="AP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Y1269" t="inlineStr">
        <is>
          <t>unknown</t>
        </is>
      </c>
      <c r="Z1269" t="inlineStr"/>
      <c r="AA1269" t="inlineStr"/>
      <c r="AB1269" t="inlineStr"/>
      <c r="AC1269" t="inlineStr"/>
      <c r="AD1269" t="inlineStr">
        <is>
          <t>לא נמצא בסריקת המפיצים</t>
        </is>
      </c>
      <c r="AE1269" t="inlineStr">
        <is>
          <t>סריקת אתרי מפיצים</t>
        </is>
      </c>
      <c r="AG1269" t="inlineStr"/>
      <c r="AH1269" t="inlineStr"/>
      <c r="AJ1269" t="inlineStr">
        <is>
          <t>800-323-7442</t>
        </is>
      </c>
      <c r="AM1269" t="inlineStr">
        <is>
          <t>https://thermosafe.com/contact/</t>
        </is>
      </c>
      <c r="AN1269" t="inlineStr">
        <is>
          <t>https://thermosafe.com/contact/</t>
        </is>
      </c>
      <c r="AP1269" t="inlineStr">
        <is>
          <t>https://www.thomassci.com/browse-by/suppliers/thermosafe | https://thermosafe.com/contact/</t>
        </is>
      </c>
    </row>
    <row r="1270">
      <c r="A1270" t="n">
        <v>1269</v>
      </c>
      <c r="B1270" t="inlineStr">
        <is>
          <t>TheWell Bioscience Inc.</t>
        </is>
      </c>
      <c r="C1270" t="inlineStr">
        <is>
          <t>T+Q</t>
        </is>
      </c>
      <c r="E1270" t="inlineStr">
        <is>
          <t>https://www.thomassci.com/browse-by/suppliers/thewell-bioscience-inc-</t>
        </is>
      </c>
      <c r="F1270" t="inlineStr">
        <is>
          <t>yes</t>
        </is>
      </c>
      <c r="J1270" t="inlineStr"/>
      <c r="Y1270" t="inlineStr">
        <is>
          <t>unknown</t>
        </is>
      </c>
      <c r="Z1270" t="inlineStr"/>
      <c r="AA1270" t="inlineStr"/>
      <c r="AB1270" t="inlineStr"/>
      <c r="AC1270" t="inlineStr"/>
      <c r="AD1270" t="inlineStr">
        <is>
          <t>לא נמצא בחיפוש ראשוני</t>
        </is>
      </c>
      <c r="AE1270" t="inlineStr">
        <is>
          <t>חיפוש חלקי</t>
        </is>
      </c>
      <c r="AG1270" t="inlineStr"/>
      <c r="AH1270" t="inlineStr"/>
      <c r="AI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J1270" t="inlineStr"/>
      <c r="AP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Y1271" t="inlineStr">
        <is>
          <t>unknown</t>
        </is>
      </c>
      <c r="Z1271" t="inlineStr"/>
      <c r="AA1271" t="inlineStr"/>
      <c r="AB1271" t="inlineStr"/>
      <c r="AC1271" t="inlineStr"/>
      <c r="AD1271" t="inlineStr">
        <is>
          <t>לא נמצא בסריקת המפיצים</t>
        </is>
      </c>
      <c r="AE1271" t="inlineStr">
        <is>
          <t>סריקת אתרי מפיצים</t>
        </is>
      </c>
      <c r="AG1271" t="inlineStr"/>
      <c r="AH1271" t="inlineStr"/>
      <c r="AJ1271" t="inlineStr"/>
      <c r="AP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Y1272" t="inlineStr">
        <is>
          <t>unknown</t>
        </is>
      </c>
      <c r="Z1272" t="inlineStr"/>
      <c r="AA1272" t="inlineStr"/>
      <c r="AB1272" t="inlineStr"/>
      <c r="AC1272" t="inlineStr"/>
      <c r="AD1272" t="inlineStr">
        <is>
          <t>לא נמצא בסריקת המפיצים</t>
        </is>
      </c>
      <c r="AE1272" t="inlineStr">
        <is>
          <t>סריקת אתרי מפיצים</t>
        </is>
      </c>
      <c r="AG1272" t="inlineStr"/>
      <c r="AH1272" t="inlineStr"/>
      <c r="AJ1272" t="inlineStr"/>
      <c r="AP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Y1273" t="inlineStr">
        <is>
          <t>unknown</t>
        </is>
      </c>
      <c r="Z1273" t="inlineStr"/>
      <c r="AA1273" t="inlineStr"/>
      <c r="AB1273" t="inlineStr"/>
      <c r="AC1273" t="inlineStr"/>
      <c r="AD1273" t="inlineStr">
        <is>
          <t>לא נמצא בסריקת המפיצים</t>
        </is>
      </c>
      <c r="AE1273" t="inlineStr">
        <is>
          <t>סריקת אתרי מפיצים</t>
        </is>
      </c>
      <c r="AG1273" t="inlineStr"/>
      <c r="AH1273" t="inlineStr"/>
      <c r="AJ1273" t="inlineStr">
        <is>
          <t>20800.521.1314</t>
        </is>
      </c>
      <c r="AM1273" t="inlineStr">
        <is>
          <t>https://www.tidiproducts.com/contact-us</t>
        </is>
      </c>
      <c r="AN1273" t="inlineStr">
        <is>
          <t>https://www.tidiproducts.com/contact-us</t>
        </is>
      </c>
      <c r="AP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Y1274" t="inlineStr">
        <is>
          <t>unknown</t>
        </is>
      </c>
      <c r="Z1274" t="inlineStr"/>
      <c r="AA1274" t="inlineStr"/>
      <c r="AB1274" t="inlineStr"/>
      <c r="AC1274" t="inlineStr"/>
      <c r="AD1274" t="inlineStr">
        <is>
          <t>לא נמצא בסריקת המפיצים</t>
        </is>
      </c>
      <c r="AE1274" t="inlineStr">
        <is>
          <t>סריקת אתרי מפיצים</t>
        </is>
      </c>
      <c r="AG1274" t="inlineStr"/>
      <c r="AH1274" t="inlineStr"/>
      <c r="AJ1274" t="inlineStr">
        <is>
          <t>1 800 668-4437</t>
        </is>
      </c>
      <c r="AK1274" t="inlineStr">
        <is>
          <t>sales@tiger-vac.com</t>
        </is>
      </c>
      <c r="AM1274" t="inlineStr">
        <is>
          <t>https://tiger-vac.com/contact.aspx</t>
        </is>
      </c>
      <c r="AN1274" t="inlineStr">
        <is>
          <t>https://tiger-vac.com/contact.aspx</t>
        </is>
      </c>
      <c r="AP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Y1275" t="inlineStr">
        <is>
          <t>unknown</t>
        </is>
      </c>
      <c r="Z1275" t="inlineStr"/>
      <c r="AA1275" t="inlineStr"/>
      <c r="AB1275" t="inlineStr"/>
      <c r="AC1275" t="inlineStr"/>
      <c r="AD1275" t="inlineStr">
        <is>
          <t>לא נמצא בסריקת המפיצים</t>
        </is>
      </c>
      <c r="AE1275" t="inlineStr">
        <is>
          <t>סריקת אתרי מפיצים</t>
        </is>
      </c>
      <c r="AG1275" t="inlineStr"/>
      <c r="AH1275" t="inlineStr"/>
      <c r="AJ1275" t="inlineStr"/>
      <c r="AP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Y1276" t="inlineStr">
        <is>
          <t>unknown</t>
        </is>
      </c>
      <c r="Z1276" t="inlineStr"/>
      <c r="AA1276" t="inlineStr"/>
      <c r="AB1276" t="inlineStr"/>
      <c r="AC1276" t="inlineStr"/>
      <c r="AD1276" t="inlineStr">
        <is>
          <t>לא נמצא בסריקת המפיצים</t>
        </is>
      </c>
      <c r="AE1276" t="inlineStr">
        <is>
          <t>סריקת אתרי מפיצים</t>
        </is>
      </c>
      <c r="AG1276" t="inlineStr"/>
      <c r="AH1276" t="inlineStr"/>
      <c r="AJ1276" t="inlineStr"/>
      <c r="AP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P1277" t="n">
        <v>3100</v>
      </c>
      <c r="Q1277" t="n">
        <v>2025</v>
      </c>
      <c r="R1277" t="inlineStr">
        <is>
          <t>company</t>
        </is>
      </c>
      <c r="S1277" t="inlineStr">
        <is>
          <t>prior</t>
        </is>
      </c>
      <c r="T1277" t="n">
        <v>1220</v>
      </c>
      <c r="U1277" t="inlineStr">
        <is>
          <t>USD 1.2 billion (approx.; flat vs FY2025 USD 1,219.6 million)</t>
        </is>
      </c>
      <c r="V1277" t="inlineStr">
        <is>
          <t>FY Jun-2026</t>
        </is>
      </c>
      <c r="W1277" t="inlineStr">
        <is>
          <t>company</t>
        </is>
      </c>
      <c r="X1277" t="inlineStr">
        <is>
          <t>prior</t>
        </is>
      </c>
      <c r="Y1277" t="inlineStr">
        <is>
          <t>reported</t>
        </is>
      </c>
      <c r="Z1277" t="inlineStr">
        <is>
          <t>ProteinSimple Jess / Simple Western</t>
        </is>
      </c>
      <c r="AA1277" t="inlineStr">
        <is>
          <t>R&amp;D Systems proteins, antibodies &amp; Quantikine ELISAs</t>
        </is>
      </c>
      <c r="AB1277" t="inlineStr">
        <is>
          <t>RNAscope (ACD)</t>
        </is>
      </c>
      <c r="AC1277" t="inlineStr">
        <is>
          <t>prior</t>
        </is>
      </c>
      <c r="AD1277" t="inlineStr">
        <is>
          <t>מפיץ/נציג בישראל</t>
        </is>
      </c>
      <c r="AE1277" t="inlineStr">
        <is>
          <t>חיפוש חלקי</t>
        </is>
      </c>
      <c r="AF1277" t="n">
        <v>2026</v>
      </c>
      <c r="AG1277" t="inlineStr">
        <is>
          <t>Getter Bio-Med (Getter Group); Biotest</t>
        </is>
      </c>
      <c r="AH1277" t="inlineStr">
        <is>
          <t>Getter Bio-Med (Getter Group): +972 3-576-1555 (Getter Group switchboard); Biotest:</t>
        </is>
      </c>
      <c r="AI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J1277" t="inlineStr">
        <is>
          <t>+1 800-343-7475</t>
        </is>
      </c>
      <c r="AK1277" t="inlineStr">
        <is>
          <t>techsupport@bio-techne.com</t>
        </is>
      </c>
      <c r="AL1277" t="inlineStr">
        <is>
          <t>614 McKinley Place NE, Minneapolis, MN 55413, USA</t>
        </is>
      </c>
      <c r="AM1277" t="inlineStr">
        <is>
          <t>https://rndsystems.com/node/64566</t>
        </is>
      </c>
      <c r="AN1277" t="inlineStr">
        <is>
          <t>https://rndsystems.com/node/64566</t>
        </is>
      </c>
      <c r="AP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Y1278" t="inlineStr">
        <is>
          <t>unknown</t>
        </is>
      </c>
      <c r="Z1278" t="inlineStr"/>
      <c r="AA1278" t="inlineStr"/>
      <c r="AB1278" t="inlineStr"/>
      <c r="AC1278" t="inlineStr"/>
      <c r="AD1278" t="inlineStr">
        <is>
          <t>לא נמצא בסריקת המפיצים</t>
        </is>
      </c>
      <c r="AE1278" t="inlineStr">
        <is>
          <t>סריקת אתרי מפיצים</t>
        </is>
      </c>
      <c r="AG1278" t="inlineStr"/>
      <c r="AH1278" t="inlineStr"/>
      <c r="AJ1278" t="inlineStr"/>
      <c r="AP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clearbit_verified</t>
        </is>
      </c>
      <c r="J1279" t="inlineStr"/>
      <c r="Y1279" t="inlineStr">
        <is>
          <t>unknown</t>
        </is>
      </c>
      <c r="Z1279" t="inlineStr"/>
      <c r="AA1279" t="inlineStr"/>
      <c r="AB1279" t="inlineStr"/>
      <c r="AC1279" t="inlineStr"/>
      <c r="AD1279" t="inlineStr">
        <is>
          <t>לא נמצא בסריקת המפיצים</t>
        </is>
      </c>
      <c r="AE1279" t="inlineStr">
        <is>
          <t>סריקת אתרי מפיצים</t>
        </is>
      </c>
      <c r="AG1279" t="inlineStr"/>
      <c r="AH1279" t="inlineStr"/>
      <c r="AJ1279" t="inlineStr">
        <is>
          <t>(866) 722 6659</t>
        </is>
      </c>
      <c r="AM1279" t="inlineStr">
        <is>
          <t>https://www.torkglobal.com/us/en/about/contact-us</t>
        </is>
      </c>
      <c r="AN1279" t="inlineStr">
        <is>
          <t>https://www.torkglobal.com/us/en/about/contact-us</t>
        </is>
      </c>
      <c r="AP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Y1280" t="inlineStr">
        <is>
          <t>unknown</t>
        </is>
      </c>
      <c r="Z1280" t="inlineStr"/>
      <c r="AA1280" t="inlineStr"/>
      <c r="AB1280" t="inlineStr"/>
      <c r="AC1280" t="inlineStr"/>
      <c r="AD1280" t="inlineStr">
        <is>
          <t>לא נמצא בסריקת המפיצים</t>
        </is>
      </c>
      <c r="AE1280" t="inlineStr">
        <is>
          <t>סריקת אתרי מפיצים</t>
        </is>
      </c>
      <c r="AG1280" t="inlineStr"/>
      <c r="AH1280" t="inlineStr"/>
      <c r="AJ1280" t="inlineStr"/>
      <c r="AP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Y1281" t="inlineStr">
        <is>
          <t>unknown</t>
        </is>
      </c>
      <c r="Z1281" t="inlineStr"/>
      <c r="AA1281" t="inlineStr"/>
      <c r="AB1281" t="inlineStr"/>
      <c r="AC1281" t="inlineStr"/>
      <c r="AD1281" t="inlineStr">
        <is>
          <t>לא נמצא בסריקת המפיצים</t>
        </is>
      </c>
      <c r="AE1281" t="inlineStr">
        <is>
          <t>סריקת אתרי מפיצים</t>
        </is>
      </c>
      <c r="AG1281" t="inlineStr"/>
      <c r="AH1281" t="inlineStr"/>
      <c r="AJ1281" t="inlineStr">
        <is>
          <t>+17609309400</t>
        </is>
      </c>
      <c r="AK1281" t="inlineStr">
        <is>
          <t>sales@torreypinesscientific.com</t>
        </is>
      </c>
      <c r="AM1281" t="inlineStr">
        <is>
          <t>https://torreypinesscientific.com/contact/distributors/</t>
        </is>
      </c>
      <c r="AN1281" t="inlineStr">
        <is>
          <t>https://torreypinesscientific.com/contact/distributors/</t>
        </is>
      </c>
      <c r="AP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Y1282" t="inlineStr">
        <is>
          <t>unknown</t>
        </is>
      </c>
      <c r="Z1282" t="inlineStr"/>
      <c r="AA1282" t="inlineStr"/>
      <c r="AB1282" t="inlineStr"/>
      <c r="AC1282" t="inlineStr"/>
      <c r="AD1282" t="inlineStr">
        <is>
          <t>לא נמצא בסריקת המפיצים</t>
        </is>
      </c>
      <c r="AE1282" t="inlineStr">
        <is>
          <t>סריקת אתרי מפיצים</t>
        </is>
      </c>
      <c r="AG1282" t="inlineStr"/>
      <c r="AH1282" t="inlineStr"/>
      <c r="AJ1282" t="inlineStr">
        <is>
          <t>03 85 27 42 00</t>
        </is>
      </c>
      <c r="AM1282" t="inlineStr">
        <is>
          <t>https://www.tournus.com/nous-contacter/</t>
        </is>
      </c>
      <c r="AN1282" t="inlineStr">
        <is>
          <t>https://www.tournus.com/nous-contacter/</t>
        </is>
      </c>
      <c r="AP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clearbit_verified</t>
        </is>
      </c>
      <c r="J1283" t="inlineStr"/>
      <c r="Y1283" t="inlineStr">
        <is>
          <t>unknown</t>
        </is>
      </c>
      <c r="Z1283" t="inlineStr"/>
      <c r="AA1283" t="inlineStr"/>
      <c r="AB1283" t="inlineStr"/>
      <c r="AC1283" t="inlineStr"/>
      <c r="AD1283" t="inlineStr">
        <is>
          <t>לא נמצא בסריקת המפיצים</t>
        </is>
      </c>
      <c r="AE1283" t="inlineStr">
        <is>
          <t>סריקת אתרי מפיצים</t>
        </is>
      </c>
      <c r="AG1283" t="inlineStr"/>
      <c r="AH1283" t="inlineStr"/>
      <c r="AJ1283" t="inlineStr"/>
      <c r="AM1283" t="inlineStr">
        <is>
          <t>https://tpp-uk.com/contact_us/</t>
        </is>
      </c>
      <c r="AN1283" t="inlineStr">
        <is>
          <t>https://tpp-uk.com/contact_us/</t>
        </is>
      </c>
      <c r="AP1283" t="inlineStr">
        <is>
          <t>https://www.dutscher.com/search?initialFilters=brand:TPP | https://tpp-uk.com/contact_us/</t>
        </is>
      </c>
    </row>
    <row r="1284">
      <c r="A1284" t="n">
        <v>1283</v>
      </c>
      <c r="B1284" t="inlineStr">
        <is>
          <t>Transene Company, Inc</t>
        </is>
      </c>
      <c r="C1284" t="inlineStr">
        <is>
          <t>T</t>
        </is>
      </c>
      <c r="E1284" t="inlineStr">
        <is>
          <t>https://www.thomassci.com/browse-by/suppliers/transene-company-inc</t>
        </is>
      </c>
      <c r="F1284" t="inlineStr"/>
      <c r="J1284" t="inlineStr"/>
      <c r="Y1284" t="inlineStr">
        <is>
          <t>unknown</t>
        </is>
      </c>
      <c r="Z1284" t="inlineStr"/>
      <c r="AA1284" t="inlineStr"/>
      <c r="AB1284" t="inlineStr"/>
      <c r="AC1284" t="inlineStr"/>
      <c r="AD1284" t="inlineStr">
        <is>
          <t>לא נמצא בסריקת המפיצים</t>
        </is>
      </c>
      <c r="AE1284" t="inlineStr">
        <is>
          <t>סריקת אתרי מפיצים</t>
        </is>
      </c>
      <c r="AG1284" t="inlineStr"/>
      <c r="AH1284" t="inlineStr"/>
      <c r="AJ1284" t="inlineStr"/>
      <c r="AP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Y1285" t="inlineStr">
        <is>
          <t>unknown</t>
        </is>
      </c>
      <c r="Z1285" t="inlineStr"/>
      <c r="AA1285" t="inlineStr"/>
      <c r="AB1285" t="inlineStr"/>
      <c r="AC1285" t="inlineStr"/>
      <c r="AD1285" t="inlineStr">
        <is>
          <t>לא נמצא בסריקת המפיצים</t>
        </is>
      </c>
      <c r="AE1285" t="inlineStr">
        <is>
          <t>סריקת אתרי מפיצים</t>
        </is>
      </c>
      <c r="AG1285" t="inlineStr"/>
      <c r="AH1285" t="inlineStr"/>
      <c r="AJ1285" t="inlineStr">
        <is>
          <t>+1-419-841-9552</t>
        </is>
      </c>
      <c r="AM1285" t="inlineStr">
        <is>
          <t>https://transforming-technologies.com/contact-us/</t>
        </is>
      </c>
      <c r="AN1285" t="inlineStr">
        <is>
          <t>https://transforming-technologies.com/contact-us/</t>
        </is>
      </c>
      <c r="AP1285" t="inlineStr">
        <is>
          <t>https://www.thomassci.com/browse-by/suppliers/transforming-technologies | https://transforming-technologies.com/contact-us/</t>
        </is>
      </c>
    </row>
    <row r="1286">
      <c r="A1286" t="n">
        <v>1285</v>
      </c>
      <c r="B1286" t="inlineStr">
        <is>
          <t>Treff Nolato</t>
        </is>
      </c>
      <c r="C1286" t="inlineStr">
        <is>
          <t>D</t>
        </is>
      </c>
      <c r="D1286" t="inlineStr">
        <is>
          <t>https://www.dutscher.com/search?initialFilters=brand:Treff+Nolato</t>
        </is>
      </c>
      <c r="F1286" t="inlineStr"/>
      <c r="J1286" t="inlineStr"/>
      <c r="Y1286" t="inlineStr">
        <is>
          <t>unknown</t>
        </is>
      </c>
      <c r="Z1286" t="inlineStr"/>
      <c r="AA1286" t="inlineStr"/>
      <c r="AB1286" t="inlineStr"/>
      <c r="AC1286" t="inlineStr"/>
      <c r="AD1286" t="inlineStr">
        <is>
          <t>לא נמצא בסריקת המפיצים</t>
        </is>
      </c>
      <c r="AE1286" t="inlineStr">
        <is>
          <t>סריקת אתרי מפיצים</t>
        </is>
      </c>
      <c r="AG1286" t="inlineStr"/>
      <c r="AH1286" t="inlineStr"/>
      <c r="AJ1286" t="inlineStr"/>
      <c r="AP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Y1287" t="inlineStr">
        <is>
          <t>unknown</t>
        </is>
      </c>
      <c r="Z1287" t="inlineStr"/>
      <c r="AA1287" t="inlineStr"/>
      <c r="AB1287" t="inlineStr"/>
      <c r="AC1287" t="inlineStr"/>
      <c r="AD1287" t="inlineStr">
        <is>
          <t>לא נמצא בסריקת המפיצים</t>
        </is>
      </c>
      <c r="AE1287" t="inlineStr">
        <is>
          <t>סריקת אתרי מפיצים</t>
        </is>
      </c>
      <c r="AG1287" t="inlineStr"/>
      <c r="AH1287" t="inlineStr"/>
      <c r="AJ1287" t="inlineStr">
        <is>
          <t>+35810446911</t>
        </is>
      </c>
      <c r="AK1287" t="inlineStr">
        <is>
          <t>export@treston.com</t>
        </is>
      </c>
      <c r="AM1287" t="inlineStr">
        <is>
          <t>https://www.treston.com/contact-us</t>
        </is>
      </c>
      <c r="AN1287" t="inlineStr">
        <is>
          <t>https://www.treston.com/contact-us</t>
        </is>
      </c>
      <c r="AP1287" t="inlineStr">
        <is>
          <t>https://www.thomassci.com/browse-by/suppliers/treston | https://www.treston.com/contact-us</t>
        </is>
      </c>
    </row>
    <row r="1288">
      <c r="A1288" t="n">
        <v>1287</v>
      </c>
      <c r="B1288" t="inlineStr">
        <is>
          <t>Trevigen</t>
        </is>
      </c>
      <c r="C1288" t="inlineStr">
        <is>
          <t>Q</t>
        </is>
      </c>
      <c r="F1288" t="inlineStr">
        <is>
          <t>yes</t>
        </is>
      </c>
      <c r="J1288" t="inlineStr"/>
      <c r="Y1288" t="inlineStr">
        <is>
          <t>unknown</t>
        </is>
      </c>
      <c r="Z1288" t="inlineStr"/>
      <c r="AA1288" t="inlineStr"/>
      <c r="AB1288" t="inlineStr"/>
      <c r="AC1288" t="inlineStr"/>
      <c r="AD1288" t="inlineStr">
        <is>
          <t>לא נמצא בסריקת המפיצים</t>
        </is>
      </c>
      <c r="AE1288" t="inlineStr">
        <is>
          <t>סריקת אתרי מפיצים</t>
        </is>
      </c>
      <c r="AG1288" t="inlineStr"/>
      <c r="AH1288" t="inlineStr"/>
      <c r="AJ1288" t="inlineStr"/>
      <c r="AP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clearbit_verified</t>
        </is>
      </c>
      <c r="J1289" t="inlineStr"/>
      <c r="Y1289" t="inlineStr">
        <is>
          <t>unknown</t>
        </is>
      </c>
      <c r="Z1289" t="inlineStr"/>
      <c r="AA1289" t="inlineStr"/>
      <c r="AB1289" t="inlineStr"/>
      <c r="AC1289" t="inlineStr"/>
      <c r="AD1289" t="inlineStr">
        <is>
          <t>לא נמצא בסריקת המפיצים</t>
        </is>
      </c>
      <c r="AE1289" t="inlineStr">
        <is>
          <t>סריקת אתרי מפיצים</t>
        </is>
      </c>
      <c r="AG1289" t="inlineStr"/>
      <c r="AH1289" t="inlineStr"/>
      <c r="AJ1289" t="inlineStr">
        <is>
          <t>1-833-697-8998</t>
        </is>
      </c>
      <c r="AM1289" t="inlineStr">
        <is>
          <t>https://tribioscience.com/contact-us/</t>
        </is>
      </c>
      <c r="AN1289" t="inlineStr">
        <is>
          <t>https://tribioscience.com/contact-us/</t>
        </is>
      </c>
      <c r="AP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Y1290" t="inlineStr">
        <is>
          <t>unknown</t>
        </is>
      </c>
      <c r="Z1290" t="inlineStr"/>
      <c r="AA1290" t="inlineStr"/>
      <c r="AB1290" t="inlineStr"/>
      <c r="AC1290" t="inlineStr"/>
      <c r="AD1290" t="inlineStr">
        <is>
          <t>לא נמצא בחיפוש ראשוני</t>
        </is>
      </c>
      <c r="AE1290" t="inlineStr">
        <is>
          <t>חיפוש חלקי</t>
        </is>
      </c>
      <c r="AG1290" t="inlineStr"/>
      <c r="AH1290" t="inlineStr"/>
      <c r="AI1290" t="inlineStr">
        <is>
          <t>Only US reseller listings (Genesee Scientific) for TriForest Labware flasks; Israeli distributor pages that surfaced (Rhenium, Enco, Ornat) do not list TriForest. Note: website in targets (triforestflooring.ca) is a flooring company, not the labware maker.</t>
        </is>
      </c>
      <c r="AJ1290" t="inlineStr">
        <is>
          <t>+120(949)20380-8866</t>
        </is>
      </c>
      <c r="AK1290" t="inlineStr">
        <is>
          <t>info@triforest.com</t>
        </is>
      </c>
      <c r="AM1290" t="inlineStr">
        <is>
          <t>https://www.triforest.com/contact/</t>
        </is>
      </c>
      <c r="AN1290" t="inlineStr">
        <is>
          <t>https://www.triforest.com/contact/</t>
        </is>
      </c>
      <c r="AP1290" t="inlineStr">
        <is>
          <t>https://www.dutscher.com/search?initialFilters=brand:Triforest | https://www.quartzy.com/suppliers | https://www.thomassci.com/browse-by/suppliers/triforest | https://www.triforest.com/contact/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Y1291" t="inlineStr">
        <is>
          <t>unknown</t>
        </is>
      </c>
      <c r="Z1291" t="inlineStr"/>
      <c r="AA1291" t="inlineStr"/>
      <c r="AB1291" t="inlineStr"/>
      <c r="AC1291" t="inlineStr"/>
      <c r="AD1291" t="inlineStr">
        <is>
          <t>לא נמצא בסריקת המפיצים</t>
        </is>
      </c>
      <c r="AE1291" t="inlineStr">
        <is>
          <t>סריקת אתרי מפיצים</t>
        </is>
      </c>
      <c r="AG1291" t="inlineStr"/>
      <c r="AH1291" t="inlineStr"/>
      <c r="AJ1291" t="inlineStr">
        <is>
          <t>71205021000038</t>
        </is>
      </c>
      <c r="AM1291" t="inlineStr">
        <is>
          <t>https://trionyx.fr/en/contacts/receive-the-catalog</t>
        </is>
      </c>
      <c r="AN1291" t="inlineStr">
        <is>
          <t>https://trionyx.fr/en/contacts/receive-the-catalog</t>
        </is>
      </c>
      <c r="AP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clearbit_verified</t>
        </is>
      </c>
      <c r="J1292" t="inlineStr"/>
      <c r="Y1292" t="inlineStr">
        <is>
          <t>unknown</t>
        </is>
      </c>
      <c r="Z1292" t="inlineStr"/>
      <c r="AA1292" t="inlineStr"/>
      <c r="AB1292" t="inlineStr"/>
      <c r="AC1292" t="inlineStr"/>
      <c r="AD1292" t="inlineStr">
        <is>
          <t>מפיץ/נציג בישראל</t>
        </is>
      </c>
      <c r="AE1292" t="inlineStr">
        <is>
          <t>סריקת אתרי מפיצים</t>
        </is>
      </c>
      <c r="AF1292" t="n">
        <v>2026</v>
      </c>
      <c r="AG1292" t="inlineStr">
        <is>
          <t>Yair Technologies</t>
        </is>
      </c>
      <c r="AH1292" t="inlineStr">
        <is>
          <t>Yair Technologies: +97288544856 contact@yairtech.co.il</t>
        </is>
      </c>
      <c r="AI1292" t="inlineStr">
        <is>
          <t>No result mentions TrippNT; hits are Tripp Lite Israel (Minicom, Jerusalem) and audio/electronics distributors - different companies.</t>
        </is>
      </c>
      <c r="AJ1292" t="inlineStr">
        <is>
          <t>+1 (800)874-7768</t>
        </is>
      </c>
      <c r="AK1292" t="inlineStr">
        <is>
          <t>sales@trippnt.com</t>
        </is>
      </c>
      <c r="AM1292" t="inlineStr">
        <is>
          <t>https://www.trippnt.com/contactus</t>
        </is>
      </c>
      <c r="AN1292" t="inlineStr">
        <is>
          <t>https://www.trippnt.com/contactus</t>
        </is>
      </c>
      <c r="AP1292" t="inlineStr">
        <is>
          <t>https://www.quartzy.com/suppliers | https://www.thomassci.com/browse-by/suppliers/trippnt | https://www.yairtech.co.il/partners/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Y1293" t="inlineStr">
        <is>
          <t>unknown</t>
        </is>
      </c>
      <c r="Z1293" t="inlineStr"/>
      <c r="AA1293" t="inlineStr"/>
      <c r="AB1293" t="inlineStr"/>
      <c r="AC1293" t="inlineStr"/>
      <c r="AD1293" t="inlineStr">
        <is>
          <t>לא נמצא בחיפוש ראשוני</t>
        </is>
      </c>
      <c r="AE1293" t="inlineStr">
        <is>
          <t>חיפוש חלקי</t>
        </is>
      </c>
      <c r="AG1293" t="inlineStr"/>
      <c r="AH1293" t="inlineStr"/>
      <c r="AI1293" t="inlineStr">
        <is>
          <t>No result mentioned Troemner; only unrelated Israeli companies.</t>
        </is>
      </c>
      <c r="AJ1293" t="inlineStr"/>
      <c r="AP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Y1294" t="inlineStr">
        <is>
          <t>unknown</t>
        </is>
      </c>
      <c r="Z1294" t="inlineStr"/>
      <c r="AA1294" t="inlineStr"/>
      <c r="AB1294" t="inlineStr"/>
      <c r="AC1294" t="inlineStr"/>
      <c r="AD1294" t="inlineStr">
        <is>
          <t>לא נמצא בסריקת המפיצים</t>
        </is>
      </c>
      <c r="AE1294" t="inlineStr">
        <is>
          <t>סריקת אתרי מפיצים</t>
        </is>
      </c>
      <c r="AG1294" t="inlineStr"/>
      <c r="AH1294" t="inlineStr"/>
      <c r="AJ1294" t="inlineStr"/>
      <c r="AP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Y1295" t="inlineStr">
        <is>
          <t>unknown</t>
        </is>
      </c>
      <c r="Z1295" t="inlineStr"/>
      <c r="AA1295" t="inlineStr"/>
      <c r="AB1295" t="inlineStr"/>
      <c r="AC1295" t="inlineStr"/>
      <c r="AD1295" t="inlineStr">
        <is>
          <t>לא נמצא בסריקת המפיצים</t>
        </is>
      </c>
      <c r="AE1295" t="inlineStr">
        <is>
          <t>סריקת אתרי מפיצים</t>
        </is>
      </c>
      <c r="AG1295" t="inlineStr"/>
      <c r="AH1295" t="inlineStr"/>
      <c r="AJ1295" t="inlineStr"/>
      <c r="AP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Y1296" t="inlineStr">
        <is>
          <t>unknown</t>
        </is>
      </c>
      <c r="Z1296" t="inlineStr"/>
      <c r="AA1296" t="inlineStr"/>
      <c r="AB1296" t="inlineStr"/>
      <c r="AC1296" t="inlineStr"/>
      <c r="AD1296" t="inlineStr">
        <is>
          <t>לא נמצא בסריקת המפיצים</t>
        </is>
      </c>
      <c r="AE1296" t="inlineStr">
        <is>
          <t>סריקת אתרי מפיצים</t>
        </is>
      </c>
      <c r="AG1296" t="inlineStr"/>
      <c r="AH1296" t="inlineStr"/>
      <c r="AJ1296" t="inlineStr"/>
      <c r="AP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Y1297" t="inlineStr">
        <is>
          <t>unknown</t>
        </is>
      </c>
      <c r="Z1297" t="inlineStr"/>
      <c r="AA1297" t="inlineStr"/>
      <c r="AB1297" t="inlineStr"/>
      <c r="AC1297" t="inlineStr"/>
      <c r="AD1297" t="inlineStr">
        <is>
          <t>לא נמצא בסריקת המפיצים</t>
        </is>
      </c>
      <c r="AE1297" t="inlineStr">
        <is>
          <t>סריקת אתרי מפיצים</t>
        </is>
      </c>
      <c r="AG1297" t="inlineStr"/>
      <c r="AH1297" t="inlineStr"/>
      <c r="AJ1297" t="inlineStr"/>
      <c r="AP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Y1298" t="inlineStr">
        <is>
          <t>unknown</t>
        </is>
      </c>
      <c r="Z1298" t="inlineStr"/>
      <c r="AA1298" t="inlineStr"/>
      <c r="AB1298" t="inlineStr"/>
      <c r="AC1298" t="inlineStr"/>
      <c r="AD1298" t="inlineStr">
        <is>
          <t>לא נמצא בסריקת המפיצים</t>
        </is>
      </c>
      <c r="AE1298" t="inlineStr">
        <is>
          <t>סריקת אתרי מפיצים</t>
        </is>
      </c>
      <c r="AG1298" t="inlineStr"/>
      <c r="AH1298" t="inlineStr"/>
      <c r="AJ1298" t="inlineStr">
        <is>
          <t>+441954233110</t>
        </is>
      </c>
      <c r="AK1298" t="inlineStr">
        <is>
          <t>sales@camlab.co.uk</t>
        </is>
      </c>
      <c r="AM1298" t="inlineStr">
        <is>
          <t>https://www.camlab.co.uk/contact-us-camlab</t>
        </is>
      </c>
      <c r="AN1298" t="inlineStr">
        <is>
          <t>https://www.camlab.co.uk/contact-us-camlab</t>
        </is>
      </c>
      <c r="AP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Y1299" t="inlineStr">
        <is>
          <t>unknown</t>
        </is>
      </c>
      <c r="Z1299" t="inlineStr"/>
      <c r="AA1299" t="inlineStr"/>
      <c r="AB1299" t="inlineStr"/>
      <c r="AC1299" t="inlineStr"/>
      <c r="AD1299" t="inlineStr">
        <is>
          <t>לא נמצא בסריקת המפיצים</t>
        </is>
      </c>
      <c r="AE1299" t="inlineStr">
        <is>
          <t>סריקת אתרי מפיצים</t>
        </is>
      </c>
      <c r="AG1299" t="inlineStr"/>
      <c r="AH1299" t="inlineStr"/>
      <c r="AJ1299" t="inlineStr"/>
      <c r="AP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Y1300" t="inlineStr">
        <is>
          <t>unknown</t>
        </is>
      </c>
      <c r="Z1300" t="inlineStr"/>
      <c r="AA1300" t="inlineStr"/>
      <c r="AB1300" t="inlineStr"/>
      <c r="AC1300" t="inlineStr"/>
      <c r="AD1300" t="inlineStr">
        <is>
          <t>חברה-בת בישראל</t>
        </is>
      </c>
      <c r="AE1300" t="inlineStr">
        <is>
          <t>חיפוש חלקי</t>
        </is>
      </c>
      <c r="AF1300" t="n">
        <v>2026</v>
      </c>
      <c r="AG1300" t="inlineStr">
        <is>
          <t>Tuttnauer Ltd.</t>
        </is>
      </c>
      <c r="AH1300" t="inlineStr">
        <is>
          <t>Tuttnauer Ltd.:</t>
        </is>
      </c>
      <c r="AI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J1300" t="inlineStr"/>
      <c r="AN1300" t="inlineStr">
        <is>
          <t>https://tuttnauer.com/</t>
        </is>
      </c>
      <c r="AP1300" t="inlineStr">
        <is>
          <t>https://www.dutscher.com/search?initialFilters=brand:Tuttnauer | https://www.thomassci.com/browse-by/suppliers/tuttnauer-ltd- | https://tuttnauer.com/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Y1301" t="inlineStr">
        <is>
          <t>unknown</t>
        </is>
      </c>
      <c r="Z1301" t="inlineStr"/>
      <c r="AA1301" t="inlineStr"/>
      <c r="AB1301" t="inlineStr"/>
      <c r="AC1301" t="inlineStr"/>
      <c r="AD1301" t="inlineStr">
        <is>
          <t>לא נמצא בסריקת המפיצים</t>
        </is>
      </c>
      <c r="AE1301" t="inlineStr">
        <is>
          <t>סריקת אתרי מפיצים</t>
        </is>
      </c>
      <c r="AG1301" t="inlineStr"/>
      <c r="AH1301" t="inlineStr"/>
      <c r="AJ1301" t="inlineStr"/>
      <c r="AP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Y1302" t="inlineStr">
        <is>
          <t>unknown</t>
        </is>
      </c>
      <c r="Z1302" t="inlineStr"/>
      <c r="AA1302" t="inlineStr"/>
      <c r="AB1302" t="inlineStr"/>
      <c r="AC1302" t="inlineStr"/>
      <c r="AD1302" t="inlineStr">
        <is>
          <t>לא נמצא בסריקת המפיצים</t>
        </is>
      </c>
      <c r="AE1302" t="inlineStr">
        <is>
          <t>סריקת אתרי מפיצים</t>
        </is>
      </c>
      <c r="AG1302" t="inlineStr"/>
      <c r="AH1302" t="inlineStr"/>
      <c r="AJ1302" t="inlineStr"/>
      <c r="AP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clearbit_verified</t>
        </is>
      </c>
      <c r="J1303" t="inlineStr"/>
      <c r="Y1303" t="inlineStr">
        <is>
          <t>unknown</t>
        </is>
      </c>
      <c r="Z1303" t="inlineStr"/>
      <c r="AA1303" t="inlineStr"/>
      <c r="AB1303" t="inlineStr"/>
      <c r="AC1303" t="inlineStr"/>
      <c r="AD1303" t="inlineStr">
        <is>
          <t>לא נמצא בסריקת המפיצים</t>
        </is>
      </c>
      <c r="AE1303" t="inlineStr">
        <is>
          <t>סריקת אתרי מפיצים</t>
        </is>
      </c>
      <c r="AG1303" t="inlineStr"/>
      <c r="AH1303" t="inlineStr"/>
      <c r="AJ1303" t="inlineStr">
        <is>
          <t>1-800-295-5510</t>
        </is>
      </c>
      <c r="AK1303" t="inlineStr">
        <is>
          <t>customer.service@uline.com</t>
        </is>
      </c>
      <c r="AM1303" t="inlineStr">
        <is>
          <t>https://www.uline.com/CustomerService/ContactUs_Menu</t>
        </is>
      </c>
      <c r="AN1303" t="inlineStr">
        <is>
          <t>https://www.uline.com/CustomerService/ContactUs_Menu</t>
        </is>
      </c>
      <c r="AP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Y1304" t="inlineStr">
        <is>
          <t>unknown</t>
        </is>
      </c>
      <c r="Z1304" t="inlineStr"/>
      <c r="AA1304" t="inlineStr"/>
      <c r="AB1304" t="inlineStr"/>
      <c r="AC1304" t="inlineStr"/>
      <c r="AD1304" t="inlineStr">
        <is>
          <t>לא נמצא בסריקת המפיצים</t>
        </is>
      </c>
      <c r="AE1304" t="inlineStr">
        <is>
          <t>סריקת אתרי מפיצים</t>
        </is>
      </c>
      <c r="AG1304" t="inlineStr"/>
      <c r="AH1304" t="inlineStr"/>
      <c r="AJ1304" t="inlineStr"/>
      <c r="AP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Y1305" t="inlineStr">
        <is>
          <t>unknown</t>
        </is>
      </c>
      <c r="Z1305" t="inlineStr"/>
      <c r="AA1305" t="inlineStr"/>
      <c r="AB1305" t="inlineStr"/>
      <c r="AC1305" t="inlineStr"/>
      <c r="AD1305" t="inlineStr">
        <is>
          <t>לא נמצא בסריקת המפיצים</t>
        </is>
      </c>
      <c r="AE1305" t="inlineStr">
        <is>
          <t>סריקת אתרי מפיצים</t>
        </is>
      </c>
      <c r="AG1305" t="inlineStr"/>
      <c r="AH1305" t="inlineStr"/>
      <c r="AJ1305" t="inlineStr">
        <is>
          <t>1382 832999</t>
        </is>
      </c>
      <c r="AK1305" t="inlineStr">
        <is>
          <t>info@ultratape.com</t>
        </is>
      </c>
      <c r="AM1305" t="inlineStr">
        <is>
          <t>https://www.ultratape.com/contact-us/</t>
        </is>
      </c>
      <c r="AN1305" t="inlineStr">
        <is>
          <t>https://www.ultratape.com/contact-us/</t>
        </is>
      </c>
      <c r="AP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Y1306" t="inlineStr">
        <is>
          <t>unknown</t>
        </is>
      </c>
      <c r="Z1306" t="inlineStr"/>
      <c r="AA1306" t="inlineStr"/>
      <c r="AB1306" t="inlineStr"/>
      <c r="AC1306" t="inlineStr"/>
      <c r="AD1306" t="inlineStr">
        <is>
          <t>לא נמצא בסריקת המפיצים</t>
        </is>
      </c>
      <c r="AE1306" t="inlineStr">
        <is>
          <t>סריקת אתרי מפיצים</t>
        </is>
      </c>
      <c r="AG1306" t="inlineStr"/>
      <c r="AH1306" t="inlineStr"/>
      <c r="AJ1306" t="inlineStr"/>
      <c r="AP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Y1307" t="inlineStr">
        <is>
          <t>unknown</t>
        </is>
      </c>
      <c r="Z1307" t="inlineStr"/>
      <c r="AA1307" t="inlineStr"/>
      <c r="AB1307" t="inlineStr"/>
      <c r="AC1307" t="inlineStr"/>
      <c r="AD1307" t="inlineStr">
        <is>
          <t>לא נמצא בסריקת המפיצים</t>
        </is>
      </c>
      <c r="AE1307" t="inlineStr">
        <is>
          <t>סריקת אתרי מפיצים</t>
        </is>
      </c>
      <c r="AG1307" t="inlineStr"/>
      <c r="AH1307" t="inlineStr"/>
      <c r="AJ1307" t="inlineStr"/>
      <c r="AP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Y1308" t="inlineStr">
        <is>
          <t>unknown</t>
        </is>
      </c>
      <c r="Z1308" t="inlineStr"/>
      <c r="AA1308" t="inlineStr"/>
      <c r="AB1308" t="inlineStr"/>
      <c r="AC1308" t="inlineStr"/>
      <c r="AD1308" t="inlineStr">
        <is>
          <t>לא נמצא בסריקת המפיצים</t>
        </is>
      </c>
      <c r="AE1308" t="inlineStr">
        <is>
          <t>סריקת אתרי מפיצים</t>
        </is>
      </c>
      <c r="AG1308" t="inlineStr"/>
      <c r="AH1308" t="inlineStr"/>
      <c r="AJ1308" t="inlineStr"/>
      <c r="AP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Y1309" t="inlineStr">
        <is>
          <t>unknown</t>
        </is>
      </c>
      <c r="Z1309" t="inlineStr"/>
      <c r="AA1309" t="inlineStr"/>
      <c r="AB1309" t="inlineStr"/>
      <c r="AC1309" t="inlineStr"/>
      <c r="AD1309" t="inlineStr">
        <is>
          <t>לא נמצא בחיפוש ראשוני</t>
        </is>
      </c>
      <c r="AE1309" t="inlineStr">
        <is>
          <t>חיפוש חלקי</t>
        </is>
      </c>
      <c r="AG1309" t="inlineStr"/>
      <c r="AH1309" t="inlineStr"/>
      <c r="AI1309" t="inlineStr">
        <is>
          <t>United Scientific Supplies Inc. (Libertyville, IL) appears only on Fisher Scientific brand pages; the South African 'United Scientific (Pty)' is unrelated; Israeli distributor hits (Enco, Agentek, Rhenium, Eisenberg) do not mention it.</t>
        </is>
      </c>
      <c r="AJ1309" t="inlineStr"/>
      <c r="AP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Y1310" t="inlineStr">
        <is>
          <t>unknown</t>
        </is>
      </c>
      <c r="Z1310" t="inlineStr"/>
      <c r="AA1310" t="inlineStr"/>
      <c r="AB1310" t="inlineStr"/>
      <c r="AC1310" t="inlineStr"/>
      <c r="AD1310" t="inlineStr">
        <is>
          <t>לא נמצא בסריקת המפיצים</t>
        </is>
      </c>
      <c r="AE1310" t="inlineStr">
        <is>
          <t>סריקת אתרי מפיצים</t>
        </is>
      </c>
      <c r="AG1310" t="inlineStr"/>
      <c r="AH1310" t="inlineStr"/>
      <c r="AJ1310" t="inlineStr"/>
      <c r="AP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Y1311" t="inlineStr">
        <is>
          <t>unknown</t>
        </is>
      </c>
      <c r="Z1311" t="inlineStr"/>
      <c r="AA1311" t="inlineStr"/>
      <c r="AB1311" t="inlineStr"/>
      <c r="AC1311" t="inlineStr"/>
      <c r="AD1311" t="inlineStr">
        <is>
          <t>לא נמצא בסריקת המפיצים</t>
        </is>
      </c>
      <c r="AE1311" t="inlineStr">
        <is>
          <t>סריקת אתרי מפיצים</t>
        </is>
      </c>
      <c r="AG1311" t="inlineStr"/>
      <c r="AH1311" t="inlineStr"/>
      <c r="AJ1311" t="inlineStr"/>
      <c r="AP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Y1312" t="inlineStr">
        <is>
          <t>unknown</t>
        </is>
      </c>
      <c r="Z1312" t="inlineStr"/>
      <c r="AA1312" t="inlineStr"/>
      <c r="AB1312" t="inlineStr"/>
      <c r="AC1312" t="inlineStr"/>
      <c r="AD1312" t="inlineStr">
        <is>
          <t>לא נמצא בסריקת המפיצים</t>
        </is>
      </c>
      <c r="AE1312" t="inlineStr">
        <is>
          <t>סריקת אתרי מפיצים</t>
        </is>
      </c>
      <c r="AG1312" t="inlineStr"/>
      <c r="AH1312" t="inlineStr"/>
      <c r="AJ1312" t="inlineStr"/>
      <c r="AP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Y1313" t="inlineStr">
        <is>
          <t>unknown</t>
        </is>
      </c>
      <c r="Z1313" t="inlineStr"/>
      <c r="AA1313" t="inlineStr"/>
      <c r="AB1313" t="inlineStr"/>
      <c r="AC1313" t="inlineStr"/>
      <c r="AD1313" t="inlineStr">
        <is>
          <t>לא נמצא בסריקת המפיצים</t>
        </is>
      </c>
      <c r="AE1313" t="inlineStr">
        <is>
          <t>סריקת אתרי מפיצים</t>
        </is>
      </c>
      <c r="AG1313" t="inlineStr"/>
      <c r="AH1313" t="inlineStr"/>
      <c r="AJ1313" t="inlineStr"/>
      <c r="AP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Y1314" t="inlineStr">
        <is>
          <t>unknown</t>
        </is>
      </c>
      <c r="Z1314" t="inlineStr"/>
      <c r="AA1314" t="inlineStr"/>
      <c r="AB1314" t="inlineStr"/>
      <c r="AC1314" t="inlineStr"/>
      <c r="AD1314" t="inlineStr">
        <is>
          <t>לא נמצא בסריקת המפיצים</t>
        </is>
      </c>
      <c r="AE1314" t="inlineStr">
        <is>
          <t>סריקת אתרי מפיצים</t>
        </is>
      </c>
      <c r="AG1314" t="inlineStr"/>
      <c r="AH1314" t="inlineStr"/>
      <c r="AJ1314" t="inlineStr">
        <is>
          <t>(714) 229.3100</t>
        </is>
      </c>
      <c r="AK1314" t="inlineStr">
        <is>
          <t>customerservice@ushio.com</t>
        </is>
      </c>
      <c r="AM1314" t="inlineStr">
        <is>
          <t>https://www.ushio.com/contact-us/</t>
        </is>
      </c>
      <c r="AN1314" t="inlineStr">
        <is>
          <t>https://www.ushio.com/contact-us/</t>
        </is>
      </c>
      <c r="AP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Y1315" t="inlineStr">
        <is>
          <t>unknown</t>
        </is>
      </c>
      <c r="Z1315" t="inlineStr"/>
      <c r="AA1315" t="inlineStr"/>
      <c r="AB1315" t="inlineStr"/>
      <c r="AC1315" t="inlineStr"/>
      <c r="AD1315" t="inlineStr">
        <is>
          <t>לא נמצא בסריקת המפיצים</t>
        </is>
      </c>
      <c r="AE1315" t="inlineStr">
        <is>
          <t>סריקת אתרי מפיצים</t>
        </is>
      </c>
      <c r="AG1315" t="inlineStr"/>
      <c r="AH1315" t="inlineStr"/>
      <c r="AJ1315" t="inlineStr"/>
      <c r="AP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Y1316" t="inlineStr">
        <is>
          <t>unknown</t>
        </is>
      </c>
      <c r="Z1316" t="inlineStr"/>
      <c r="AA1316" t="inlineStr"/>
      <c r="AB1316" t="inlineStr"/>
      <c r="AC1316" t="inlineStr"/>
      <c r="AD1316" t="inlineStr">
        <is>
          <t>לא נמצא בחיפוש ראשוני</t>
        </is>
      </c>
      <c r="AE1316" t="inlineStr">
        <is>
          <t>חיפוש חלקי</t>
        </is>
      </c>
      <c r="AG1316" t="inlineStr"/>
      <c r="AH1316" t="inlineStr"/>
      <c r="AI1316" t="inlineStr">
        <is>
          <t>Searched as uvex safety: no importer/distributor named; a Newegg Israel storefront lists uvex safety products priced in shekels (marketplace, not an official channel).</t>
        </is>
      </c>
      <c r="AJ1316" t="inlineStr"/>
      <c r="AP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Y1317" t="inlineStr">
        <is>
          <t>unknown</t>
        </is>
      </c>
      <c r="Z1317" t="inlineStr"/>
      <c r="AA1317" t="inlineStr"/>
      <c r="AB1317" t="inlineStr"/>
      <c r="AC1317" t="inlineStr"/>
      <c r="AD1317" t="inlineStr">
        <is>
          <t>לא נמצא בסריקת המפיצים</t>
        </is>
      </c>
      <c r="AE1317" t="inlineStr">
        <is>
          <t>סריקת אתרי מפיצים</t>
        </is>
      </c>
      <c r="AG1317" t="inlineStr"/>
      <c r="AH1317" t="inlineStr"/>
      <c r="AJ1317" t="inlineStr"/>
      <c r="AP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Y1318" t="inlineStr">
        <is>
          <t>unknown</t>
        </is>
      </c>
      <c r="Z1318" t="inlineStr"/>
      <c r="AA1318" t="inlineStr"/>
      <c r="AB1318" t="inlineStr"/>
      <c r="AC1318" t="inlineStr"/>
      <c r="AD1318" t="inlineStr">
        <is>
          <t>לא נמצא בסריקת המפיצים</t>
        </is>
      </c>
      <c r="AE1318" t="inlineStr">
        <is>
          <t>סריקת אתרי מפיצים</t>
        </is>
      </c>
      <c r="AG1318" t="inlineStr"/>
      <c r="AH1318" t="inlineStr"/>
      <c r="AJ1318" t="inlineStr"/>
      <c r="AK1318" t="inlineStr">
        <is>
          <t>contact@uvitec.co.uk</t>
        </is>
      </c>
      <c r="AM1318" t="inlineStr">
        <is>
          <t>https://uvitec.co.uk/contact</t>
        </is>
      </c>
      <c r="AN1318" t="inlineStr">
        <is>
          <t>https://uvitec.co.uk/contact</t>
        </is>
      </c>
      <c r="AP1318" t="inlineStr">
        <is>
          <t>https://www.dutscher.com/search?initialFilters=brand:Uvitec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Y1319" t="inlineStr">
        <is>
          <t>unknown</t>
        </is>
      </c>
      <c r="Z1319" t="inlineStr"/>
      <c r="AA1319" t="inlineStr"/>
      <c r="AB1319" t="inlineStr"/>
      <c r="AC1319" t="inlineStr"/>
      <c r="AD1319" t="inlineStr">
        <is>
          <t>לא נמצא בסריקת המפיצים</t>
        </is>
      </c>
      <c r="AE1319" t="inlineStr">
        <is>
          <t>סריקת אתרי מפיצים</t>
        </is>
      </c>
      <c r="AG1319" t="inlineStr"/>
      <c r="AH1319" t="inlineStr"/>
      <c r="AJ1319" t="inlineStr">
        <is>
          <t>+4993428080</t>
        </is>
      </c>
      <c r="AK1319" t="inlineStr">
        <is>
          <t>info@vacuubrand.com</t>
        </is>
      </c>
      <c r="AM1319" t="inlineStr">
        <is>
          <t>https://www.vacuubrand.com/service-advice/contact</t>
        </is>
      </c>
      <c r="AN1319" t="inlineStr">
        <is>
          <t>https://www.vacuubrand.com/service-advice/contact</t>
        </is>
      </c>
      <c r="AP1319" t="inlineStr">
        <is>
          <t>https://www.dutscher.com/search?initialFilters=brand:Vacuubrand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clearbit_verified</t>
        </is>
      </c>
      <c r="J1320" t="inlineStr"/>
      <c r="Y1320" t="inlineStr">
        <is>
          <t>unknown</t>
        </is>
      </c>
      <c r="Z1320" t="inlineStr"/>
      <c r="AA1320" t="inlineStr"/>
      <c r="AB1320" t="inlineStr"/>
      <c r="AC1320" t="inlineStr"/>
      <c r="AD1320" t="inlineStr">
        <is>
          <t>לא נמצא בסריקת המפיצים</t>
        </is>
      </c>
      <c r="AE1320" t="inlineStr">
        <is>
          <t>סריקת אתרי מפיצים</t>
        </is>
      </c>
      <c r="AG1320" t="inlineStr"/>
      <c r="AH1320" t="inlineStr"/>
      <c r="AJ1320" t="inlineStr"/>
      <c r="AM1320" t="inlineStr">
        <is>
          <t>https://www.valeo.com/en/calendar-and-contacts/</t>
        </is>
      </c>
      <c r="AN1320" t="inlineStr">
        <is>
          <t>https://www.valeo.com/en/calendar-and-contacts/</t>
        </is>
      </c>
      <c r="AP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Y1321" t="inlineStr">
        <is>
          <t>unknown</t>
        </is>
      </c>
      <c r="Z1321" t="inlineStr"/>
      <c r="AA1321" t="inlineStr"/>
      <c r="AB1321" t="inlineStr"/>
      <c r="AC1321" t="inlineStr"/>
      <c r="AD1321" t="inlineStr">
        <is>
          <t>לא נמצא בסריקת המפיצים</t>
        </is>
      </c>
      <c r="AE1321" t="inlineStr">
        <is>
          <t>סריקת אתרי מפיצים</t>
        </is>
      </c>
      <c r="AG1321" t="inlineStr"/>
      <c r="AH1321" t="inlineStr"/>
      <c r="AJ1321" t="inlineStr">
        <is>
          <t>+1-800-763-1250</t>
        </is>
      </c>
      <c r="AM1321" t="inlineStr">
        <is>
          <t>https://www.valutek.com/contact-us</t>
        </is>
      </c>
      <c r="AN1321" t="inlineStr">
        <is>
          <t>https://www.valutek.com/contact-us</t>
        </is>
      </c>
      <c r="AP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Y1322" t="inlineStr">
        <is>
          <t>unknown</t>
        </is>
      </c>
      <c r="Z1322" t="inlineStr"/>
      <c r="AA1322" t="inlineStr"/>
      <c r="AB1322" t="inlineStr"/>
      <c r="AC1322" t="inlineStr"/>
      <c r="AD1322" t="inlineStr">
        <is>
          <t>לא נמצא בחיפוש ראשוני</t>
        </is>
      </c>
      <c r="AE1322" t="inlineStr">
        <is>
          <t>חיפוש חלקי</t>
        </is>
      </c>
      <c r="AG1322" t="inlineStr"/>
      <c r="AH1322" t="inlineStr"/>
      <c r="AI1322" t="inlineStr">
        <is>
          <t>Only company profiles (Middleton, WI); name-confusion hits Varizig (Kamada) and VarSome (Danyel Biotech) are unrelated.</t>
        </is>
      </c>
      <c r="AJ1322" t="inlineStr">
        <is>
          <t>608-824-0160</t>
        </is>
      </c>
      <c r="AK1322" t="inlineStr">
        <is>
          <t>info@varizymes.com</t>
        </is>
      </c>
      <c r="AM1322" t="inlineStr">
        <is>
          <t>https://www.varizymes.com/pages/contact-us-oem</t>
        </is>
      </c>
      <c r="AN1322" t="inlineStr">
        <is>
          <t>https://www.varizymes.com/pages/contact-us-oem</t>
        </is>
      </c>
      <c r="AP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Y1323" t="inlineStr">
        <is>
          <t>unknown</t>
        </is>
      </c>
      <c r="Z1323" t="inlineStr"/>
      <c r="AA1323" t="inlineStr"/>
      <c r="AB1323" t="inlineStr"/>
      <c r="AC1323" t="inlineStr"/>
      <c r="AD1323" t="inlineStr">
        <is>
          <t>לא נמצא בסריקת המפיצים</t>
        </is>
      </c>
      <c r="AE1323" t="inlineStr">
        <is>
          <t>סריקת אתרי מפיצים</t>
        </is>
      </c>
      <c r="AG1323" t="inlineStr"/>
      <c r="AH1323" t="inlineStr"/>
      <c r="AJ1323" t="inlineStr"/>
      <c r="AP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Y1324" t="inlineStr">
        <is>
          <t>unknown</t>
        </is>
      </c>
      <c r="Z1324" t="inlineStr"/>
      <c r="AA1324" t="inlineStr"/>
      <c r="AB1324" t="inlineStr"/>
      <c r="AC1324" t="inlineStr"/>
      <c r="AD1324" t="inlineStr">
        <is>
          <t>לא נמצא בסריקת המפיצים</t>
        </is>
      </c>
      <c r="AE1324" t="inlineStr">
        <is>
          <t>סריקת אתרי מפיצים</t>
        </is>
      </c>
      <c r="AG1324" t="inlineStr"/>
      <c r="AH1324" t="inlineStr"/>
      <c r="AJ1324" t="inlineStr">
        <is>
          <t>+1 484-325-5100</t>
        </is>
      </c>
      <c r="AK1324" t="inlineStr">
        <is>
          <t>info@vectorbiolabs.com</t>
        </is>
      </c>
      <c r="AN1324" t="inlineStr">
        <is>
          <t>https://www.vectorbiolabs.com/</t>
        </is>
      </c>
      <c r="AP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Y1325" t="inlineStr">
        <is>
          <t>unknown</t>
        </is>
      </c>
      <c r="Z1325" t="inlineStr"/>
      <c r="AA1325" t="inlineStr"/>
      <c r="AB1325" t="inlineStr"/>
      <c r="AC1325" t="inlineStr"/>
      <c r="AD1325" t="inlineStr">
        <is>
          <t>לא נמצא בסריקת המפיצים</t>
        </is>
      </c>
      <c r="AE1325" t="inlineStr">
        <is>
          <t>סריקת אתרי מפיצים</t>
        </is>
      </c>
      <c r="AG1325" t="inlineStr"/>
      <c r="AH1325" t="inlineStr"/>
      <c r="AJ1325" t="inlineStr"/>
      <c r="AP1325" t="inlineStr">
        <is>
          <t>https://www.quartzy.com/suppliers</t>
        </is>
      </c>
    </row>
    <row r="1326">
      <c r="A1326" t="n">
        <v>1325</v>
      </c>
      <c r="B1326" t="inlineStr">
        <is>
          <t>Vectornate USA</t>
        </is>
      </c>
      <c r="C1326" t="inlineStr">
        <is>
          <t>T</t>
        </is>
      </c>
      <c r="E1326" t="inlineStr">
        <is>
          <t>https://www.thomassci.com/browse-by/suppliers/vectornate-usa</t>
        </is>
      </c>
      <c r="F1326" t="inlineStr"/>
      <c r="J1326" t="inlineStr"/>
      <c r="Y1326" t="inlineStr">
        <is>
          <t>unknown</t>
        </is>
      </c>
      <c r="Z1326" t="inlineStr"/>
      <c r="AA1326" t="inlineStr"/>
      <c r="AB1326" t="inlineStr"/>
      <c r="AC1326" t="inlineStr"/>
      <c r="AD1326" t="inlineStr">
        <is>
          <t>לא נמצא בסריקת המפיצים</t>
        </is>
      </c>
      <c r="AE1326" t="inlineStr">
        <is>
          <t>סריקת אתרי מפיצים</t>
        </is>
      </c>
      <c r="AG1326" t="inlineStr"/>
      <c r="AH1326" t="inlineStr"/>
      <c r="AJ1326" t="inlineStr"/>
      <c r="AP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Y1327" t="inlineStr">
        <is>
          <t>unknown</t>
        </is>
      </c>
      <c r="Z1327" t="inlineStr"/>
      <c r="AA1327" t="inlineStr"/>
      <c r="AB1327" t="inlineStr"/>
      <c r="AC1327" t="inlineStr"/>
      <c r="AD1327" t="inlineStr">
        <is>
          <t>לא נמצא בסריקת המפיצים</t>
        </is>
      </c>
      <c r="AE1327" t="inlineStr">
        <is>
          <t>סריקת אתרי מפיצים</t>
        </is>
      </c>
      <c r="AG1327" t="inlineStr"/>
      <c r="AH1327" t="inlineStr"/>
      <c r="AJ1327" t="inlineStr">
        <is>
          <t>800.423.8842</t>
        </is>
      </c>
      <c r="AK1327" t="inlineStr">
        <is>
          <t>sales@veegee.com</t>
        </is>
      </c>
      <c r="AM1327" t="inlineStr">
        <is>
          <t>https://www.veegee.com/pages/contact-us</t>
        </is>
      </c>
      <c r="AN1327" t="inlineStr">
        <is>
          <t>https://www.veegee.com/pages/contact-us</t>
        </is>
      </c>
      <c r="AP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P1328" t="n">
        <v>200</v>
      </c>
      <c r="Q1328" t="n">
        <v>2024</v>
      </c>
      <c r="R1328" t="inlineStr">
        <is>
          <t>estimate</t>
        </is>
      </c>
      <c r="S1328" t="inlineStr">
        <is>
          <t>prior</t>
        </is>
      </c>
      <c r="T1328" t="n">
        <v>25.6</v>
      </c>
      <c r="U1328" t="inlineStr">
        <is>
          <t>EUR 23.26 million</t>
        </is>
      </c>
      <c r="V1328" t="inlineStr">
        <is>
          <t>FY2024</t>
        </is>
      </c>
      <c r="W1328" t="inlineStr">
        <is>
          <t>company</t>
        </is>
      </c>
      <c r="X1328" t="inlineStr">
        <is>
          <t>prior</t>
        </is>
      </c>
      <c r="Y1328" t="inlineStr">
        <is>
          <t>reported</t>
        </is>
      </c>
      <c r="Z1328" t="inlineStr">
        <is>
          <t>UDK 169 / UDK 139</t>
        </is>
      </c>
      <c r="AA1328" t="inlineStr">
        <is>
          <t>NDA 702 Dumas analyzer</t>
        </is>
      </c>
      <c r="AB1328" t="inlineStr">
        <is>
          <t>AREX-6 / ARE hotplate stirrers and DKL digesters</t>
        </is>
      </c>
      <c r="AC1328" t="inlineStr">
        <is>
          <t>prior</t>
        </is>
      </c>
      <c r="AD1328" t="inlineStr">
        <is>
          <t>מפיץ/נציג בישראל</t>
        </is>
      </c>
      <c r="AE1328" t="inlineStr">
        <is>
          <t>אומת</t>
        </is>
      </c>
      <c r="AF1328" t="n">
        <v>2026</v>
      </c>
      <c r="AG1328" t="inlineStr">
        <is>
          <t>Labotal</t>
        </is>
      </c>
      <c r="AH1328" t="inlineStr">
        <is>
          <t>Labotal: +972 2-579-9222 Sales@labotal.co.il</t>
        </is>
      </c>
      <c r="AI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8" t="inlineStr">
        <is>
          <t>+39 039 628811</t>
        </is>
      </c>
      <c r="AL1328" t="inlineStr">
        <is>
          <t>Via Stazione 16, 20865 Usmate (MB), Italy</t>
        </is>
      </c>
      <c r="AM1328" t="inlineStr">
        <is>
          <t>https://velp.com/en-ww/where-we-are.aspx</t>
        </is>
      </c>
      <c r="AN1328" t="inlineStr">
        <is>
          <t>https://velp.com/en-ww/where-we-are.aspx</t>
        </is>
      </c>
      <c r="AP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P1329" t="n">
        <v>200</v>
      </c>
      <c r="Q1329" t="n">
        <v>2024</v>
      </c>
      <c r="R1329" t="inlineStr">
        <is>
          <t>estimate</t>
        </is>
      </c>
      <c r="S1329" t="inlineStr">
        <is>
          <t>prior</t>
        </is>
      </c>
      <c r="T1329" t="n">
        <v>25.6</v>
      </c>
      <c r="U1329" t="inlineStr">
        <is>
          <t>EUR 23.26 million</t>
        </is>
      </c>
      <c r="V1329" t="inlineStr">
        <is>
          <t>FY2024</t>
        </is>
      </c>
      <c r="W1329" t="inlineStr">
        <is>
          <t>company</t>
        </is>
      </c>
      <c r="X1329" t="inlineStr">
        <is>
          <t>prior</t>
        </is>
      </c>
      <c r="Y1329" t="inlineStr">
        <is>
          <t>reported</t>
        </is>
      </c>
      <c r="Z1329" t="inlineStr">
        <is>
          <t>UDK 169 / UDK 139</t>
        </is>
      </c>
      <c r="AA1329" t="inlineStr">
        <is>
          <t>NDA 702 Dumas analyzer</t>
        </is>
      </c>
      <c r="AB1329" t="inlineStr">
        <is>
          <t>AREX-6 / ARE hotplate stirrers and DKL digesters</t>
        </is>
      </c>
      <c r="AC1329" t="inlineStr">
        <is>
          <t>prior</t>
        </is>
      </c>
      <c r="AD1329" t="inlineStr">
        <is>
          <t>מפיץ/נציג בישראל</t>
        </is>
      </c>
      <c r="AE1329" t="inlineStr">
        <is>
          <t>אומת</t>
        </is>
      </c>
      <c r="AF1329" t="n">
        <v>2026</v>
      </c>
      <c r="AG1329" t="inlineStr">
        <is>
          <t>Labotal</t>
        </is>
      </c>
      <c r="AH1329" t="inlineStr">
        <is>
          <t>Labotal: +972 2-579-9222 Sales@labotal.co.il</t>
        </is>
      </c>
      <c r="AI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J1329" t="inlineStr">
        <is>
          <t>+39 039 628811</t>
        </is>
      </c>
      <c r="AL1329" t="inlineStr">
        <is>
          <t>Via Stazione 16, 20865 Usmate (MB), Italy</t>
        </is>
      </c>
      <c r="AM1329" t="inlineStr">
        <is>
          <t>https://velp.com/en-ww/where-we-are.aspx</t>
        </is>
      </c>
      <c r="AN1329" t="inlineStr">
        <is>
          <t>https://velp.com/en-ww/where-we-are.aspx</t>
        </is>
      </c>
      <c r="AP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Y1330" t="inlineStr">
        <is>
          <t>unknown</t>
        </is>
      </c>
      <c r="Z1330" t="inlineStr"/>
      <c r="AA1330" t="inlineStr"/>
      <c r="AB1330" t="inlineStr"/>
      <c r="AC1330" t="inlineStr"/>
      <c r="AD1330" t="inlineStr">
        <is>
          <t>לא נמצא בסריקת המפיצים</t>
        </is>
      </c>
      <c r="AE1330" t="inlineStr">
        <is>
          <t>סריקת אתרי מפיצים</t>
        </is>
      </c>
      <c r="AG1330" t="inlineStr"/>
      <c r="AH1330" t="inlineStr"/>
      <c r="AJ1330" t="inlineStr">
        <is>
          <t>6106448335</t>
        </is>
      </c>
      <c r="AK1330" t="inlineStr">
        <is>
          <t>customerservice@sterile.com</t>
        </is>
      </c>
      <c r="AM1330" t="inlineStr">
        <is>
          <t>https://sterile.com/contact-us/</t>
        </is>
      </c>
      <c r="AN1330" t="inlineStr">
        <is>
          <t>https://sterile.com/contact-us/</t>
        </is>
      </c>
      <c r="AP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Y1331" t="inlineStr">
        <is>
          <t>unknown</t>
        </is>
      </c>
      <c r="Z1331" t="inlineStr"/>
      <c r="AA1331" t="inlineStr"/>
      <c r="AB1331" t="inlineStr"/>
      <c r="AC1331" t="inlineStr"/>
      <c r="AD1331" t="inlineStr">
        <is>
          <t>לא נמצא בסריקת המפיצים</t>
        </is>
      </c>
      <c r="AE1331" t="inlineStr">
        <is>
          <t>סריקת אתרי מפיצים</t>
        </is>
      </c>
      <c r="AG1331" t="inlineStr"/>
      <c r="AH1331" t="inlineStr"/>
      <c r="AJ1331" t="inlineStr"/>
      <c r="AP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Y1332" t="inlineStr">
        <is>
          <t>unknown</t>
        </is>
      </c>
      <c r="Z1332" t="inlineStr"/>
      <c r="AA1332" t="inlineStr"/>
      <c r="AB1332" t="inlineStr"/>
      <c r="AC1332" t="inlineStr"/>
      <c r="AD1332" t="inlineStr">
        <is>
          <t>לא נמצא בסריקת המפיצים</t>
        </is>
      </c>
      <c r="AE1332" t="inlineStr">
        <is>
          <t>סריקת אתרי מפיצים</t>
        </is>
      </c>
      <c r="AG1332" t="inlineStr"/>
      <c r="AH1332" t="inlineStr"/>
      <c r="AJ1332" t="inlineStr"/>
      <c r="AP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Y1333" t="inlineStr">
        <is>
          <t>unknown</t>
        </is>
      </c>
      <c r="Z1333" t="inlineStr"/>
      <c r="AA1333" t="inlineStr"/>
      <c r="AB1333" t="inlineStr"/>
      <c r="AC1333" t="inlineStr"/>
      <c r="AD1333" t="inlineStr">
        <is>
          <t>לא נמצא בסריקת המפיצים</t>
        </is>
      </c>
      <c r="AE1333" t="inlineStr">
        <is>
          <t>סריקת אתרי מפיצים</t>
        </is>
      </c>
      <c r="AG1333" t="inlineStr"/>
      <c r="AH1333" t="inlineStr"/>
      <c r="AJ1333" t="inlineStr"/>
      <c r="AP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Y1334" t="inlineStr">
        <is>
          <t>unknown</t>
        </is>
      </c>
      <c r="Z1334" t="inlineStr"/>
      <c r="AA1334" t="inlineStr"/>
      <c r="AB1334" t="inlineStr"/>
      <c r="AC1334" t="inlineStr"/>
      <c r="AD1334" t="inlineStr">
        <is>
          <t>לא נמצא בסריקת המפיצים</t>
        </is>
      </c>
      <c r="AE1334" t="inlineStr">
        <is>
          <t>סריקת אתרי מפיצים</t>
        </is>
      </c>
      <c r="AG1334" t="inlineStr"/>
      <c r="AH1334" t="inlineStr"/>
      <c r="AJ1334" t="inlineStr">
        <is>
          <t>609-915-5371 305</t>
        </is>
      </c>
      <c r="AM1334" t="inlineStr">
        <is>
          <t>https://www.victoryscientific.com/contact</t>
        </is>
      </c>
      <c r="AN1334" t="inlineStr">
        <is>
          <t>https://www.victoryscientific.com/contact</t>
        </is>
      </c>
      <c r="AP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Y1335" t="inlineStr">
        <is>
          <t>unknown</t>
        </is>
      </c>
      <c r="Z1335" t="inlineStr"/>
      <c r="AA1335" t="inlineStr"/>
      <c r="AB1335" t="inlineStr"/>
      <c r="AC1335" t="inlineStr"/>
      <c r="AD1335" t="inlineStr">
        <is>
          <t>לא נמצא בסריקת המפיצים</t>
        </is>
      </c>
      <c r="AE1335" t="inlineStr">
        <is>
          <t>סריקת אתרי מפיצים</t>
        </is>
      </c>
      <c r="AG1335" t="inlineStr"/>
      <c r="AH1335" t="inlineStr"/>
      <c r="AJ1335" t="inlineStr"/>
      <c r="AP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Y1336" t="inlineStr">
        <is>
          <t>unknown</t>
        </is>
      </c>
      <c r="Z1336" t="inlineStr"/>
      <c r="AA1336" t="inlineStr"/>
      <c r="AB1336" t="inlineStr"/>
      <c r="AC1336" t="inlineStr"/>
      <c r="AD1336" t="inlineStr">
        <is>
          <t>לא נמצא בסריקת המפיצים</t>
        </is>
      </c>
      <c r="AE1336" t="inlineStr">
        <is>
          <t>סריקת אתרי מפיצים</t>
        </is>
      </c>
      <c r="AG1336" t="inlineStr"/>
      <c r="AH1336" t="inlineStr"/>
      <c r="AJ1336" t="inlineStr"/>
      <c r="AP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Y1337" t="inlineStr">
        <is>
          <t>unknown</t>
        </is>
      </c>
      <c r="Z1337" t="inlineStr"/>
      <c r="AA1337" t="inlineStr"/>
      <c r="AB1337" t="inlineStr"/>
      <c r="AC1337" t="inlineStr"/>
      <c r="AD1337" t="inlineStr">
        <is>
          <t>לא נמצא בסריקת המפיצים</t>
        </is>
      </c>
      <c r="AE1337" t="inlineStr">
        <is>
          <t>סריקת אתרי מפיצים</t>
        </is>
      </c>
      <c r="AG1337" t="inlineStr"/>
      <c r="AH1337" t="inlineStr"/>
      <c r="AJ1337" t="inlineStr"/>
      <c r="AP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Y1338" t="inlineStr">
        <is>
          <t>unknown</t>
        </is>
      </c>
      <c r="Z1338" t="inlineStr"/>
      <c r="AA1338" t="inlineStr"/>
      <c r="AB1338" t="inlineStr"/>
      <c r="AC1338" t="inlineStr"/>
      <c r="AD1338" t="inlineStr">
        <is>
          <t>לא נמצא בסריקת המפיצים</t>
        </is>
      </c>
      <c r="AE1338" t="inlineStr">
        <is>
          <t>סריקת אתרי מפיצים</t>
        </is>
      </c>
      <c r="AG1338" t="inlineStr"/>
      <c r="AH1338" t="inlineStr"/>
      <c r="AJ1338" t="inlineStr"/>
      <c r="AP1338" t="inlineStr">
        <is>
          <t>https://www.thomassci.com/browse-by/suppliers/vitl-life-science-solutions</t>
        </is>
      </c>
    </row>
    <row r="1339">
      <c r="A1339" t="n">
        <v>1338</v>
      </c>
      <c r="B1339" t="inlineStr">
        <is>
          <t>Vivitide</t>
        </is>
      </c>
      <c r="C1339" t="inlineStr">
        <is>
          <t>Q</t>
        </is>
      </c>
      <c r="F1339" t="inlineStr">
        <is>
          <t>yes</t>
        </is>
      </c>
      <c r="J1339" t="inlineStr"/>
      <c r="Y1339" t="inlineStr">
        <is>
          <t>unknown</t>
        </is>
      </c>
      <c r="Z1339" t="inlineStr"/>
      <c r="AA1339" t="inlineStr"/>
      <c r="AB1339" t="inlineStr"/>
      <c r="AC1339" t="inlineStr"/>
      <c r="AD1339" t="inlineStr">
        <is>
          <t>לא נמצא בסריקת המפיצים</t>
        </is>
      </c>
      <c r="AE1339" t="inlineStr">
        <is>
          <t>סריקת אתרי מפיצים</t>
        </is>
      </c>
      <c r="AG1339" t="inlineStr"/>
      <c r="AH1339" t="inlineStr"/>
      <c r="AJ1339" t="inlineStr"/>
      <c r="AP1339" t="inlineStr">
        <is>
          <t>https://www.quartzy.com/suppliers</t>
        </is>
      </c>
    </row>
    <row r="1340">
      <c r="A1340" t="n">
        <v>1339</v>
      </c>
      <c r="B1340" t="inlineStr">
        <is>
          <t>Voss</t>
        </is>
      </c>
      <c r="C1340" t="inlineStr">
        <is>
          <t>T</t>
        </is>
      </c>
      <c r="E1340" t="inlineStr">
        <is>
          <t>https://www.thomassci.com/browse-by/suppliers/voss</t>
        </is>
      </c>
      <c r="F1340" t="inlineStr"/>
      <c r="J1340" t="inlineStr"/>
      <c r="Y1340" t="inlineStr">
        <is>
          <t>unknown</t>
        </is>
      </c>
      <c r="Z1340" t="inlineStr"/>
      <c r="AA1340" t="inlineStr"/>
      <c r="AB1340" t="inlineStr"/>
      <c r="AC1340" t="inlineStr"/>
      <c r="AD1340" t="inlineStr">
        <is>
          <t>לא נמצא בסריקת המפיצים</t>
        </is>
      </c>
      <c r="AE1340" t="inlineStr">
        <is>
          <t>סריקת אתרי מפיצים</t>
        </is>
      </c>
      <c r="AG1340" t="inlineStr"/>
      <c r="AH1340" t="inlineStr"/>
      <c r="AJ1340" t="inlineStr"/>
      <c r="AP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Y1341" t="inlineStr">
        <is>
          <t>unknown</t>
        </is>
      </c>
      <c r="Z1341" t="inlineStr"/>
      <c r="AA1341" t="inlineStr"/>
      <c r="AB1341" t="inlineStr"/>
      <c r="AC1341" t="inlineStr"/>
      <c r="AD1341" t="inlineStr">
        <is>
          <t>לא נמצא בסריקת המפיצים</t>
        </is>
      </c>
      <c r="AE1341" t="inlineStr">
        <is>
          <t>סריקת אתרי מפיצים</t>
        </is>
      </c>
      <c r="AG1341" t="inlineStr"/>
      <c r="AH1341" t="inlineStr"/>
      <c r="AJ1341" t="inlineStr"/>
      <c r="AP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Y1342" t="inlineStr">
        <is>
          <t>unknown</t>
        </is>
      </c>
      <c r="Z1342" t="inlineStr"/>
      <c r="AA1342" t="inlineStr"/>
      <c r="AB1342" t="inlineStr"/>
      <c r="AC1342" t="inlineStr"/>
      <c r="AD1342" t="inlineStr">
        <is>
          <t>לא נמצא בסריקת המפיצים</t>
        </is>
      </c>
      <c r="AE1342" t="inlineStr">
        <is>
          <t>סריקת אתרי מפיצים</t>
        </is>
      </c>
      <c r="AG1342" t="inlineStr"/>
      <c r="AH1342" t="inlineStr"/>
      <c r="AJ1342" t="inlineStr"/>
      <c r="AP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Y1343" t="inlineStr">
        <is>
          <t>unknown</t>
        </is>
      </c>
      <c r="Z1343" t="inlineStr"/>
      <c r="AA1343" t="inlineStr"/>
      <c r="AB1343" t="inlineStr"/>
      <c r="AC1343" t="inlineStr"/>
      <c r="AD1343" t="inlineStr">
        <is>
          <t>לא נמצא בסריקת המפיצים</t>
        </is>
      </c>
      <c r="AE1343" t="inlineStr">
        <is>
          <t>סריקת אתרי מפיצים</t>
        </is>
      </c>
      <c r="AG1343" t="inlineStr"/>
      <c r="AH1343" t="inlineStr"/>
      <c r="AJ1343" t="inlineStr">
        <is>
          <t>5168839100</t>
        </is>
      </c>
      <c r="AM1343" t="inlineStr">
        <is>
          <t>https://www.waltersterninc.com/contact/</t>
        </is>
      </c>
      <c r="AN1343" t="inlineStr">
        <is>
          <t>https://www.waltersterninc.com/contact/</t>
        </is>
      </c>
      <c r="AP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Y1344" t="inlineStr">
        <is>
          <t>unknown</t>
        </is>
      </c>
      <c r="Z1344" t="inlineStr"/>
      <c r="AA1344" t="inlineStr"/>
      <c r="AB1344" t="inlineStr"/>
      <c r="AC1344" t="inlineStr"/>
      <c r="AD1344" t="inlineStr">
        <is>
          <t>לא נמצא בסריקת המפיצים</t>
        </is>
      </c>
      <c r="AE1344" t="inlineStr">
        <is>
          <t>סריקת אתרי מפיצים</t>
        </is>
      </c>
      <c r="AG1344" t="inlineStr"/>
      <c r="AH1344" t="inlineStr"/>
      <c r="AJ1344" t="inlineStr"/>
      <c r="AP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Y1345" t="inlineStr">
        <is>
          <t>unknown</t>
        </is>
      </c>
      <c r="Z1345" t="inlineStr"/>
      <c r="AA1345" t="inlineStr"/>
      <c r="AB1345" t="inlineStr"/>
      <c r="AC1345" t="inlineStr"/>
      <c r="AD1345" t="inlineStr">
        <is>
          <t>לא נמצא בסריקת המפיצים</t>
        </is>
      </c>
      <c r="AE1345" t="inlineStr">
        <is>
          <t>סריקת אתרי מפיצים</t>
        </is>
      </c>
      <c r="AG1345" t="inlineStr"/>
      <c r="AH1345" t="inlineStr"/>
      <c r="AJ1345" t="inlineStr">
        <is>
          <t>312-666-5500</t>
        </is>
      </c>
      <c r="AK1345" t="inlineStr">
        <is>
          <t>info@wsflab.com</t>
        </is>
      </c>
      <c r="AM1345" t="inlineStr">
        <is>
          <t>https://wsflab.com/about-us/contact-us/</t>
        </is>
      </c>
      <c r="AN1345" t="inlineStr">
        <is>
          <t>https://wsflab.com/about-us/contact-us/</t>
        </is>
      </c>
      <c r="AP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P1346" t="n">
        <v>7900</v>
      </c>
      <c r="Q1346" t="n">
        <v>2025</v>
      </c>
      <c r="R1346" t="inlineStr">
        <is>
          <t>company</t>
        </is>
      </c>
      <c r="S1346" t="inlineStr">
        <is>
          <t>prior</t>
        </is>
      </c>
      <c r="T1346" t="n">
        <v>3165</v>
      </c>
      <c r="U1346" t="inlineStr">
        <is>
          <t>USD 3,165 million</t>
        </is>
      </c>
      <c r="V1346" t="inlineStr">
        <is>
          <t>FY2025</t>
        </is>
      </c>
      <c r="W1346" t="inlineStr">
        <is>
          <t>company</t>
        </is>
      </c>
      <c r="X1346" t="inlineStr">
        <is>
          <t>prior</t>
        </is>
      </c>
      <c r="Y1346" t="inlineStr">
        <is>
          <t>reported</t>
        </is>
      </c>
      <c r="Z1346" t="inlineStr">
        <is>
          <t>ACQUITY Premier UPLC</t>
        </is>
      </c>
      <c r="AA1346" t="inlineStr">
        <is>
          <t>Xevo TQ Absolute</t>
        </is>
      </c>
      <c r="AB1346" t="inlineStr">
        <is>
          <t>Empower CDS</t>
        </is>
      </c>
      <c r="AC1346" t="inlineStr">
        <is>
          <t>prior</t>
        </is>
      </c>
      <c r="AD1346" t="inlineStr">
        <is>
          <t>חברה-בת בישראל</t>
        </is>
      </c>
      <c r="AE1346" t="inlineStr">
        <is>
          <t>חיפוש חלקי</t>
        </is>
      </c>
      <c r="AF1346" t="n">
        <v>2024</v>
      </c>
      <c r="AG1346" t="inlineStr">
        <is>
          <t>Waters (TC) Israel Ltd.; Bargal Analytical Instruments Ltd.</t>
        </is>
      </c>
      <c r="AH1346" t="inlineStr">
        <is>
          <t>Waters (TC) Israel Ltd.:; Bargal Analytical Instruments Ltd.: +972-3-979-6533 sales@bargal.co.il</t>
        </is>
      </c>
      <c r="AI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J1346" t="inlineStr">
        <is>
          <t>+1 508 478 2000</t>
        </is>
      </c>
      <c r="AL1346" t="inlineStr">
        <is>
          <t>34 Maple Street, Milford, MA 01757, USA</t>
        </is>
      </c>
      <c r="AN1346" t="inlineStr">
        <is>
          <t>https://www.globaldata.com/company-profile/waters-corp/locations/</t>
        </is>
      </c>
      <c r="AP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Y1347" t="inlineStr">
        <is>
          <t>unknown</t>
        </is>
      </c>
      <c r="Z1347" t="inlineStr"/>
      <c r="AA1347" t="inlineStr"/>
      <c r="AB1347" t="inlineStr"/>
      <c r="AC1347" t="inlineStr"/>
      <c r="AD1347" t="inlineStr">
        <is>
          <t>לא נמצא בסריקת המפיצים</t>
        </is>
      </c>
      <c r="AE1347" t="inlineStr">
        <is>
          <t>סריקת אתרי מפיצים</t>
        </is>
      </c>
      <c r="AG1347" t="inlineStr"/>
      <c r="AH1347" t="inlineStr"/>
      <c r="AJ1347" t="inlineStr"/>
      <c r="AL1347" t="inlineStr">
        <is>
          <t>La Queue-les-Yvelines</t>
        </is>
      </c>
      <c r="AO1347" t="inlineStr">
        <is>
          <t>Q134687219</t>
        </is>
      </c>
      <c r="AP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Y1348" t="inlineStr">
        <is>
          <t>unknown</t>
        </is>
      </c>
      <c r="Z1348" t="inlineStr"/>
      <c r="AA1348" t="inlineStr"/>
      <c r="AB1348" t="inlineStr"/>
      <c r="AC1348" t="inlineStr"/>
      <c r="AD1348" t="inlineStr">
        <is>
          <t>לא נמצא בסריקת המפיצים</t>
        </is>
      </c>
      <c r="AE1348" t="inlineStr">
        <is>
          <t>סריקת אתרי מפיצים</t>
        </is>
      </c>
      <c r="AG1348" t="inlineStr"/>
      <c r="AH1348" t="inlineStr"/>
      <c r="AJ1348" t="inlineStr"/>
      <c r="AP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c r="Y1349" t="inlineStr">
        <is>
          <t>unknown</t>
        </is>
      </c>
      <c r="Z1349" t="inlineStr"/>
      <c r="AA1349" t="inlineStr"/>
      <c r="AB1349" t="inlineStr"/>
      <c r="AC1349" t="inlineStr"/>
      <c r="AD1349" t="inlineStr">
        <is>
          <t>לא נמצא בסריקת המפיצים</t>
        </is>
      </c>
      <c r="AE1349" t="inlineStr">
        <is>
          <t>סריקת אתרי מפיצים</t>
        </is>
      </c>
      <c r="AG1349" t="inlineStr"/>
      <c r="AH1349" t="inlineStr"/>
      <c r="AJ1349" t="inlineStr">
        <is>
          <t>1-800-264-3030</t>
        </is>
      </c>
      <c r="AK1349" t="inlineStr">
        <is>
          <t>info@wearwell.com</t>
        </is>
      </c>
      <c r="AM1349" t="inlineStr">
        <is>
          <t>https://www.wearwell.com/contacts</t>
        </is>
      </c>
      <c r="AN1349" t="inlineStr">
        <is>
          <t>https://www.wearwell.com/contacts</t>
        </is>
      </c>
      <c r="AP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Y1350" t="inlineStr">
        <is>
          <t>unknown</t>
        </is>
      </c>
      <c r="Z1350" t="inlineStr"/>
      <c r="AA1350" t="inlineStr"/>
      <c r="AB1350" t="inlineStr"/>
      <c r="AC1350" t="inlineStr"/>
      <c r="AD1350" t="inlineStr">
        <is>
          <t>לא נמצא בחיפוש ראשוני</t>
        </is>
      </c>
      <c r="AE1350" t="inlineStr">
        <is>
          <t>חיפוש חלקי</t>
        </is>
      </c>
      <c r="AG1350" t="inlineStr"/>
      <c r="AH1350" t="inlineStr"/>
      <c r="AI1350" t="inlineStr">
        <is>
          <t>Welch Vacuum (Gardner Denver, Niles IL) results list US distributors (A-VAC, Ideal Vacuum, Across International) and Fisher EU pages; no Israel mention. Note: website in targets (welchs.com) is the juice brand, not Welch Vacuum.</t>
        </is>
      </c>
      <c r="AJ1350" t="inlineStr"/>
      <c r="AP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Y1351" t="inlineStr">
        <is>
          <t>unknown</t>
        </is>
      </c>
      <c r="Z1351" t="inlineStr"/>
      <c r="AA1351" t="inlineStr"/>
      <c r="AB1351" t="inlineStr"/>
      <c r="AC1351" t="inlineStr"/>
      <c r="AD1351" t="inlineStr">
        <is>
          <t>לא נמצא בסריקת המפיצים</t>
        </is>
      </c>
      <c r="AE1351" t="inlineStr">
        <is>
          <t>סריקת אתרי מפיצים</t>
        </is>
      </c>
      <c r="AG1351" t="inlineStr"/>
      <c r="AH1351" t="inlineStr"/>
      <c r="AJ1351" t="inlineStr">
        <is>
          <t>8003232830</t>
        </is>
      </c>
      <c r="AM1351" t="inlineStr">
        <is>
          <t>https://wellslamont.com/contact/</t>
        </is>
      </c>
      <c r="AN1351" t="inlineStr">
        <is>
          <t>https://wellslamont.com/contact/</t>
        </is>
      </c>
      <c r="AP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Y1352" t="inlineStr">
        <is>
          <t>unknown</t>
        </is>
      </c>
      <c r="Z1352" t="inlineStr"/>
      <c r="AA1352" t="inlineStr"/>
      <c r="AB1352" t="inlineStr"/>
      <c r="AC1352" t="inlineStr"/>
      <c r="AD1352" t="inlineStr">
        <is>
          <t>לא נמצא בסריקת המפיצים</t>
        </is>
      </c>
      <c r="AE1352" t="inlineStr">
        <is>
          <t>סריקת אתרי מפיצים</t>
        </is>
      </c>
      <c r="AG1352" t="inlineStr"/>
      <c r="AH1352" t="inlineStr"/>
      <c r="AJ1352" t="inlineStr">
        <is>
          <t>800.247.3295</t>
        </is>
      </c>
      <c r="AM1352" t="inlineStr">
        <is>
          <t>https://www.wellslamontindustrial.com/contact-us/</t>
        </is>
      </c>
      <c r="AN1352" t="inlineStr">
        <is>
          <t>https://www.wellslamontindustrial.com/contact-us/</t>
        </is>
      </c>
      <c r="AP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Y1353" t="inlineStr">
        <is>
          <t>unknown</t>
        </is>
      </c>
      <c r="Z1353" t="inlineStr"/>
      <c r="AA1353" t="inlineStr"/>
      <c r="AB1353" t="inlineStr"/>
      <c r="AC1353" t="inlineStr"/>
      <c r="AD1353" t="inlineStr">
        <is>
          <t>לא נמצא בסריקת המפיצים</t>
        </is>
      </c>
      <c r="AE1353" t="inlineStr">
        <is>
          <t>סריקת אתרי מפיצים</t>
        </is>
      </c>
      <c r="AG1353" t="inlineStr"/>
      <c r="AH1353" t="inlineStr"/>
      <c r="AJ1353" t="inlineStr"/>
      <c r="AP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Y1354" t="inlineStr">
        <is>
          <t>unknown</t>
        </is>
      </c>
      <c r="Z1354" t="inlineStr"/>
      <c r="AA1354" t="inlineStr"/>
      <c r="AB1354" t="inlineStr"/>
      <c r="AC1354" t="inlineStr"/>
      <c r="AD1354" t="inlineStr">
        <is>
          <t>לא נמצא בסריקת המפיצים</t>
        </is>
      </c>
      <c r="AE1354" t="inlineStr">
        <is>
          <t>סריקת אתרי מפיצים</t>
        </is>
      </c>
      <c r="AG1354" t="inlineStr"/>
      <c r="AH1354" t="inlineStr"/>
      <c r="AJ1354" t="inlineStr"/>
      <c r="AN1354" t="inlineStr">
        <is>
          <t>https://westchestergear.com/</t>
        </is>
      </c>
      <c r="AP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Y1355" t="inlineStr">
        <is>
          <t>unknown</t>
        </is>
      </c>
      <c r="Z1355" t="inlineStr"/>
      <c r="AA1355" t="inlineStr"/>
      <c r="AB1355" t="inlineStr"/>
      <c r="AC1355" t="inlineStr"/>
      <c r="AD1355" t="inlineStr">
        <is>
          <t>לא נמצא בסריקת המפיצים</t>
        </is>
      </c>
      <c r="AE1355" t="inlineStr">
        <is>
          <t>סריקת אתרי מפיצים</t>
        </is>
      </c>
      <c r="AG1355" t="inlineStr"/>
      <c r="AH1355" t="inlineStr"/>
      <c r="AJ1355" t="inlineStr">
        <is>
          <t>1-800-345-9800</t>
        </is>
      </c>
      <c r="AM1355" t="inlineStr">
        <is>
          <t>https://www.westpharma.com/support/contact-us</t>
        </is>
      </c>
      <c r="AN1355" t="inlineStr">
        <is>
          <t>https://www.westpharma.com/support/contact-us</t>
        </is>
      </c>
      <c r="AP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P1356" t="n">
        <v>1800</v>
      </c>
      <c r="Q1356" t="n">
        <v>2025</v>
      </c>
      <c r="R1356" t="inlineStr">
        <is>
          <t>company</t>
        </is>
      </c>
      <c r="S1356" t="inlineStr">
        <is>
          <t>prior</t>
        </is>
      </c>
      <c r="T1356" t="n">
        <v>106</v>
      </c>
      <c r="U1356" t="inlineStr">
        <is>
          <t>USD 105.7 million</t>
        </is>
      </c>
      <c r="V1356" t="inlineStr">
        <is>
          <t>FY2023</t>
        </is>
      </c>
      <c r="W1356" t="inlineStr">
        <is>
          <t>estimate</t>
        </is>
      </c>
      <c r="X1356" t="inlineStr">
        <is>
          <t>prior</t>
        </is>
      </c>
      <c r="Y1356" t="inlineStr">
        <is>
          <t>mixed</t>
        </is>
      </c>
      <c r="Z1356" t="inlineStr">
        <is>
          <t>DURAN laboratory glass bottles</t>
        </is>
      </c>
      <c r="AA1356" t="inlineStr">
        <is>
          <t>WHEATON vials &amp; serum bottles</t>
        </is>
      </c>
      <c r="AB1356" t="inlineStr">
        <is>
          <t>KIMBLE KIMAX glassware</t>
        </is>
      </c>
      <c r="AC1356" t="inlineStr">
        <is>
          <t>prior</t>
        </is>
      </c>
      <c r="AD1356" t="inlineStr">
        <is>
          <t>מפיץ/נציג בישראל</t>
        </is>
      </c>
      <c r="AE1356" t="inlineStr">
        <is>
          <t>חיפוש חלקי</t>
        </is>
      </c>
      <c r="AF1356" t="n">
        <v>2026</v>
      </c>
      <c r="AG1356" t="inlineStr">
        <is>
          <t>Danyel Biotech Ltd. (Gamida for Life group)</t>
        </is>
      </c>
      <c r="AH1356" t="inlineStr">
        <is>
          <t>Danyel Biotech Ltd. (Gamida for Life group): 1-800-711-911 (also +972 8-936-6066)</t>
        </is>
      </c>
      <c r="AI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J1356" t="inlineStr">
        <is>
          <t>+49 9342 802-0</t>
        </is>
      </c>
      <c r="AL1356" t="inlineStr">
        <is>
          <t>Otto-Schott-Str. 21, 97877 Wertheim, Germany</t>
        </is>
      </c>
      <c r="AM1356" t="inlineStr">
        <is>
          <t>https://www.dwk.com/request-a-quote</t>
        </is>
      </c>
      <c r="AN1356" t="inlineStr">
        <is>
          <t>https://dwk.com/na/locations/wertheim-germany</t>
        </is>
      </c>
      <c r="AP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Y1357" t="inlineStr">
        <is>
          <t>unknown</t>
        </is>
      </c>
      <c r="Z1357" t="inlineStr"/>
      <c r="AA1357" t="inlineStr"/>
      <c r="AB1357" t="inlineStr"/>
      <c r="AC1357" t="inlineStr"/>
      <c r="AD1357" t="inlineStr">
        <is>
          <t>לא נמצא בסריקת המפיצים</t>
        </is>
      </c>
      <c r="AE1357" t="inlineStr">
        <is>
          <t>סריקת אתרי מפיצים</t>
        </is>
      </c>
      <c r="AG1357" t="inlineStr"/>
      <c r="AH1357" t="inlineStr"/>
      <c r="AJ1357" t="inlineStr">
        <is>
          <t>+1 920.568.5616</t>
        </is>
      </c>
      <c r="AM1357" t="inlineStr">
        <is>
          <t>https://www.whirl-pak.com/contact-us/</t>
        </is>
      </c>
      <c r="AN1357" t="inlineStr">
        <is>
          <t>https://www.whirl-pak.com/contact-us/</t>
        </is>
      </c>
      <c r="AP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Y1358" t="inlineStr">
        <is>
          <t>unknown</t>
        </is>
      </c>
      <c r="Z1358" t="inlineStr"/>
      <c r="AA1358" t="inlineStr"/>
      <c r="AB1358" t="inlineStr"/>
      <c r="AC1358" t="inlineStr"/>
      <c r="AD1358" t="inlineStr">
        <is>
          <t>לא נמצא בסריקת המפיצים</t>
        </is>
      </c>
      <c r="AE1358" t="inlineStr">
        <is>
          <t>סריקת אתרי מפיצים</t>
        </is>
      </c>
      <c r="AG1358" t="inlineStr"/>
      <c r="AH1358" t="inlineStr"/>
      <c r="AJ1358" t="inlineStr"/>
      <c r="AP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Y1359" t="inlineStr">
        <is>
          <t>unknown</t>
        </is>
      </c>
      <c r="Z1359" t="inlineStr"/>
      <c r="AA1359" t="inlineStr"/>
      <c r="AB1359" t="inlineStr"/>
      <c r="AC1359" t="inlineStr"/>
      <c r="AD1359" t="inlineStr">
        <is>
          <t>לא נמצא בסריקת המפיצים</t>
        </is>
      </c>
      <c r="AE1359" t="inlineStr">
        <is>
          <t>סריקת אתרי מפיצים</t>
        </is>
      </c>
      <c r="AG1359" t="inlineStr"/>
      <c r="AH1359" t="inlineStr"/>
      <c r="AJ1359" t="inlineStr"/>
      <c r="AP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Y1360" t="inlineStr">
        <is>
          <t>unknown</t>
        </is>
      </c>
      <c r="Z1360" t="inlineStr"/>
      <c r="AA1360" t="inlineStr"/>
      <c r="AB1360" t="inlineStr"/>
      <c r="AC1360" t="inlineStr"/>
      <c r="AD1360" t="inlineStr">
        <is>
          <t>לא נמצא בסריקת המפיצים</t>
        </is>
      </c>
      <c r="AE1360" t="inlineStr">
        <is>
          <t>סריקת אתרי מפיצים</t>
        </is>
      </c>
      <c r="AG1360" t="inlineStr"/>
      <c r="AH1360" t="inlineStr"/>
      <c r="AJ1360" t="inlineStr"/>
      <c r="AP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Y1361" t="inlineStr">
        <is>
          <t>unknown</t>
        </is>
      </c>
      <c r="Z1361" t="inlineStr"/>
      <c r="AA1361" t="inlineStr"/>
      <c r="AB1361" t="inlineStr"/>
      <c r="AC1361" t="inlineStr"/>
      <c r="AD1361" t="inlineStr">
        <is>
          <t>לא נמצא בחיפוש ראשוני</t>
        </is>
      </c>
      <c r="AE1361" t="inlineStr">
        <is>
          <t>חיפוש חלקי</t>
        </is>
      </c>
      <c r="AG1361" t="inlineStr"/>
      <c r="AH1361" t="inlineStr"/>
      <c r="AI1361" t="inlineStr">
        <is>
          <t>No result mentioned WLD-TEC; the similar-named WITec (microscopes) appointed ATSL as Israeli distributor in 2012, which is a different company.</t>
        </is>
      </c>
      <c r="AJ1361" t="inlineStr"/>
      <c r="AP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Y1362" t="inlineStr">
        <is>
          <t>unknown</t>
        </is>
      </c>
      <c r="Z1362" t="inlineStr"/>
      <c r="AA1362" t="inlineStr"/>
      <c r="AB1362" t="inlineStr"/>
      <c r="AC1362" t="inlineStr"/>
      <c r="AD1362" t="inlineStr">
        <is>
          <t>לא נמצא בסריקת המפיצים</t>
        </is>
      </c>
      <c r="AE1362" t="inlineStr">
        <is>
          <t>סריקת אתרי מפיצים</t>
        </is>
      </c>
      <c r="AG1362" t="inlineStr"/>
      <c r="AH1362" t="inlineStr"/>
      <c r="AJ1362" t="inlineStr"/>
      <c r="AP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Y1363" t="inlineStr">
        <is>
          <t>unknown</t>
        </is>
      </c>
      <c r="Z1363" t="inlineStr"/>
      <c r="AA1363" t="inlineStr"/>
      <c r="AB1363" t="inlineStr"/>
      <c r="AC1363" t="inlineStr"/>
      <c r="AD1363" t="inlineStr">
        <is>
          <t>לא נמצא בסריקת המפיצים</t>
        </is>
      </c>
      <c r="AE1363" t="inlineStr">
        <is>
          <t>סריקת אתרי מפיצים</t>
        </is>
      </c>
      <c r="AG1363" t="inlineStr"/>
      <c r="AH1363" t="inlineStr"/>
      <c r="AJ1363" t="inlineStr"/>
      <c r="AP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Y1364" t="inlineStr">
        <is>
          <t>unknown</t>
        </is>
      </c>
      <c r="Z1364" t="inlineStr"/>
      <c r="AA1364" t="inlineStr"/>
      <c r="AB1364" t="inlineStr"/>
      <c r="AC1364" t="inlineStr"/>
      <c r="AD1364" t="inlineStr">
        <is>
          <t>מפיץ/נציג בישראל</t>
        </is>
      </c>
      <c r="AE1364" t="inlineStr">
        <is>
          <t>חיפוש חלקי</t>
        </is>
      </c>
      <c r="AF1364" t="n">
        <v>2026</v>
      </c>
      <c r="AG1364" t="inlineStr">
        <is>
          <t>Enco Scientific Services Ltd. (Enco Diagnostics)</t>
        </is>
      </c>
      <c r="AH1364" t="inlineStr">
        <is>
          <t>Enco Scientific Services Ltd. (Enco Diagnostics):</t>
        </is>
      </c>
      <c r="AJ1364" t="inlineStr">
        <is>
          <t>1.800.445.9603</t>
        </is>
      </c>
      <c r="AN1364" t="inlineStr">
        <is>
          <t>https://www.worthington-biochem.com/</t>
        </is>
      </c>
      <c r="AP1364" t="inlineStr">
        <is>
          <t>https://www.quartzy.com/suppliers | https://www.worthington-biochem.com/ | https://www.enco.co.il/about.php</t>
        </is>
      </c>
    </row>
    <row r="1365">
      <c r="A1365" t="n">
        <v>1364</v>
      </c>
      <c r="B1365" t="inlineStr">
        <is>
          <t>WPI</t>
        </is>
      </c>
      <c r="C1365" t="inlineStr">
        <is>
          <t>D</t>
        </is>
      </c>
      <c r="D1365" t="inlineStr">
        <is>
          <t>https://www.dutscher.com/search?initialFilters=brand:WPI</t>
        </is>
      </c>
      <c r="F1365" t="inlineStr"/>
      <c r="J1365" t="inlineStr"/>
      <c r="Y1365" t="inlineStr">
        <is>
          <t>unknown</t>
        </is>
      </c>
      <c r="Z1365" t="inlineStr"/>
      <c r="AA1365" t="inlineStr"/>
      <c r="AB1365" t="inlineStr"/>
      <c r="AC1365" t="inlineStr"/>
      <c r="AD1365" t="inlineStr">
        <is>
          <t>מפיץ/נציג בישראל</t>
        </is>
      </c>
      <c r="AE1365" t="inlineStr">
        <is>
          <t>סריקת אתרי מפיצים</t>
        </is>
      </c>
      <c r="AF1365" t="n">
        <v>2026</v>
      </c>
      <c r="AG1365" t="inlineStr">
        <is>
          <t>NBT</t>
        </is>
      </c>
      <c r="AH1365" t="inlineStr">
        <is>
          <t>NBT:</t>
        </is>
      </c>
      <c r="AJ1365" t="inlineStr"/>
      <c r="AP1365" t="inlineStr">
        <is>
          <t>https://www.dutscher.com/search?initialFilters=brand:WPI | https://nbtltd.com/products-page</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Y1366" t="inlineStr">
        <is>
          <t>unknown</t>
        </is>
      </c>
      <c r="Z1366" t="inlineStr"/>
      <c r="AA1366" t="inlineStr"/>
      <c r="AB1366" t="inlineStr"/>
      <c r="AC1366" t="inlineStr"/>
      <c r="AD1366" t="inlineStr">
        <is>
          <t>לא נמצא בסריקת המפיצים</t>
        </is>
      </c>
      <c r="AE1366" t="inlineStr">
        <is>
          <t>סריקת אתרי מפיצים</t>
        </is>
      </c>
      <c r="AG1366" t="inlineStr"/>
      <c r="AH1366" t="inlineStr"/>
      <c r="AJ1366" t="inlineStr"/>
      <c r="AP1366" t="inlineStr">
        <is>
          <t>https://www.thomassci.com/browse-by/suppliers/wtw</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Y1367" t="inlineStr">
        <is>
          <t>unknown</t>
        </is>
      </c>
      <c r="Z1367" t="inlineStr"/>
      <c r="AA1367" t="inlineStr"/>
      <c r="AB1367" t="inlineStr"/>
      <c r="AC1367" t="inlineStr"/>
      <c r="AD1367" t="inlineStr">
        <is>
          <t>לא נמצא בסריקת המפיצים</t>
        </is>
      </c>
      <c r="AE1367" t="inlineStr">
        <is>
          <t>סריקת אתרי מפיצים</t>
        </is>
      </c>
      <c r="AG1367" t="inlineStr"/>
      <c r="AH1367" t="inlineStr"/>
      <c r="AJ1367" t="inlineStr">
        <is>
          <t>+15127047309</t>
        </is>
      </c>
      <c r="AK1367" t="inlineStr">
        <is>
          <t>info@x-tremeseries.com</t>
        </is>
      </c>
      <c r="AM1367" t="inlineStr">
        <is>
          <t>https://www.x-tremeseries.com/contact/</t>
        </is>
      </c>
      <c r="AN1367" t="inlineStr">
        <is>
          <t>https://www.x-tremeseries.com/contact/</t>
        </is>
      </c>
      <c r="AP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Y1368" t="inlineStr">
        <is>
          <t>unknown</t>
        </is>
      </c>
      <c r="Z1368" t="inlineStr"/>
      <c r="AA1368" t="inlineStr"/>
      <c r="AB1368" t="inlineStr"/>
      <c r="AC1368" t="inlineStr"/>
      <c r="AD1368" t="inlineStr">
        <is>
          <t>לא נמצא בסריקת המפיצים</t>
        </is>
      </c>
      <c r="AE1368" t="inlineStr">
        <is>
          <t>סריקת אתרי מפיצים</t>
        </is>
      </c>
      <c r="AG1368" t="inlineStr"/>
      <c r="AH1368" t="inlineStr"/>
      <c r="AJ1368" t="inlineStr"/>
      <c r="AP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Y1369" t="inlineStr">
        <is>
          <t>unknown</t>
        </is>
      </c>
      <c r="Z1369" t="inlineStr"/>
      <c r="AA1369" t="inlineStr"/>
      <c r="AB1369" t="inlineStr"/>
      <c r="AC1369" t="inlineStr"/>
      <c r="AD1369" t="inlineStr">
        <is>
          <t>לא נמצא בסריקת המפיצים</t>
        </is>
      </c>
      <c r="AE1369" t="inlineStr">
        <is>
          <t>סריקת אתרי מפיצים</t>
        </is>
      </c>
      <c r="AG1369" t="inlineStr"/>
      <c r="AH1369" t="inlineStr"/>
      <c r="AJ1369" t="inlineStr"/>
      <c r="AP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Y1370" t="inlineStr">
        <is>
          <t>unknown</t>
        </is>
      </c>
      <c r="Z1370" t="inlineStr"/>
      <c r="AA1370" t="inlineStr"/>
      <c r="AB1370" t="inlineStr"/>
      <c r="AC1370" t="inlineStr"/>
      <c r="AD1370" t="inlineStr">
        <is>
          <t>לא נמצא בסריקת המפיצים</t>
        </is>
      </c>
      <c r="AE1370" t="inlineStr">
        <is>
          <t>סריקת אתרי מפיצים</t>
        </is>
      </c>
      <c r="AG1370" t="inlineStr"/>
      <c r="AH1370" t="inlineStr"/>
      <c r="AJ1370" t="inlineStr"/>
      <c r="AP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clearbit_verified</t>
        </is>
      </c>
      <c r="J1371" t="inlineStr"/>
      <c r="Y1371" t="inlineStr">
        <is>
          <t>unknown</t>
        </is>
      </c>
      <c r="Z1371" t="inlineStr"/>
      <c r="AA1371" t="inlineStr"/>
      <c r="AB1371" t="inlineStr"/>
      <c r="AC1371" t="inlineStr"/>
      <c r="AD1371" t="inlineStr">
        <is>
          <t>לא נמצא בסריקת המפיצים</t>
        </is>
      </c>
      <c r="AE1371" t="inlineStr">
        <is>
          <t>סריקת אתרי מפיצים</t>
        </is>
      </c>
      <c r="AG1371" t="inlineStr"/>
      <c r="AH1371" t="inlineStr"/>
      <c r="AJ1371" t="inlineStr"/>
      <c r="AM1371" t="inlineStr">
        <is>
          <t>https://www.xylem.com/en-us/contact-us/</t>
        </is>
      </c>
      <c r="AN1371" t="inlineStr">
        <is>
          <t>https://www.xylem.com/en-us/contact-us/</t>
        </is>
      </c>
      <c r="AP1371" t="inlineStr">
        <is>
          <t>https://www.dutscher.com/search?initialFilters=brand:Xylem | https://www.xylem.com/en-us/contact-us/</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P1372" t="n">
        <v>776</v>
      </c>
      <c r="Q1372" t="n">
        <v>2025</v>
      </c>
      <c r="R1372" t="inlineStr">
        <is>
          <t>company</t>
        </is>
      </c>
      <c r="S1372" t="inlineStr">
        <is>
          <t>prior</t>
        </is>
      </c>
      <c r="T1372" t="n">
        <v>293</v>
      </c>
      <c r="U1372" t="inlineStr">
        <is>
          <t>JPY 43.66 billion</t>
        </is>
      </c>
      <c r="V1372" t="inlineStr">
        <is>
          <t>FY2025 (ended Sep 2025)</t>
        </is>
      </c>
      <c r="W1372" t="inlineStr">
        <is>
          <t>company</t>
        </is>
      </c>
      <c r="X1372" t="inlineStr">
        <is>
          <t>prior</t>
        </is>
      </c>
      <c r="Y1372" t="inlineStr">
        <is>
          <t>reported</t>
        </is>
      </c>
      <c r="Z1372" t="inlineStr">
        <is>
          <t>DKN / DKM constant temperature ovens</t>
        </is>
      </c>
      <c r="AA1372" t="inlineStr">
        <is>
          <t>SM / SQ series autoclaves</t>
        </is>
      </c>
      <c r="AB1372" t="inlineStr">
        <is>
          <t>Auto Pure WL series</t>
        </is>
      </c>
      <c r="AC1372" t="inlineStr">
        <is>
          <t>prior</t>
        </is>
      </c>
      <c r="AD1372" t="inlineStr">
        <is>
          <t>מפיץ/נציג בישראל</t>
        </is>
      </c>
      <c r="AE1372" t="inlineStr">
        <is>
          <t>חיפוש חלקי</t>
        </is>
      </c>
      <c r="AF1372" t="n">
        <v>2018</v>
      </c>
      <c r="AG1372" t="inlineStr">
        <is>
          <t>S.L. Moran Ltd.</t>
        </is>
      </c>
      <c r="AH1372" t="inlineStr">
        <is>
          <t>S.L. Moran Ltd.: +972 74-702-9898</t>
        </is>
      </c>
      <c r="AI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2" t="inlineStr">
        <is>
          <t>+81 3-5548-7101</t>
        </is>
      </c>
      <c r="AL1372" t="inlineStr">
        <is>
          <t>Harumi Triton Square Office Tower Y (36F), 1-8-11 Harumi, Chuo-ku, Tokyo 104-6136, Japan</t>
        </is>
      </c>
      <c r="AM1372" t="inlineStr">
        <is>
          <t>https://www.yamato-scientific.com/support/inquiry/</t>
        </is>
      </c>
      <c r="AN1372" t="inlineStr">
        <is>
          <t>https://www.yamato-scientific.com/company/outline/</t>
        </is>
      </c>
      <c r="AP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P1373" t="n">
        <v>776</v>
      </c>
      <c r="Q1373" t="n">
        <v>2025</v>
      </c>
      <c r="R1373" t="inlineStr">
        <is>
          <t>company</t>
        </is>
      </c>
      <c r="S1373" t="inlineStr">
        <is>
          <t>prior</t>
        </is>
      </c>
      <c r="T1373" t="n">
        <v>293</v>
      </c>
      <c r="U1373" t="inlineStr">
        <is>
          <t>JPY 43.66 billion</t>
        </is>
      </c>
      <c r="V1373" t="inlineStr">
        <is>
          <t>FY2025 (ended Sep 2025)</t>
        </is>
      </c>
      <c r="W1373" t="inlineStr">
        <is>
          <t>company</t>
        </is>
      </c>
      <c r="X1373" t="inlineStr">
        <is>
          <t>prior</t>
        </is>
      </c>
      <c r="Y1373" t="inlineStr">
        <is>
          <t>reported</t>
        </is>
      </c>
      <c r="Z1373" t="inlineStr">
        <is>
          <t>DKN / DKM constant temperature ovens</t>
        </is>
      </c>
      <c r="AA1373" t="inlineStr">
        <is>
          <t>SM / SQ series autoclaves</t>
        </is>
      </c>
      <c r="AB1373" t="inlineStr">
        <is>
          <t>Auto Pure WL series</t>
        </is>
      </c>
      <c r="AC1373" t="inlineStr">
        <is>
          <t>prior</t>
        </is>
      </c>
      <c r="AD1373" t="inlineStr">
        <is>
          <t>מפיץ/נציג בישראל</t>
        </is>
      </c>
      <c r="AE1373" t="inlineStr">
        <is>
          <t>חיפוש חלקי</t>
        </is>
      </c>
      <c r="AF1373" t="n">
        <v>2018</v>
      </c>
      <c r="AG1373" t="inlineStr">
        <is>
          <t>S.L. Moran Ltd.</t>
        </is>
      </c>
      <c r="AH1373" t="inlineStr">
        <is>
          <t>S.L. Moran Ltd.: +972 74-702-9898</t>
        </is>
      </c>
      <c r="AI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J1373" t="inlineStr">
        <is>
          <t>+81 3-5548-7101</t>
        </is>
      </c>
      <c r="AL1373" t="inlineStr">
        <is>
          <t>Harumi Triton Square Office Tower Y (36F), 1-8-11 Harumi, Chuo-ku, Tokyo 104-6136, Japan</t>
        </is>
      </c>
      <c r="AM1373" t="inlineStr">
        <is>
          <t>https://www.yamato-scientific.com/support/inquiry/</t>
        </is>
      </c>
      <c r="AN1373" t="inlineStr">
        <is>
          <t>https://www.yamato-scientific.com/company/outline/</t>
        </is>
      </c>
      <c r="AP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Y1374" t="inlineStr">
        <is>
          <t>unknown</t>
        </is>
      </c>
      <c r="Z1374" t="inlineStr"/>
      <c r="AA1374" t="inlineStr"/>
      <c r="AB1374" t="inlineStr"/>
      <c r="AC1374" t="inlineStr"/>
      <c r="AD1374" t="inlineStr">
        <is>
          <t>לא נמצא בסריקת המפיצים</t>
        </is>
      </c>
      <c r="AE1374" t="inlineStr">
        <is>
          <t>סריקת אתרי מפיצים</t>
        </is>
      </c>
      <c r="AG1374" t="inlineStr"/>
      <c r="AH1374" t="inlineStr"/>
      <c r="AJ1374" t="inlineStr"/>
      <c r="AP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Y1375" t="inlineStr">
        <is>
          <t>unknown</t>
        </is>
      </c>
      <c r="Z1375" t="inlineStr"/>
      <c r="AA1375" t="inlineStr"/>
      <c r="AB1375" t="inlineStr"/>
      <c r="AC1375" t="inlineStr"/>
      <c r="AD1375" t="inlineStr">
        <is>
          <t>לא נמצא בסריקת המפיצים</t>
        </is>
      </c>
      <c r="AE1375" t="inlineStr">
        <is>
          <t>סריקת אתרי מפיצים</t>
        </is>
      </c>
      <c r="AG1375" t="inlineStr"/>
      <c r="AH1375" t="inlineStr"/>
      <c r="AJ1375" t="inlineStr">
        <is>
          <t>19376884255</t>
        </is>
      </c>
      <c r="AM1375" t="inlineStr">
        <is>
          <t>https://ysi.com/contact-us</t>
        </is>
      </c>
      <c r="AN1375" t="inlineStr">
        <is>
          <t>https://ysi.com/contact-us</t>
        </is>
      </c>
      <c r="AP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Y1376" t="inlineStr">
        <is>
          <t>unknown</t>
        </is>
      </c>
      <c r="Z1376" t="inlineStr"/>
      <c r="AA1376" t="inlineStr"/>
      <c r="AB1376" t="inlineStr"/>
      <c r="AC1376" t="inlineStr"/>
      <c r="AD1376" t="inlineStr">
        <is>
          <t>לא נמצא בסריקת המפיצים</t>
        </is>
      </c>
      <c r="AE1376" t="inlineStr">
        <is>
          <t>סריקת אתרי מפיצים</t>
        </is>
      </c>
      <c r="AG1376" t="inlineStr"/>
      <c r="AH1376" t="inlineStr"/>
      <c r="AJ1376" t="inlineStr">
        <is>
          <t>19195958250</t>
        </is>
      </c>
      <c r="AK1376" t="inlineStr">
        <is>
          <t>sales@yukonmedical.com</t>
        </is>
      </c>
      <c r="AM1376" t="inlineStr">
        <is>
          <t>https://yukonmedical.com/contact-us/</t>
        </is>
      </c>
      <c r="AN1376" t="inlineStr">
        <is>
          <t>https://yukonmedical.com/contact-us/</t>
        </is>
      </c>
      <c r="AP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Y1377" t="inlineStr">
        <is>
          <t>unknown</t>
        </is>
      </c>
      <c r="Z1377" t="inlineStr"/>
      <c r="AA1377" t="inlineStr"/>
      <c r="AB1377" t="inlineStr"/>
      <c r="AC1377" t="inlineStr"/>
      <c r="AD1377" t="inlineStr">
        <is>
          <t>לא נמצא בסריקת המפיצים</t>
        </is>
      </c>
      <c r="AE1377" t="inlineStr">
        <is>
          <t>סריקת אתרי מפיצים</t>
        </is>
      </c>
      <c r="AG1377" t="inlineStr"/>
      <c r="AH1377" t="inlineStr"/>
      <c r="AJ1377" t="inlineStr">
        <is>
          <t>(877)-428-9937</t>
        </is>
      </c>
      <c r="AK1377" t="inlineStr">
        <is>
          <t>info@cyclect.com.sg</t>
        </is>
      </c>
      <c r="AM1377" t="inlineStr">
        <is>
          <t>https://zep.com/pages/contact</t>
        </is>
      </c>
      <c r="AN1377" t="inlineStr">
        <is>
          <t>https://zep.com/pages/contact</t>
        </is>
      </c>
      <c r="AP1377" t="inlineStr">
        <is>
          <t>https://www.thomassci.com/browse-by/suppliers/zep | https://zep.com/pages/contact</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Y1378" t="inlineStr">
        <is>
          <t>unknown</t>
        </is>
      </c>
      <c r="Z1378" t="inlineStr"/>
      <c r="AA1378" t="inlineStr"/>
      <c r="AB1378" t="inlineStr"/>
      <c r="AC1378" t="inlineStr"/>
      <c r="AD1378" t="inlineStr">
        <is>
          <t>לא נמצא בסריקת המפיצים</t>
        </is>
      </c>
      <c r="AE1378" t="inlineStr">
        <is>
          <t>סריקת אתרי מפיצים</t>
        </is>
      </c>
      <c r="AG1378" t="inlineStr"/>
      <c r="AH1378" t="inlineStr"/>
      <c r="AJ1378" t="inlineStr">
        <is>
          <t>+1.716.882.0920</t>
        </is>
      </c>
      <c r="AM1378" t="inlineStr">
        <is>
          <t>https://www.zeptometrix.com/us/en/contact</t>
        </is>
      </c>
      <c r="AN1378" t="inlineStr">
        <is>
          <t>https://www.zeptometrix.com/us/en/contact</t>
        </is>
      </c>
      <c r="AP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Y1379" t="inlineStr">
        <is>
          <t>unknown</t>
        </is>
      </c>
      <c r="Z1379" t="inlineStr"/>
      <c r="AA1379" t="inlineStr"/>
      <c r="AB1379" t="inlineStr"/>
      <c r="AC1379" t="inlineStr"/>
      <c r="AD1379" t="inlineStr">
        <is>
          <t>לא נמצא בסריקת המפיצים</t>
        </is>
      </c>
      <c r="AE1379" t="inlineStr">
        <is>
          <t>סריקת אתרי מפיצים</t>
        </is>
      </c>
      <c r="AG1379" t="inlineStr"/>
      <c r="AH1379" t="inlineStr"/>
      <c r="AJ1379" t="inlineStr"/>
      <c r="AP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Y1380" t="inlineStr">
        <is>
          <t>unknown</t>
        </is>
      </c>
      <c r="Z1380" t="inlineStr"/>
      <c r="AA1380" t="inlineStr"/>
      <c r="AB1380" t="inlineStr"/>
      <c r="AC1380" t="inlineStr"/>
      <c r="AD1380" t="inlineStr">
        <is>
          <t>לא נמצא בסריקת המפיצים</t>
        </is>
      </c>
      <c r="AE1380" t="inlineStr">
        <is>
          <t>סריקת אתרי מפיצים</t>
        </is>
      </c>
      <c r="AG1380" t="inlineStr"/>
      <c r="AH1380" t="inlineStr"/>
      <c r="AJ1380" t="inlineStr">
        <is>
          <t>9784219655</t>
        </is>
      </c>
      <c r="AM1380" t="inlineStr">
        <is>
          <t>https://www.zoll.com/en-us/about/newsroom</t>
        </is>
      </c>
      <c r="AN1380" t="inlineStr">
        <is>
          <t>https://www.zoll.com/en-us/about/newsroom</t>
        </is>
      </c>
      <c r="AP1380" t="inlineStr">
        <is>
          <t>https://www.thomassci.com/browse-by/suppliers/zoll | https://www.zoll.com/en-us/about/newsroom</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Y1381" t="inlineStr">
        <is>
          <t>unknown</t>
        </is>
      </c>
      <c r="Z1381" t="inlineStr"/>
      <c r="AA1381" t="inlineStr"/>
      <c r="AB1381" t="inlineStr"/>
      <c r="AC1381" t="inlineStr"/>
      <c r="AD1381" t="inlineStr">
        <is>
          <t>לא נמצא בסריקת המפיצים</t>
        </is>
      </c>
      <c r="AE1381" t="inlineStr">
        <is>
          <t>סריקת אתרי מפיצים</t>
        </is>
      </c>
      <c r="AG1381" t="inlineStr"/>
      <c r="AH1381" t="inlineStr"/>
      <c r="AJ1381" t="inlineStr"/>
      <c r="AM1381" t="inlineStr">
        <is>
          <t>https://www.zwiebel.fr/contact/</t>
        </is>
      </c>
      <c r="AN1381" t="inlineStr">
        <is>
          <t>https://www.zwiebel.fr/contact/</t>
        </is>
      </c>
      <c r="AP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Y1382" t="inlineStr">
        <is>
          <t>unknown</t>
        </is>
      </c>
      <c r="Z1382" t="inlineStr">
        <is>
          <t>Zymo-Spin I Columns</t>
        </is>
      </c>
      <c r="AA1382" t="inlineStr">
        <is>
          <t>ZymoPURE II Plasmid Midiprep Kits</t>
        </is>
      </c>
      <c r="AB1382" t="inlineStr">
        <is>
          <t>RNA Clean &amp; Concentrator-5 Kits</t>
        </is>
      </c>
      <c r="AC1382" t="inlineStr">
        <is>
          <t>thomassci</t>
        </is>
      </c>
      <c r="AD1382" t="inlineStr">
        <is>
          <t>לא נמצא בחיפוש ראשוני</t>
        </is>
      </c>
      <c r="AE1382" t="inlineStr">
        <is>
          <t>חיפוש חלקי</t>
        </is>
      </c>
      <c r="AG1382" t="inlineStr"/>
      <c r="AH1382" t="inlineStr"/>
      <c r="AI1382" t="inlineStr">
        <is>
          <t>Only global-network claims, a 2017 VWR North America deal and a Seegene listing; no Israeli distributor named.</t>
        </is>
      </c>
      <c r="AJ1382" t="inlineStr"/>
      <c r="AP1382" t="inlineStr">
        <is>
          <t>https://www.quartzy.com/suppliers | https://www.thomassci.com/browse-by/suppliers/zymo-research-corporation</t>
        </is>
      </c>
    </row>
  </sheetData>
  <autoFilter ref="A1:AP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5"/>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14</v>
      </c>
      <c r="B3" t="inlineStr">
        <is>
          <t>AAT Bioquest</t>
        </is>
      </c>
      <c r="C3" t="inlineStr">
        <is>
          <t>distributor of Recombinant Proteins, Antibodies, Cell Line, ELISA Kit</t>
        </is>
      </c>
      <c r="D3" t="inlineStr">
        <is>
          <t>דורון סיינטיפיק</t>
        </is>
      </c>
      <c r="E3" t="inlineStr">
        <is>
          <t>מפיץ</t>
        </is>
      </c>
      <c r="F3" t="inlineStr">
        <is>
          <t>listed as a brand on the distributor's site</t>
        </is>
      </c>
      <c r="G3" t="inlineStr">
        <is>
          <t>https://www.doronscientific.com/</t>
        </is>
      </c>
      <c r="H3" t="inlineStr">
        <is>
          <t>054-5544004</t>
        </is>
      </c>
      <c r="I3" t="inlineStr">
        <is>
          <t>info@doronscientific.com</t>
        </is>
      </c>
      <c r="L3" t="n">
        <v>2026</v>
      </c>
      <c r="M3" t="inlineStr">
        <is>
          <t>עדכני</t>
        </is>
      </c>
      <c r="N3" t="inlineStr">
        <is>
          <t>distributor_site_sweep</t>
        </is>
      </c>
      <c r="O3" t="inlineStr">
        <is>
          <t>exact</t>
        </is>
      </c>
      <c r="P3" t="inlineStr">
        <is>
          <t>https://doronscientific.com/products/</t>
        </is>
      </c>
    </row>
    <row r="4">
      <c r="A4" t="n">
        <v>16</v>
      </c>
      <c r="B4" t="inlineStr">
        <is>
          <t>ABclonal</t>
        </is>
      </c>
      <c r="C4" t="inlineStr">
        <is>
          <t>distributor of Recombinant Proteins, Antibodies, Cell Line, ELISA Kit</t>
        </is>
      </c>
      <c r="D4" t="inlineStr">
        <is>
          <t>דורון סיינטיפיק</t>
        </is>
      </c>
      <c r="E4" t="inlineStr">
        <is>
          <t>מפיץ</t>
        </is>
      </c>
      <c r="F4" t="inlineStr">
        <is>
          <t>listed as a brand on the distributor's site</t>
        </is>
      </c>
      <c r="G4" t="inlineStr">
        <is>
          <t>https://www.doronscientific.com/</t>
        </is>
      </c>
      <c r="H4" t="inlineStr">
        <is>
          <t>054-5544004</t>
        </is>
      </c>
      <c r="I4" t="inlineStr">
        <is>
          <t>info@doronscientific.com</t>
        </is>
      </c>
      <c r="L4" t="n">
        <v>2026</v>
      </c>
      <c r="M4" t="inlineStr">
        <is>
          <t>עדכני</t>
        </is>
      </c>
      <c r="N4" t="inlineStr">
        <is>
          <t>distributor_site_sweep</t>
        </is>
      </c>
      <c r="O4" t="inlineStr">
        <is>
          <t>exact</t>
        </is>
      </c>
      <c r="P4" t="inlineStr">
        <is>
          <t>https://doronscientific.com/products/</t>
        </is>
      </c>
    </row>
    <row r="5">
      <c r="A5" t="n">
        <v>31</v>
      </c>
      <c r="B5" t="inlineStr">
        <is>
          <t>Acrobiosystems</t>
        </is>
      </c>
      <c r="C5" t="inlineStr">
        <is>
          <t>distributor of Recombinant Proteins, Antibodies, Cell Line, ELISA Kit</t>
        </is>
      </c>
      <c r="D5" t="inlineStr">
        <is>
          <t>דורון סיינטיפיק</t>
        </is>
      </c>
      <c r="E5" t="inlineStr">
        <is>
          <t>מפיץ</t>
        </is>
      </c>
      <c r="F5" t="inlineStr">
        <is>
          <t>listed as a brand on the distributor's site</t>
        </is>
      </c>
      <c r="G5" t="inlineStr">
        <is>
          <t>https://www.doronscientific.com/</t>
        </is>
      </c>
      <c r="H5" t="inlineStr">
        <is>
          <t>054-5544004</t>
        </is>
      </c>
      <c r="I5" t="inlineStr">
        <is>
          <t>info@doronscientific.com</t>
        </is>
      </c>
      <c r="L5" t="n">
        <v>2026</v>
      </c>
      <c r="M5" t="inlineStr">
        <is>
          <t>עדכני</t>
        </is>
      </c>
      <c r="N5" t="inlineStr">
        <is>
          <t>distributor_site_sweep</t>
        </is>
      </c>
      <c r="O5" t="inlineStr">
        <is>
          <t>exact</t>
        </is>
      </c>
      <c r="P5" t="inlineStr">
        <is>
          <t>https://doronscientific.com/products/</t>
        </is>
      </c>
    </row>
    <row r="6">
      <c r="A6" t="n">
        <v>34</v>
      </c>
      <c r="B6" t="inlineStr">
        <is>
          <t>ACTGene, Inc.</t>
        </is>
      </c>
      <c r="C6" t="inlineStr">
        <is>
          <t>Tivan Biotech</t>
        </is>
      </c>
      <c r="D6" t="inlineStr">
        <is>
          <t>טיבן ביוטק</t>
        </is>
      </c>
      <c r="E6" t="inlineStr">
        <is>
          <t>מפיץ</t>
        </is>
      </c>
      <c r="F6" t="inlineStr">
        <is>
          <t>listed as a brand on the distributor's site</t>
        </is>
      </c>
      <c r="G6" t="inlineStr">
        <is>
          <t>https://www.tivanbiotech.com/</t>
        </is>
      </c>
      <c r="H6" t="inlineStr">
        <is>
          <t>077-4701591</t>
        </is>
      </c>
      <c r="I6" t="inlineStr">
        <is>
          <t>customerservice@tivanbiotech.com</t>
        </is>
      </c>
      <c r="L6" t="n">
        <v>2026</v>
      </c>
      <c r="M6" t="inlineStr">
        <is>
          <t>עדכני</t>
        </is>
      </c>
      <c r="N6" t="inlineStr">
        <is>
          <t>distributor_site_sweep</t>
        </is>
      </c>
      <c r="O6" t="inlineStr">
        <is>
          <t>exact</t>
        </is>
      </c>
      <c r="P6" t="inlineStr">
        <is>
          <t>https://tivanbiotech.com/manufacturers</t>
        </is>
      </c>
    </row>
    <row r="7">
      <c r="A7" t="n">
        <v>53</v>
      </c>
      <c r="B7" t="inlineStr">
        <is>
          <t>Agilent</t>
        </is>
      </c>
      <c r="C7" t="inlineStr">
        <is>
          <t>Eldan Electronic Instruments Ltd. (Neopharm group)</t>
        </is>
      </c>
      <c r="D7" t="inlineStr">
        <is>
          <t>אלדן</t>
        </is>
      </c>
      <c r="E7" t="inlineStr">
        <is>
          <t>מפיץ</t>
        </is>
      </c>
      <c r="F7" t="inlineStr">
        <is>
          <t>Agilent authorised distributor for Israel (chromatography, spectroscopy, mass spectrometry, lab products, cell analysis); Petach Tikva, tel. +972-3-9371111, info@eldan.biz, per Agilent's live Israel contact page</t>
        </is>
      </c>
      <c r="G7" t="inlineStr">
        <is>
          <t>https://www.eldan.biz</t>
        </is>
      </c>
      <c r="H7" t="inlineStr">
        <is>
          <t>+972-3-937-1111</t>
        </is>
      </c>
      <c r="I7" t="inlineStr">
        <is>
          <t>info@eldan.biz</t>
        </is>
      </c>
      <c r="J7" t="inlineStr">
        <is>
          <t>6 Hashiloach Street, P.O. Box 7641, Petach Tikva 49170</t>
        </is>
      </c>
      <c r="K7" t="inlineStr"/>
      <c r="L7" t="n">
        <v>2026</v>
      </c>
      <c r="M7" t="inlineStr">
        <is>
          <t>עדכני</t>
        </is>
      </c>
      <c r="N7" t="inlineStr">
        <is>
          <t>prior_research</t>
        </is>
      </c>
      <c r="P7" t="inlineStr">
        <is>
          <t>https://www.agilent.com/en/contact-us/israel</t>
        </is>
      </c>
    </row>
    <row r="8">
      <c r="A8" t="n">
        <v>56</v>
      </c>
      <c r="B8" t="inlineStr">
        <is>
          <t>Agilent Technologies</t>
        </is>
      </c>
      <c r="C8" t="inlineStr">
        <is>
          <t>Eldan Electronic Instruments Ltd. (Neopharm group)</t>
        </is>
      </c>
      <c r="D8" t="inlineStr">
        <is>
          <t>אלדן</t>
        </is>
      </c>
      <c r="E8" t="inlineStr">
        <is>
          <t>מפיץ</t>
        </is>
      </c>
      <c r="F8" t="inlineStr">
        <is>
          <t>Agilent authorised distributor for Israel (chromatography, spectroscopy, mass spectrometry, lab products, cell analysis); Petach Tikva, tel. +972-3-9371111, info@eldan.biz, per Agilent's live Israel contact page</t>
        </is>
      </c>
      <c r="G8" t="inlineStr">
        <is>
          <t>https://www.eldan.biz</t>
        </is>
      </c>
      <c r="H8" t="inlineStr">
        <is>
          <t>+972-3-937-1111</t>
        </is>
      </c>
      <c r="I8" t="inlineStr">
        <is>
          <t>info@eldan.biz</t>
        </is>
      </c>
      <c r="J8" t="inlineStr">
        <is>
          <t>6 Hashiloach Street, P.O. Box 7641, Petach Tikva 49170</t>
        </is>
      </c>
      <c r="K8" t="inlineStr"/>
      <c r="L8" t="n">
        <v>2026</v>
      </c>
      <c r="M8" t="inlineStr">
        <is>
          <t>עדכני</t>
        </is>
      </c>
      <c r="N8" t="inlineStr">
        <is>
          <t>prior_research</t>
        </is>
      </c>
      <c r="P8" t="inlineStr">
        <is>
          <t>https://www.agilent.com/en/contact-us/israel</t>
        </is>
      </c>
    </row>
    <row r="9">
      <c r="A9" t="n">
        <v>88</v>
      </c>
      <c r="B9" t="inlineStr">
        <is>
          <t>Ambeed</t>
        </is>
      </c>
      <c r="C9" t="inlineStr">
        <is>
          <t>distributor of Recombinant Proteins, Antibodies, Cell Line, ELISA Kit</t>
        </is>
      </c>
      <c r="D9" t="inlineStr">
        <is>
          <t>דורון סיינטיפיק</t>
        </is>
      </c>
      <c r="E9" t="inlineStr">
        <is>
          <t>מפיץ</t>
        </is>
      </c>
      <c r="F9" t="inlineStr">
        <is>
          <t>listed as a brand on the distributor's site</t>
        </is>
      </c>
      <c r="G9" t="inlineStr">
        <is>
          <t>https://www.doronscientific.com/</t>
        </is>
      </c>
      <c r="H9" t="inlineStr">
        <is>
          <t>054-5544004</t>
        </is>
      </c>
      <c r="I9" t="inlineStr">
        <is>
          <t>info@doronscientific.com</t>
        </is>
      </c>
      <c r="L9" t="n">
        <v>2026</v>
      </c>
      <c r="M9" t="inlineStr">
        <is>
          <t>עדכני</t>
        </is>
      </c>
      <c r="N9" t="inlineStr">
        <is>
          <t>distributor_site_sweep</t>
        </is>
      </c>
      <c r="O9" t="inlineStr">
        <is>
          <t>exact</t>
        </is>
      </c>
      <c r="P9" t="inlineStr">
        <is>
          <t>https://doronscientific.com/products/</t>
        </is>
      </c>
    </row>
    <row r="10">
      <c r="A10" t="n">
        <v>96</v>
      </c>
      <c r="B10" t="inlineStr">
        <is>
          <t>AMSBIO</t>
        </is>
      </c>
      <c r="C10" t="inlineStr">
        <is>
          <t>Tivan Biotech</t>
        </is>
      </c>
      <c r="D10" t="inlineStr">
        <is>
          <t>טיבן ביוטק</t>
        </is>
      </c>
      <c r="E10" t="inlineStr">
        <is>
          <t>מפיץ</t>
        </is>
      </c>
      <c r="F10" t="inlineStr">
        <is>
          <t>listed as a brand on the distributor's site</t>
        </is>
      </c>
      <c r="G10" t="inlineStr">
        <is>
          <t>https://www.tivanbiotech.com/</t>
        </is>
      </c>
      <c r="H10" t="inlineStr">
        <is>
          <t>077-4701591</t>
        </is>
      </c>
      <c r="I10" t="inlineStr">
        <is>
          <t>customerservice@tivanbiotech.com</t>
        </is>
      </c>
      <c r="L10" t="n">
        <v>2026</v>
      </c>
      <c r="M10" t="inlineStr">
        <is>
          <t>עדכני</t>
        </is>
      </c>
      <c r="N10" t="inlineStr">
        <is>
          <t>distributor_site_sweep</t>
        </is>
      </c>
      <c r="O10" t="inlineStr">
        <is>
          <t>exact</t>
        </is>
      </c>
      <c r="P10" t="inlineStr">
        <is>
          <t>https://tivanbiotech.com/manufacturers</t>
        </is>
      </c>
    </row>
    <row r="11">
      <c r="A11" t="n">
        <v>99</v>
      </c>
      <c r="B11" t="inlineStr">
        <is>
          <t>Analytik Jena</t>
        </is>
      </c>
      <c r="C11" t="inlineStr">
        <is>
          <t>Lifegene</t>
        </is>
      </c>
      <c r="D11" t="inlineStr"/>
      <c r="E11" t="inlineStr">
        <is>
          <t>מפיץ</t>
        </is>
      </c>
      <c r="F11" t="inlineStr">
        <is>
          <t>Biometra thermal cyclers (TAdvanced, TOne, TRobot II) described on Lifegene's live pages as premium PCR instruments from Analytik Jena</t>
        </is>
      </c>
      <c r="G11" t="inlineStr">
        <is>
          <t>https://www.lifegene.co.il</t>
        </is>
      </c>
      <c r="H11" t="inlineStr">
        <is>
          <t>+972 8-644-4314</t>
        </is>
      </c>
      <c r="I11" t="inlineStr">
        <is>
          <t>info@lifegene.co.il</t>
        </is>
      </c>
      <c r="J11" t="inlineStr">
        <is>
          <t>4 Ha'maayan St., Modi'in 7171101 (directory lists Modi'in; other sources say Mevo Horon – verify)</t>
        </is>
      </c>
      <c r="K11" t="inlineStr"/>
      <c r="L11" t="n">
        <v>2026</v>
      </c>
      <c r="M11" t="inlineStr">
        <is>
          <t>עדכני</t>
        </is>
      </c>
      <c r="N11" t="inlineStr">
        <is>
          <t>prior_research</t>
        </is>
      </c>
      <c r="P11" t="inlineStr">
        <is>
          <t>https://www.lifegene.co.il/biometra_tadvanced_pcr</t>
        </is>
      </c>
    </row>
    <row r="12">
      <c r="A12" t="n">
        <v>99</v>
      </c>
      <c r="B12" t="inlineStr">
        <is>
          <t>Analytik Jena</t>
        </is>
      </c>
      <c r="C12" t="inlineStr">
        <is>
          <t>Tamar Laboratory Supplies</t>
        </is>
      </c>
      <c r="D12" t="inlineStr"/>
      <c r="E12" t="inlineStr">
        <is>
          <t>מפיץ</t>
        </is>
      </c>
      <c r="F12" t="inlineStr">
        <is>
          <t>qTOWER³ real-time PCR thermal cycler (live product page) and 'PCR instruments from Biometra' (live project page)</t>
        </is>
      </c>
      <c r="G12" t="inlineStr">
        <is>
          <t>https://tamar.co.il</t>
        </is>
      </c>
      <c r="H12" t="inlineStr">
        <is>
          <t>+972 2-533-6070 (also 02-579-9777)</t>
        </is>
      </c>
      <c r="I12" t="inlineStr"/>
      <c r="J12" t="inlineStr">
        <is>
          <t>HaAla St., Mevaseret Zion 90805</t>
        </is>
      </c>
      <c r="K12" t="inlineStr"/>
      <c r="L12" t="n">
        <v>2026</v>
      </c>
      <c r="M12" t="inlineStr">
        <is>
          <t>עדכני</t>
        </is>
      </c>
      <c r="N12" t="inlineStr">
        <is>
          <t>prior_research</t>
        </is>
      </c>
      <c r="P12" t="inlineStr">
        <is>
          <t>https://tamar.co.il/qtower%C2%B3</t>
        </is>
      </c>
    </row>
    <row r="13">
      <c r="A13" t="n">
        <v>99</v>
      </c>
      <c r="B13" t="inlineStr">
        <is>
          <t>Analytik Jena</t>
        </is>
      </c>
      <c r="C13" t="inlineStr">
        <is>
          <t>Lumitron</t>
        </is>
      </c>
      <c r="D13" t="inlineStr">
        <is>
          <t>לומיטרון</t>
        </is>
      </c>
      <c r="E13" t="inlineStr">
        <is>
          <t>מפיץ</t>
        </is>
      </c>
      <c r="F13" t="inlineStr">
        <is>
          <t>UVP bio-imaging systems - Lumitron's live About page describes UVP as a part of Analytik Jena</t>
        </is>
      </c>
      <c r="G13" t="inlineStr">
        <is>
          <t>https://www.lumitron.co.il</t>
        </is>
      </c>
      <c r="H13" t="inlineStr">
        <is>
          <t>+972 52-525-6287</t>
        </is>
      </c>
      <c r="I13" t="inlineStr"/>
      <c r="J13" t="inlineStr">
        <is>
          <t>17 Hamiflasim St., Petah Tikva</t>
        </is>
      </c>
      <c r="K13" t="inlineStr"/>
      <c r="L13" t="n">
        <v>2026</v>
      </c>
      <c r="M13" t="inlineStr">
        <is>
          <t>עדכני</t>
        </is>
      </c>
      <c r="N13" t="inlineStr">
        <is>
          <t>prior_research</t>
        </is>
      </c>
      <c r="P13" t="inlineStr">
        <is>
          <t>https://www.lumitron.co.il/about-us/</t>
        </is>
      </c>
    </row>
    <row r="14">
      <c r="A14" t="n">
        <v>108</v>
      </c>
      <c r="B14" t="inlineStr">
        <is>
          <t>Anton Paar</t>
        </is>
      </c>
      <c r="C14" t="inlineStr">
        <is>
          <t>Prime Lab Scientific Instruments Ltd.</t>
        </is>
      </c>
      <c r="D14" t="inlineStr">
        <is>
          <t>פריים לאב</t>
        </is>
      </c>
      <c r="E14" t="inlineStr">
        <is>
          <t>מפיץ</t>
        </is>
      </c>
      <c r="F14"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14" t="inlineStr">
        <is>
          <t>https://primelab.co.il</t>
        </is>
      </c>
      <c r="H14" t="inlineStr"/>
      <c r="I14" t="inlineStr"/>
      <c r="J14" t="inlineStr"/>
      <c r="K14" t="inlineStr"/>
      <c r="L14" t="n">
        <v>2026</v>
      </c>
      <c r="M14" t="inlineStr">
        <is>
          <t>עדכני</t>
        </is>
      </c>
      <c r="N14" t="inlineStr">
        <is>
          <t>prior_research</t>
        </is>
      </c>
      <c r="P14" t="inlineStr">
        <is>
          <t>https://primelab.co.il/</t>
        </is>
      </c>
    </row>
    <row r="15">
      <c r="A15" t="n">
        <v>142</v>
      </c>
      <c r="B15" t="inlineStr">
        <is>
          <t>Atlas Antibodies</t>
        </is>
      </c>
      <c r="C15" t="inlineStr">
        <is>
          <t>Yair Technologies</t>
        </is>
      </c>
      <c r="D15" t="inlineStr">
        <is>
          <t>יאיר טכנולוגיות</t>
        </is>
      </c>
      <c r="E15" t="inlineStr">
        <is>
          <t>מפיץ</t>
        </is>
      </c>
      <c r="F15" t="inlineStr">
        <is>
          <t>listed as a brand on the distributor's site</t>
        </is>
      </c>
      <c r="G15" t="inlineStr">
        <is>
          <t>https://www.yairtech.co.il/</t>
        </is>
      </c>
      <c r="H15" t="inlineStr">
        <is>
          <t>+97288544856</t>
        </is>
      </c>
      <c r="I15" t="inlineStr">
        <is>
          <t>contact@yairtech.co.il</t>
        </is>
      </c>
      <c r="L15" t="n">
        <v>2026</v>
      </c>
      <c r="M15" t="inlineStr">
        <is>
          <t>עדכני</t>
        </is>
      </c>
      <c r="N15" t="inlineStr">
        <is>
          <t>distributor_site_sweep</t>
        </is>
      </c>
      <c r="O15" t="inlineStr">
        <is>
          <t>exact</t>
        </is>
      </c>
      <c r="P15" t="inlineStr">
        <is>
          <t>https://www.yairtech.co.il/partners/</t>
        </is>
      </c>
    </row>
    <row r="16">
      <c r="A16" t="n">
        <v>149</v>
      </c>
      <c r="B16" t="inlineStr">
        <is>
          <t>Azenta</t>
        </is>
      </c>
      <c r="C16" t="inlineStr">
        <is>
          <t>HyLabs (Hy Laboratories Ltd.)</t>
        </is>
      </c>
      <c r="D16" t="inlineStr"/>
      <c r="E16" t="inlineStr">
        <is>
          <t>מפיץ</t>
        </is>
      </c>
      <c r="F16"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6" t="inlineStr">
        <is>
          <t>https://www.hylabs.co.il</t>
        </is>
      </c>
      <c r="H16" t="inlineStr">
        <is>
          <t>+972-8-936-6475</t>
        </is>
      </c>
      <c r="I16" t="inlineStr"/>
      <c r="J16" t="inlineStr">
        <is>
          <t>8 Prof. Menakhem Plaut St., Rehovot (Prospeo lists 6 Plaut St., Rehovot 7670606)</t>
        </is>
      </c>
      <c r="K16" t="inlineStr"/>
      <c r="L16" t="n">
        <v>2026</v>
      </c>
      <c r="M16" t="inlineStr">
        <is>
          <t>עדכני</t>
        </is>
      </c>
      <c r="N16" t="inlineStr">
        <is>
          <t>prior_research</t>
        </is>
      </c>
      <c r="P16" t="inlineStr">
        <is>
          <t>https://www.hylabs.co.il/services/genewiz-genomics-services/</t>
        </is>
      </c>
    </row>
    <row r="17">
      <c r="A17" t="n">
        <v>149</v>
      </c>
      <c r="B17" t="inlineStr">
        <is>
          <t>Azenta</t>
        </is>
      </c>
      <c r="C17" t="inlineStr">
        <is>
          <t>Tamar Laboratory Supplies Ltd.</t>
        </is>
      </c>
      <c r="D17" t="inlineStr">
        <is>
          <t>תמר ציוד מעבדתי</t>
        </is>
      </c>
      <c r="E17" t="inlineStr">
        <is>
          <t>מפיץ</t>
        </is>
      </c>
      <c r="F17"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7" t="inlineStr">
        <is>
          <t>https://www.tamar.co.il</t>
        </is>
      </c>
      <c r="H17" t="inlineStr">
        <is>
          <t>+972 2-533-6070 (also 02-579-9777)</t>
        </is>
      </c>
      <c r="I17" t="inlineStr"/>
      <c r="J17" t="inlineStr">
        <is>
          <t>HaAla St., Mevaseret Zion 90805</t>
        </is>
      </c>
      <c r="K17" t="inlineStr"/>
      <c r="L17" t="n">
        <v>2026</v>
      </c>
      <c r="M17" t="inlineStr">
        <is>
          <t>עדכני</t>
        </is>
      </c>
      <c r="N17" t="inlineStr">
        <is>
          <t>prior_research</t>
        </is>
      </c>
      <c r="P17" t="inlineStr">
        <is>
          <t>https://www.tamar.co.il/represented-companies/</t>
        </is>
      </c>
    </row>
    <row r="18">
      <c r="A18" t="n">
        <v>150</v>
      </c>
      <c r="B18" t="inlineStr">
        <is>
          <t>Azenta Life Sciences (formerly 4titude)</t>
        </is>
      </c>
      <c r="C18" t="inlineStr">
        <is>
          <t>HyLabs (Hy Laboratories Ltd.)</t>
        </is>
      </c>
      <c r="D18" t="inlineStr"/>
      <c r="E18" t="inlineStr">
        <is>
          <t>מפיץ</t>
        </is>
      </c>
      <c r="F1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18" t="inlineStr">
        <is>
          <t>https://www.hylabs.co.il</t>
        </is>
      </c>
      <c r="H18" t="inlineStr">
        <is>
          <t>+972-8-936-6475</t>
        </is>
      </c>
      <c r="I18" t="inlineStr"/>
      <c r="J18" t="inlineStr">
        <is>
          <t>8 Prof. Menakhem Plaut St., Rehovot (Prospeo lists 6 Plaut St., Rehovot 7670606)</t>
        </is>
      </c>
      <c r="K18" t="inlineStr"/>
      <c r="L18" t="n">
        <v>2026</v>
      </c>
      <c r="M18" t="inlineStr">
        <is>
          <t>עדכני</t>
        </is>
      </c>
      <c r="N18" t="inlineStr">
        <is>
          <t>prior_research</t>
        </is>
      </c>
      <c r="P18" t="inlineStr">
        <is>
          <t>https://www.hylabs.co.il/services/genewiz-genomics-services/</t>
        </is>
      </c>
    </row>
    <row r="19">
      <c r="A19" t="n">
        <v>150</v>
      </c>
      <c r="B19" t="inlineStr">
        <is>
          <t>Azenta Life Sciences (formerly 4titude)</t>
        </is>
      </c>
      <c r="C19" t="inlineStr">
        <is>
          <t>Tamar Laboratory Supplies Ltd.</t>
        </is>
      </c>
      <c r="D19" t="inlineStr">
        <is>
          <t>תמר ציוד מעבדתי</t>
        </is>
      </c>
      <c r="E19" t="inlineStr">
        <is>
          <t>מפיץ</t>
        </is>
      </c>
      <c r="F1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19" t="inlineStr">
        <is>
          <t>https://www.tamar.co.il</t>
        </is>
      </c>
      <c r="H19" t="inlineStr">
        <is>
          <t>+972 2-533-6070 (also 02-579-9777)</t>
        </is>
      </c>
      <c r="I19" t="inlineStr"/>
      <c r="J19" t="inlineStr">
        <is>
          <t>HaAla St., Mevaseret Zion 90805</t>
        </is>
      </c>
      <c r="K19" t="inlineStr"/>
      <c r="L19" t="n">
        <v>2026</v>
      </c>
      <c r="M19" t="inlineStr">
        <is>
          <t>עדכני</t>
        </is>
      </c>
      <c r="N19" t="inlineStr">
        <is>
          <t>prior_research</t>
        </is>
      </c>
      <c r="P19" t="inlineStr">
        <is>
          <t>https://www.tamar.co.il/represented-companies/</t>
        </is>
      </c>
    </row>
    <row r="20">
      <c r="A20" t="n">
        <v>153</v>
      </c>
      <c r="B20" t="inlineStr">
        <is>
          <t>Azura Genomics</t>
        </is>
      </c>
      <c r="C20" t="inlineStr">
        <is>
          <t>Yair Technologies</t>
        </is>
      </c>
      <c r="D20" t="inlineStr">
        <is>
          <t>יאיר טכנולוגיות</t>
        </is>
      </c>
      <c r="E20" t="inlineStr">
        <is>
          <t>מפיץ</t>
        </is>
      </c>
      <c r="F20" t="inlineStr">
        <is>
          <t>listed as a brand on the distributor's site</t>
        </is>
      </c>
      <c r="G20" t="inlineStr">
        <is>
          <t>https://www.yairtech.co.il/</t>
        </is>
      </c>
      <c r="H20" t="inlineStr">
        <is>
          <t>+97288544856</t>
        </is>
      </c>
      <c r="I20" t="inlineStr">
        <is>
          <t>contact@yairtech.co.il</t>
        </is>
      </c>
      <c r="L20" t="n">
        <v>2026</v>
      </c>
      <c r="M20" t="inlineStr">
        <is>
          <t>עדכני</t>
        </is>
      </c>
      <c r="N20" t="inlineStr">
        <is>
          <t>distributor_site_sweep</t>
        </is>
      </c>
      <c r="O20" t="inlineStr">
        <is>
          <t>exact</t>
        </is>
      </c>
      <c r="P20" t="inlineStr">
        <is>
          <t>https://www.yairtech.co.il/partners/</t>
        </is>
      </c>
    </row>
    <row r="21">
      <c r="A21" t="n">
        <v>165</v>
      </c>
      <c r="B21" t="inlineStr">
        <is>
          <t>BD Biosciences</t>
        </is>
      </c>
      <c r="C21" t="inlineStr">
        <is>
          <t>Augusta Life Sciences Israel Ltd. (Waters subsidiary, ex-BD Biosciences &amp; Diagnostic Solutions)</t>
        </is>
      </c>
      <c r="D21" t="inlineStr"/>
      <c r="E21" t="inlineStr">
        <is>
          <t>חברה-בת</t>
        </is>
      </c>
      <c r="F21"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21" t="inlineStr">
        <is>
          <t>https://www.waters.com</t>
        </is>
      </c>
      <c r="H21" t="inlineStr"/>
      <c r="I21" t="inlineStr"/>
      <c r="J21" t="inlineStr"/>
      <c r="K21" t="inlineStr"/>
      <c r="L21" t="n">
        <v>2026</v>
      </c>
      <c r="M21" t="inlineStr">
        <is>
          <t>עדכני</t>
        </is>
      </c>
      <c r="N21" t="inlineStr">
        <is>
          <t>prior_research</t>
        </is>
      </c>
      <c r="P21" t="inlineStr">
        <is>
          <t>https://www.waters.com/nextgen/us/en/about-waters/corporate-governance/legal-and-privacy-notices/bdtransaction.html</t>
        </is>
      </c>
    </row>
    <row r="22">
      <c r="A22" t="n">
        <v>165</v>
      </c>
      <c r="B22" t="inlineStr">
        <is>
          <t>BD Biosciences</t>
        </is>
      </c>
      <c r="C22" t="inlineStr">
        <is>
          <t>BD Israel (Becton Dickinson)</t>
        </is>
      </c>
      <c r="D22" t="inlineStr"/>
      <c r="E22" t="inlineStr">
        <is>
          <t>חברה-בת</t>
        </is>
      </c>
      <c r="F22"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22" t="inlineStr">
        <is>
          <t>https://www.bd.com/en-il</t>
        </is>
      </c>
      <c r="H22" t="inlineStr"/>
      <c r="I22" t="inlineStr"/>
      <c r="J22" t="inlineStr">
        <is>
          <t>Caesarea</t>
        </is>
      </c>
      <c r="K22" t="inlineStr"/>
      <c r="L22" t="n">
        <v>2026</v>
      </c>
      <c r="M22" t="inlineStr">
        <is>
          <t>עדכני</t>
        </is>
      </c>
      <c r="N22" t="inlineStr">
        <is>
          <t>prior_research</t>
        </is>
      </c>
      <c r="P22" t="inlineStr">
        <is>
          <t>https://jobs.bd.com/location-israel</t>
        </is>
      </c>
    </row>
    <row r="23">
      <c r="A23" t="n">
        <v>165</v>
      </c>
      <c r="B23" t="inlineStr">
        <is>
          <t>BD Biosciences</t>
        </is>
      </c>
      <c r="C23" t="inlineStr">
        <is>
          <t>Lapidot Group (Lapidot Medical)</t>
        </is>
      </c>
      <c r="D23" t="inlineStr">
        <is>
          <t>לפידות</t>
        </is>
      </c>
      <c r="E23" t="inlineStr">
        <is>
          <t>מפיץ</t>
        </is>
      </c>
      <c r="F23" t="inlineStr">
        <is>
          <t>lists BD as a business partner ('global medical technology company'); product scope not stated - likely BD Medical lines, not confirmed for Biosciences/Diagnostics</t>
        </is>
      </c>
      <c r="G23" t="inlineStr">
        <is>
          <t>https://www.lapidot.com</t>
        </is>
      </c>
      <c r="H23" t="inlineStr">
        <is>
          <t>+972-4-6309630 / +972-74-7797836</t>
        </is>
      </c>
      <c r="I23" t="inlineStr">
        <is>
          <t>customerservice@lapidot.com</t>
        </is>
      </c>
      <c r="J23" t="inlineStr">
        <is>
          <t>8 Hashita St., P.O. Box 3552, Caesarea Industrial Park 3088900</t>
        </is>
      </c>
      <c r="K23" t="inlineStr"/>
      <c r="M23" t="inlineStr">
        <is>
          <t>ראיה ישנה</t>
        </is>
      </c>
      <c r="N23" t="inlineStr">
        <is>
          <t>prior_research</t>
        </is>
      </c>
      <c r="P23" t="inlineStr">
        <is>
          <t>https://www.lapidot.com/en/partners/</t>
        </is>
      </c>
    </row>
    <row r="24">
      <c r="A24" t="n">
        <v>168</v>
      </c>
      <c r="B24" t="inlineStr">
        <is>
          <t>Beckman Coulter</t>
        </is>
      </c>
      <c r="C24" t="inlineStr">
        <is>
          <t>Rhenium Ltd.</t>
        </is>
      </c>
      <c r="D24" t="inlineStr">
        <is>
          <t>רניום</t>
        </is>
      </c>
      <c r="E24" t="inlineStr">
        <is>
          <t>מפיץ</t>
        </is>
      </c>
      <c r="F24" t="inlineStr">
        <is>
          <t>Beckman Coulter Life Sciences distributor for Israel - 20 Hasatat St., P.O.B. 180, Modi'in 7171101, +972 8 955 8888, per Beckman Coulter Life Sciences' live Israel contact page</t>
        </is>
      </c>
      <c r="G24" t="inlineStr">
        <is>
          <t>https://www.rhenium.co.il</t>
        </is>
      </c>
      <c r="H24" t="inlineStr">
        <is>
          <t>+972 8-955-8888</t>
        </is>
      </c>
      <c r="I24" t="inlineStr"/>
      <c r="J24" t="inlineStr">
        <is>
          <t>20 Hasatat St., P.O. Box 180, Modi'in 7171101</t>
        </is>
      </c>
      <c r="K24" t="inlineStr"/>
      <c r="L24" t="n">
        <v>2026</v>
      </c>
      <c r="M24" t="inlineStr">
        <is>
          <t>עדכני</t>
        </is>
      </c>
      <c r="N24" t="inlineStr">
        <is>
          <t>prior_research</t>
        </is>
      </c>
      <c r="P24" t="inlineStr">
        <is>
          <t>https://www.beckman.com/contact-us/israel</t>
        </is>
      </c>
    </row>
    <row r="25">
      <c r="A25" t="n">
        <v>168</v>
      </c>
      <c r="B25" t="inlineStr">
        <is>
          <t>Beckman Coulter</t>
        </is>
      </c>
      <c r="C25" t="inlineStr">
        <is>
          <t>Beckman Coulter (Israel) Ltd.</t>
        </is>
      </c>
      <c r="D25" t="inlineStr"/>
      <c r="E25" t="inlineStr">
        <is>
          <t>חברה-בת</t>
        </is>
      </c>
      <c r="F25" t="inlineStr">
        <is>
          <t>Beckman Coulter Diagnostics legal entity in Israel (2 Pekeris St., Park Tamar, Rehovot) listed under the BEC Diagnostics reporting group in Beckman Coulter's EU data-controller list; commercial role (direct diagnostics sales/service) not established</t>
        </is>
      </c>
      <c r="G25" t="inlineStr"/>
      <c r="H25" t="inlineStr"/>
      <c r="I25" t="inlineStr"/>
      <c r="J25" t="inlineStr"/>
      <c r="K25" t="inlineStr"/>
      <c r="L25" t="n">
        <v>2026</v>
      </c>
      <c r="M25" t="inlineStr">
        <is>
          <t>חדש</t>
        </is>
      </c>
      <c r="N25" t="inlineStr">
        <is>
          <t>prior_research</t>
        </is>
      </c>
      <c r="P25" t="inlineStr">
        <is>
          <t>https://media.beckmancoulter.com/-/media/diagnostics/eu-assets/pdf/controller-list.pdf?rev=e10665d675ed4f24adf07082e61099f6&amp;hash=DF4541DC81268F0844822FB104DF7F66</t>
        </is>
      </c>
    </row>
    <row r="26">
      <c r="A26" t="n">
        <v>189</v>
      </c>
      <c r="B26" t="inlineStr">
        <is>
          <t>Binder</t>
        </is>
      </c>
      <c r="C26" t="inlineStr">
        <is>
          <t>Labotal Scientific Equipment Ltd.</t>
        </is>
      </c>
      <c r="D26" t="inlineStr">
        <is>
          <t>לבוטל ציוד מדעי</t>
        </is>
      </c>
      <c r="E26" t="inlineStr">
        <is>
          <t>מפיץ</t>
        </is>
      </c>
      <c r="F26" t="inlineStr">
        <is>
          <t>Binder incubators, drying ovens and climate/simulation chambers - Labotal's live 'Binder' represented-firm page (founded 1983 by Peter M. Binder), live 'Represented Firms' page and drying-systems category</t>
        </is>
      </c>
      <c r="G26" t="inlineStr">
        <is>
          <t>https://labotal.co.il</t>
        </is>
      </c>
      <c r="H26" t="inlineStr">
        <is>
          <t>+972 2-579-9222</t>
        </is>
      </c>
      <c r="I26" t="inlineStr">
        <is>
          <t>Sales@labotal.co.il</t>
        </is>
      </c>
      <c r="J26" t="inlineStr">
        <is>
          <t>Hashalom Rd., Abu Ghosh 9084500 (mail: Mevaseret Zion)</t>
        </is>
      </c>
      <c r="K26" t="inlineStr">
        <is>
          <t>https://labotal.co.il/contact/</t>
        </is>
      </c>
      <c r="L26" t="n">
        <v>2026</v>
      </c>
      <c r="M26" t="inlineStr">
        <is>
          <t>עדכני</t>
        </is>
      </c>
      <c r="N26" t="inlineStr">
        <is>
          <t>prior_research</t>
        </is>
      </c>
      <c r="P26" t="inlineStr">
        <is>
          <t>https://labotal.co.il/firms/binder/?lang=en</t>
        </is>
      </c>
    </row>
    <row r="27">
      <c r="A27" t="n">
        <v>190</v>
      </c>
      <c r="B27" t="inlineStr">
        <is>
          <t>Bio Basic Inc.</t>
        </is>
      </c>
      <c r="C27" t="inlineStr">
        <is>
          <t>Syntezza Bioscience Ltd</t>
        </is>
      </c>
      <c r="D27" t="inlineStr">
        <is>
          <t>סינתזה ביוסיינס</t>
        </is>
      </c>
      <c r="E27" t="inlineStr">
        <is>
          <t>מפיץ</t>
        </is>
      </c>
      <c r="F27"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27" t="inlineStr">
        <is>
          <t>https://www.syntezza.com</t>
        </is>
      </c>
      <c r="J27" t="inlineStr">
        <is>
          <t>17 Hartom St., Har Hotzvim, Jerusalem</t>
        </is>
      </c>
      <c r="L27" t="n">
        <v>2026</v>
      </c>
      <c r="M27" t="inlineStr">
        <is>
          <t>עדכני</t>
        </is>
      </c>
      <c r="N27" t="inlineStr">
        <is>
          <t>manufacturer_or_press</t>
        </is>
      </c>
      <c r="O27" t="inlineStr">
        <is>
          <t>search</t>
        </is>
      </c>
      <c r="P27" t="inlineStr">
        <is>
          <t>https://www.syntezza.com/about/</t>
        </is>
      </c>
    </row>
    <row r="28">
      <c r="A28" t="n">
        <v>192</v>
      </c>
      <c r="B28" t="inlineStr">
        <is>
          <t>Bio-Rad</t>
        </is>
      </c>
      <c r="C28" t="inlineStr">
        <is>
          <t>Bio-Rad Israel Ltd. (Bio-Rad Laboratories (Rishon))</t>
        </is>
      </c>
      <c r="D28" t="inlineStr">
        <is>
          <t>ביו-ראד ישראל</t>
        </is>
      </c>
      <c r="E28" t="inlineStr">
        <is>
          <t>חברה-בת</t>
        </is>
      </c>
      <c r="F28" t="inlineStr">
        <is>
          <t>direct sales &amp; service of life-science and clinical-diagnostics products (Rishon LeZion; branch since 1991)</t>
        </is>
      </c>
      <c r="G28" t="inlineStr">
        <is>
          <t>https://www.bio-rad.com</t>
        </is>
      </c>
      <c r="H28" t="inlineStr"/>
      <c r="I28" t="inlineStr"/>
      <c r="J28" t="inlineStr">
        <is>
          <t>Netiv HaOr, Haifa</t>
        </is>
      </c>
      <c r="K28" t="inlineStr">
        <is>
          <t>https://www.bio-rad.com/en-il/contact-us</t>
        </is>
      </c>
      <c r="M28" t="inlineStr"/>
      <c r="N28" t="inlineStr">
        <is>
          <t>prior_research</t>
        </is>
      </c>
      <c r="P28" t="inlineStr">
        <is>
          <t>https://www.bio-rad.com/en-il/corporate/careers</t>
        </is>
      </c>
    </row>
    <row r="29">
      <c r="A29" t="n">
        <v>192</v>
      </c>
      <c r="B29" t="inlineStr">
        <is>
          <t>Bio-Rad</t>
        </is>
      </c>
      <c r="C29" t="inlineStr">
        <is>
          <t>Bio-Rad Haifa Ltd.</t>
        </is>
      </c>
      <c r="D29" t="inlineStr">
        <is>
          <t>ביו-ראד חיפה</t>
        </is>
      </c>
      <c r="E29" t="inlineStr">
        <is>
          <t>חברה-בת</t>
        </is>
      </c>
      <c r="F29"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29" t="inlineStr">
        <is>
          <t>https://www.bio-rad.com</t>
        </is>
      </c>
      <c r="H29" t="inlineStr"/>
      <c r="I29" t="inlineStr"/>
      <c r="J29" t="inlineStr">
        <is>
          <t>Netiv HaOr, Haifa</t>
        </is>
      </c>
      <c r="K29" t="inlineStr">
        <is>
          <t>https://www.bio-rad.com/en-il/contact-us</t>
        </is>
      </c>
      <c r="L29" t="n">
        <v>2006</v>
      </c>
      <c r="M29" t="inlineStr">
        <is>
          <t>ראיה ישנה</t>
        </is>
      </c>
      <c r="N29" t="inlineStr">
        <is>
          <t>prior_research</t>
        </is>
      </c>
      <c r="P29" t="inlineStr">
        <is>
          <t>https://www.bio-rad.com/webroot/web/pdf/general/trading_terms/AGB_IL.pdf</t>
        </is>
      </c>
    </row>
    <row r="30">
      <c r="A30" t="n">
        <v>212</v>
      </c>
      <c r="B30" t="inlineStr">
        <is>
          <t>Biorbyt</t>
        </is>
      </c>
      <c r="C30" t="inlineStr">
        <is>
          <t>distributor of Recombinant Proteins, Antibodies, Cell Line, ELISA Kit</t>
        </is>
      </c>
      <c r="D30" t="inlineStr">
        <is>
          <t>דורון סיינטיפיק</t>
        </is>
      </c>
      <c r="E30" t="inlineStr">
        <is>
          <t>מפיץ</t>
        </is>
      </c>
      <c r="F30" t="inlineStr">
        <is>
          <t>listed as a brand on the distributor's site</t>
        </is>
      </c>
      <c r="G30" t="inlineStr">
        <is>
          <t>https://www.doronscientific.com/</t>
        </is>
      </c>
      <c r="H30" t="inlineStr">
        <is>
          <t>054-5544004</t>
        </is>
      </c>
      <c r="I30" t="inlineStr">
        <is>
          <t>info@doronscientific.com</t>
        </is>
      </c>
      <c r="L30" t="n">
        <v>2026</v>
      </c>
      <c r="M30" t="inlineStr">
        <is>
          <t>עדכני</t>
        </is>
      </c>
      <c r="N30" t="inlineStr">
        <is>
          <t>distributor_site_sweep</t>
        </is>
      </c>
      <c r="O30" t="inlineStr">
        <is>
          <t>exact</t>
        </is>
      </c>
      <c r="P30" t="inlineStr">
        <is>
          <t>https://doronscientific.com/products/</t>
        </is>
      </c>
    </row>
    <row r="31">
      <c r="A31" t="n">
        <v>217</v>
      </c>
      <c r="B31" t="inlineStr">
        <is>
          <t>Biotage</t>
        </is>
      </c>
      <c r="C31" t="inlineStr">
        <is>
          <t>Bargal Analytical Instruments Ltd.</t>
        </is>
      </c>
      <c r="D31" t="inlineStr">
        <is>
          <t>ברגל ציוד אנליטי</t>
        </is>
      </c>
      <c r="E31" t="inlineStr">
        <is>
          <t>מפיץ</t>
        </is>
      </c>
      <c r="F31"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31" t="inlineStr">
        <is>
          <t>https://www.bargal.co.il</t>
        </is>
      </c>
      <c r="H31" t="inlineStr">
        <is>
          <t>+972-3-979-6533</t>
        </is>
      </c>
      <c r="I31" t="inlineStr">
        <is>
          <t>sales@bargal.co.il</t>
        </is>
      </c>
      <c r="J31" t="inlineStr">
        <is>
          <t>10 Shaked Street, Modi'in Industrial Park, Shoham 6085102</t>
        </is>
      </c>
      <c r="K31" t="inlineStr"/>
      <c r="L31" t="n">
        <v>2026</v>
      </c>
      <c r="M31" t="inlineStr">
        <is>
          <t>עדכני</t>
        </is>
      </c>
      <c r="N31" t="inlineStr">
        <is>
          <t>prior_research</t>
        </is>
      </c>
      <c r="P31" t="inlineStr">
        <is>
          <t>https://www.biotage.com/company/contact</t>
        </is>
      </c>
    </row>
    <row r="32">
      <c r="A32" t="n">
        <v>219</v>
      </c>
      <c r="B32" t="inlineStr">
        <is>
          <t>Biotium</t>
        </is>
      </c>
      <c r="C32" t="inlineStr">
        <is>
          <t>Doron Scientific</t>
        </is>
      </c>
      <c r="D32" t="inlineStr">
        <is>
          <t>דורון סיינטיפיק</t>
        </is>
      </c>
      <c r="E32" t="inlineStr">
        <is>
          <t>מפיץ</t>
        </is>
      </c>
      <c r="F32" t="inlineStr">
        <is>
          <t>Listed as an authorized distributor for Israel (Kiryat Ono) on Biotium's Middle East authorized-distributors page</t>
        </is>
      </c>
      <c r="G32" t="inlineStr">
        <is>
          <t>https://www.doronscientific.com</t>
        </is>
      </c>
      <c r="H32" t="inlineStr">
        <is>
          <t>+972-54-554-4004</t>
        </is>
      </c>
      <c r="J32" t="inlineStr">
        <is>
          <t>8 Yehoshua Baum St., Kiryat Ono</t>
        </is>
      </c>
      <c r="L32" t="n">
        <v>2026</v>
      </c>
      <c r="M32" t="inlineStr">
        <is>
          <t>עדכני</t>
        </is>
      </c>
      <c r="N32" t="inlineStr">
        <is>
          <t>manufacturer_or_press</t>
        </is>
      </c>
      <c r="O32" t="inlineStr">
        <is>
          <t>search</t>
        </is>
      </c>
      <c r="P32" t="inlineStr">
        <is>
          <t>https://biotium.com/authorized-distributors/middle-east</t>
        </is>
      </c>
    </row>
    <row r="33">
      <c r="A33" t="n">
        <v>219</v>
      </c>
      <c r="B33" t="inlineStr">
        <is>
          <t>Biotium</t>
        </is>
      </c>
      <c r="C33" t="inlineStr">
        <is>
          <t>Enco Scientific Services Ltd. (Enco Diagnostics)</t>
        </is>
      </c>
      <c r="D33" t="inlineStr">
        <is>
          <t>אנקו</t>
        </is>
      </c>
      <c r="E33" t="inlineStr">
        <is>
          <t>מפיץ</t>
        </is>
      </c>
      <c r="F33" t="inlineStr">
        <is>
          <t>Listed as an authorized distributor for Israel (Petach Tikva) on Biotium's Middle East authorized-distributors page</t>
        </is>
      </c>
      <c r="G33" t="inlineStr">
        <is>
          <t>https://www.enco.co.il</t>
        </is>
      </c>
      <c r="L33" t="n">
        <v>2026</v>
      </c>
      <c r="M33" t="inlineStr">
        <is>
          <t>עדכני</t>
        </is>
      </c>
      <c r="N33" t="inlineStr">
        <is>
          <t>manufacturer_or_press</t>
        </is>
      </c>
      <c r="O33" t="inlineStr">
        <is>
          <t>search</t>
        </is>
      </c>
      <c r="P33" t="inlineStr">
        <is>
          <t>https://biotium.com/authorized-distributors/middle-east</t>
        </is>
      </c>
    </row>
    <row r="34">
      <c r="A34" t="n">
        <v>219</v>
      </c>
      <c r="B34" t="inlineStr">
        <is>
          <t>Biotium</t>
        </is>
      </c>
      <c r="C34" t="inlineStr">
        <is>
          <t>New Biotechnology Ltd</t>
        </is>
      </c>
      <c r="D34" t="inlineStr">
        <is>
          <t>ניו ביוטכנולוגי (NBT)</t>
        </is>
      </c>
      <c r="E34" t="inlineStr">
        <is>
          <t>מפיץ</t>
        </is>
      </c>
      <c r="F34" t="inlineStr">
        <is>
          <t>Listed as an authorized distributor for Israel (Jerusalem) on Biotium's Middle East authorized-distributors page</t>
        </is>
      </c>
      <c r="G34" t="inlineStr">
        <is>
          <t>https://www.nbtltd.com</t>
        </is>
      </c>
      <c r="H34" t="inlineStr">
        <is>
          <t>+972-2-673-2001</t>
        </is>
      </c>
      <c r="I34" t="inlineStr">
        <is>
          <t>nbtsales@nbtltd.com</t>
        </is>
      </c>
      <c r="J34" t="inlineStr">
        <is>
          <t>3 Mekor Haim St., P.O. Box 8662, Jerusalem 91086</t>
        </is>
      </c>
      <c r="L34" t="n">
        <v>2026</v>
      </c>
      <c r="M34" t="inlineStr">
        <is>
          <t>עדכני</t>
        </is>
      </c>
      <c r="N34" t="inlineStr">
        <is>
          <t>manufacturer_or_press</t>
        </is>
      </c>
      <c r="O34" t="inlineStr">
        <is>
          <t>search</t>
        </is>
      </c>
      <c r="P34" t="inlineStr">
        <is>
          <t>https://biotium.com/authorized-distributors/middle-east</t>
        </is>
      </c>
    </row>
    <row r="35">
      <c r="A35" t="n">
        <v>219</v>
      </c>
      <c r="B35" t="inlineStr">
        <is>
          <t>Biotium</t>
        </is>
      </c>
      <c r="C35" t="inlineStr">
        <is>
          <t>Origolab Ltd</t>
        </is>
      </c>
      <c r="D35" t="inlineStr">
        <is>
          <t>אוריגולאב</t>
        </is>
      </c>
      <c r="E35" t="inlineStr">
        <is>
          <t>מפיץ</t>
        </is>
      </c>
      <c r="F35" t="inlineStr">
        <is>
          <t>Listed as an authorized distributor for Israel on Biotium's Middle East authorized-distributors page</t>
        </is>
      </c>
      <c r="H35" t="inlineStr">
        <is>
          <t>+972-2-566-9285</t>
        </is>
      </c>
      <c r="I35" t="inlineStr">
        <is>
          <t>origolab@netmedia.net.il</t>
        </is>
      </c>
      <c r="J35" t="inlineStr">
        <is>
          <t>28 Kaf-Tet BeNovember St., Jerusalem</t>
        </is>
      </c>
      <c r="L35" t="n">
        <v>2026</v>
      </c>
      <c r="M35" t="inlineStr">
        <is>
          <t>עדכני</t>
        </is>
      </c>
      <c r="N35" t="inlineStr">
        <is>
          <t>manufacturer_or_press</t>
        </is>
      </c>
      <c r="O35" t="inlineStr">
        <is>
          <t>search</t>
        </is>
      </c>
      <c r="P35" t="inlineStr">
        <is>
          <t>https://biotium.com/authorized-distributors/middle-east</t>
        </is>
      </c>
    </row>
    <row r="36">
      <c r="A36" t="n">
        <v>222</v>
      </c>
      <c r="B36" t="inlineStr">
        <is>
          <t>BioWORLD</t>
        </is>
      </c>
      <c r="C36" t="inlineStr">
        <is>
          <t>distributor of Recombinant Proteins, Antibodies, Cell Line, ELISA Kit</t>
        </is>
      </c>
      <c r="D36" t="inlineStr">
        <is>
          <t>דורון סיינטיפיק</t>
        </is>
      </c>
      <c r="E36" t="inlineStr">
        <is>
          <t>מפיץ</t>
        </is>
      </c>
      <c r="F36" t="inlineStr">
        <is>
          <t>listed as a brand on the distributor's site</t>
        </is>
      </c>
      <c r="G36" t="inlineStr">
        <is>
          <t>https://www.doronscientific.com/</t>
        </is>
      </c>
      <c r="H36" t="inlineStr">
        <is>
          <t>054-5544004</t>
        </is>
      </c>
      <c r="I36" t="inlineStr">
        <is>
          <t>info@doronscientific.com</t>
        </is>
      </c>
      <c r="L36" t="n">
        <v>2026</v>
      </c>
      <c r="M36" t="inlineStr">
        <is>
          <t>עדכני</t>
        </is>
      </c>
      <c r="N36" t="inlineStr">
        <is>
          <t>distributor_site_sweep</t>
        </is>
      </c>
      <c r="O36" t="inlineStr">
        <is>
          <t>contained</t>
        </is>
      </c>
      <c r="P36" t="inlineStr">
        <is>
          <t>https://doronscientific.com/products/</t>
        </is>
      </c>
    </row>
    <row r="37">
      <c r="A37" t="n">
        <v>222</v>
      </c>
      <c r="B37" t="inlineStr">
        <is>
          <t>BioWORLD</t>
        </is>
      </c>
      <c r="C37" t="inlineStr">
        <is>
          <t>Tivan Biotech</t>
        </is>
      </c>
      <c r="D37" t="inlineStr">
        <is>
          <t>טיבן ביוטק</t>
        </is>
      </c>
      <c r="E37" t="inlineStr">
        <is>
          <t>מפיץ</t>
        </is>
      </c>
      <c r="F37" t="inlineStr">
        <is>
          <t>listed as a brand on the distributor's site</t>
        </is>
      </c>
      <c r="G37" t="inlineStr">
        <is>
          <t>https://www.tivanbiotech.com/</t>
        </is>
      </c>
      <c r="H37" t="inlineStr">
        <is>
          <t>077-4701591</t>
        </is>
      </c>
      <c r="I37" t="inlineStr">
        <is>
          <t>customerservice@tivanbiotech.com</t>
        </is>
      </c>
      <c r="L37" t="n">
        <v>2026</v>
      </c>
      <c r="M37" t="inlineStr">
        <is>
          <t>עדכני</t>
        </is>
      </c>
      <c r="N37" t="inlineStr">
        <is>
          <t>distributor_site_sweep</t>
        </is>
      </c>
      <c r="O37" t="inlineStr">
        <is>
          <t>exact</t>
        </is>
      </c>
      <c r="P37" t="inlineStr">
        <is>
          <t>https://tivanbiotech.com/manufacturers</t>
        </is>
      </c>
    </row>
    <row r="38">
      <c r="A38" t="n">
        <v>236</v>
      </c>
      <c r="B38" t="inlineStr">
        <is>
          <t>Boster Bio</t>
        </is>
      </c>
      <c r="C38" t="inlineStr">
        <is>
          <t>distributor of Recombinant Proteins, Antibodies, Cell Line, ELISA Kit</t>
        </is>
      </c>
      <c r="D38" t="inlineStr">
        <is>
          <t>דורון סיינטיפיק</t>
        </is>
      </c>
      <c r="E38" t="inlineStr">
        <is>
          <t>מפיץ</t>
        </is>
      </c>
      <c r="F38" t="inlineStr">
        <is>
          <t>listed as a brand on the distributor's site</t>
        </is>
      </c>
      <c r="G38" t="inlineStr">
        <is>
          <t>https://www.doronscientific.com/</t>
        </is>
      </c>
      <c r="H38" t="inlineStr">
        <is>
          <t>054-5544004</t>
        </is>
      </c>
      <c r="I38" t="inlineStr">
        <is>
          <t>info@doronscientific.com</t>
        </is>
      </c>
      <c r="L38" t="n">
        <v>2026</v>
      </c>
      <c r="M38" t="inlineStr">
        <is>
          <t>עדכני</t>
        </is>
      </c>
      <c r="N38" t="inlineStr">
        <is>
          <t>distributor_site_sweep</t>
        </is>
      </c>
      <c r="O38" t="inlineStr">
        <is>
          <t>exact</t>
        </is>
      </c>
      <c r="P38" t="inlineStr">
        <is>
          <t>https://doronscientific.com/products/</t>
        </is>
      </c>
    </row>
    <row r="39">
      <c r="A39" t="n">
        <v>246</v>
      </c>
      <c r="B39" t="inlineStr">
        <is>
          <t>Brand</t>
        </is>
      </c>
      <c r="C39" t="inlineStr">
        <is>
          <t>Labotal Scientific Equipment Ltd.</t>
        </is>
      </c>
      <c r="D39" t="inlineStr">
        <is>
          <t>לבוטל</t>
        </is>
      </c>
      <c r="E39" t="inlineStr">
        <is>
          <t>מפיץ</t>
        </is>
      </c>
      <c r="F39"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39" t="inlineStr">
        <is>
          <t>https://labotal.co.il</t>
        </is>
      </c>
      <c r="H39" t="inlineStr">
        <is>
          <t>+972 2-579-9222</t>
        </is>
      </c>
      <c r="I39" t="inlineStr">
        <is>
          <t>Sales@labotal.co.il</t>
        </is>
      </c>
      <c r="J39" t="inlineStr">
        <is>
          <t>Hashalom Rd., Abu Ghosh 9084500 (mail: Mevaseret Zion)</t>
        </is>
      </c>
      <c r="K39" t="inlineStr">
        <is>
          <t>https://labotal.co.il/contact/</t>
        </is>
      </c>
      <c r="L39" t="n">
        <v>2026</v>
      </c>
      <c r="M39" t="inlineStr">
        <is>
          <t>עדכני</t>
        </is>
      </c>
      <c r="N39" t="inlineStr">
        <is>
          <t>prior_research</t>
        </is>
      </c>
      <c r="P39" t="inlineStr">
        <is>
          <t>https://www.vacuubrand.com/service-advice/contact/contacts-worldwide</t>
        </is>
      </c>
    </row>
    <row r="40">
      <c r="A40" t="n">
        <v>246</v>
      </c>
      <c r="B40" t="inlineStr">
        <is>
          <t>Brand</t>
        </is>
      </c>
      <c r="C40" t="inlineStr">
        <is>
          <t>Yoel Naim Ltd.</t>
        </is>
      </c>
      <c r="D40" t="inlineStr"/>
      <c r="E40" t="inlineStr">
        <is>
          <t>מפיץ</t>
        </is>
      </c>
      <c r="F40" t="inlineStr">
        <is>
          <t>BRAND (liquid handling, volumetric ware) distributor and service partner for Israel - named on BRAND's live 'Sales and Consulting worldwide' page (industrial area, Rehovot); website not found</t>
        </is>
      </c>
      <c r="G40" t="inlineStr"/>
      <c r="H40" t="inlineStr"/>
      <c r="I40" t="inlineStr"/>
      <c r="J40" t="inlineStr"/>
      <c r="K40" t="inlineStr"/>
      <c r="L40" t="n">
        <v>2026</v>
      </c>
      <c r="M40" t="inlineStr">
        <is>
          <t>חדש</t>
        </is>
      </c>
      <c r="N40" t="inlineStr">
        <is>
          <t>prior_research</t>
        </is>
      </c>
      <c r="P40" t="inlineStr">
        <is>
          <t>https://www.brand.de/en/company/sales-worldwide</t>
        </is>
      </c>
    </row>
    <row r="41">
      <c r="A41" t="n">
        <v>247</v>
      </c>
      <c r="B41" t="inlineStr">
        <is>
          <t>BrandTech®</t>
        </is>
      </c>
      <c r="C41" t="inlineStr">
        <is>
          <t>Labotal Scientific Equipment Ltd.</t>
        </is>
      </c>
      <c r="D41" t="inlineStr">
        <is>
          <t>לבוטל</t>
        </is>
      </c>
      <c r="E41" t="inlineStr">
        <is>
          <t>מפיץ</t>
        </is>
      </c>
      <c r="F4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41" t="inlineStr">
        <is>
          <t>https://labotal.co.il</t>
        </is>
      </c>
      <c r="H41" t="inlineStr">
        <is>
          <t>+972 2-579-9222</t>
        </is>
      </c>
      <c r="I41" t="inlineStr">
        <is>
          <t>Sales@labotal.co.il</t>
        </is>
      </c>
      <c r="J41" t="inlineStr">
        <is>
          <t>Hashalom Rd., Abu Ghosh 9084500 (mail: Mevaseret Zion)</t>
        </is>
      </c>
      <c r="K41" t="inlineStr">
        <is>
          <t>https://labotal.co.il/contact/</t>
        </is>
      </c>
      <c r="L41" t="n">
        <v>2026</v>
      </c>
      <c r="M41" t="inlineStr">
        <is>
          <t>עדכני</t>
        </is>
      </c>
      <c r="N41" t="inlineStr">
        <is>
          <t>prior_research</t>
        </is>
      </c>
      <c r="P41" t="inlineStr">
        <is>
          <t>https://www.vacuubrand.com/service-advice/contact/contacts-worldwide</t>
        </is>
      </c>
    </row>
    <row r="42">
      <c r="A42" t="n">
        <v>247</v>
      </c>
      <c r="B42" t="inlineStr">
        <is>
          <t>BrandTech®</t>
        </is>
      </c>
      <c r="C42" t="inlineStr">
        <is>
          <t>Yoel Naim Ltd.</t>
        </is>
      </c>
      <c r="D42" t="inlineStr"/>
      <c r="E42" t="inlineStr">
        <is>
          <t>מפיץ</t>
        </is>
      </c>
      <c r="F42" t="inlineStr">
        <is>
          <t>BRAND (liquid handling, volumetric ware) distributor and service partner for Israel - named on BRAND's live 'Sales and Consulting worldwide' page (industrial area, Rehovot); website not found</t>
        </is>
      </c>
      <c r="G42" t="inlineStr"/>
      <c r="H42" t="inlineStr"/>
      <c r="I42" t="inlineStr"/>
      <c r="J42" t="inlineStr"/>
      <c r="K42" t="inlineStr"/>
      <c r="L42" t="n">
        <v>2026</v>
      </c>
      <c r="M42" t="inlineStr">
        <is>
          <t>חדש</t>
        </is>
      </c>
      <c r="N42" t="inlineStr">
        <is>
          <t>prior_research</t>
        </is>
      </c>
      <c r="P42" t="inlineStr">
        <is>
          <t>https://www.brand.de/en/company/sales-worldwide</t>
        </is>
      </c>
    </row>
    <row r="43">
      <c r="A43" t="n">
        <v>257</v>
      </c>
      <c r="B43" t="inlineStr">
        <is>
          <t>Buchi</t>
        </is>
      </c>
      <c r="C43" t="inlineStr">
        <is>
          <t>Dr. Golik Scientific Solutions</t>
        </is>
      </c>
      <c r="D43" t="inlineStr">
        <is>
          <t>ד"ר גוליק</t>
        </is>
      </c>
      <c r="E43" t="inlineStr">
        <is>
          <t>מפיץ</t>
        </is>
      </c>
      <c r="F43"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43" t="inlineStr">
        <is>
          <t>https://www.golik.co.il</t>
        </is>
      </c>
      <c r="H43" t="inlineStr">
        <is>
          <t>+972-3-518-7555</t>
        </is>
      </c>
      <c r="I43" t="inlineStr">
        <is>
          <t>marketing@golik.co.il</t>
        </is>
      </c>
      <c r="J43" t="inlineStr">
        <is>
          <t>34 Kibbutz Galuyot St, Tel Aviv 66550</t>
        </is>
      </c>
      <c r="K43" t="inlineStr"/>
      <c r="L43" t="n">
        <v>2026</v>
      </c>
      <c r="M43" t="inlineStr">
        <is>
          <t>עדכני</t>
        </is>
      </c>
      <c r="N43" t="inlineStr">
        <is>
          <t>prior_research</t>
        </is>
      </c>
      <c r="P43" t="inlineStr">
        <is>
          <t>https://www.golik.co.il/manufacturers/buchi</t>
        </is>
      </c>
    </row>
    <row r="44">
      <c r="A44" t="n">
        <v>270</v>
      </c>
      <c r="B44" t="inlineStr">
        <is>
          <t>Caisson Labs</t>
        </is>
      </c>
      <c r="C44" t="inlineStr">
        <is>
          <t>Tivan Biotech</t>
        </is>
      </c>
      <c r="D44" t="inlineStr">
        <is>
          <t>טיבן ביוטק</t>
        </is>
      </c>
      <c r="E44" t="inlineStr">
        <is>
          <t>מפיץ</t>
        </is>
      </c>
      <c r="F44" t="inlineStr">
        <is>
          <t>listed as a brand on the distributor's site</t>
        </is>
      </c>
      <c r="G44" t="inlineStr">
        <is>
          <t>https://www.tivanbiotech.com/</t>
        </is>
      </c>
      <c r="H44" t="inlineStr">
        <is>
          <t>077-4701591</t>
        </is>
      </c>
      <c r="I44" t="inlineStr">
        <is>
          <t>customerservice@tivanbiotech.com</t>
        </is>
      </c>
      <c r="L44" t="n">
        <v>2026</v>
      </c>
      <c r="M44" t="inlineStr">
        <is>
          <t>עדכני</t>
        </is>
      </c>
      <c r="N44" t="inlineStr">
        <is>
          <t>distributor_site_sweep</t>
        </is>
      </c>
      <c r="O44" t="inlineStr">
        <is>
          <t>exact</t>
        </is>
      </c>
      <c r="P44" t="inlineStr">
        <is>
          <t>https://tivanbiotech.com/manufacturers</t>
        </is>
      </c>
    </row>
    <row r="45">
      <c r="A45" t="n">
        <v>294</v>
      </c>
      <c r="B45" t="inlineStr">
        <is>
          <t>Cell Signaling Technology</t>
        </is>
      </c>
      <c r="C45" t="inlineStr">
        <is>
          <t>Ornat BioChemicals &amp; Lab Equipment Ltd.</t>
        </is>
      </c>
      <c r="D45" t="inlineStr">
        <is>
          <t>אורנת</t>
        </is>
      </c>
      <c r="E45" t="inlineStr">
        <is>
          <t>מפיץ</t>
        </is>
      </c>
      <c r="F45" t="inlineStr">
        <is>
          <t>Listed as Ornat partner brand on the FISEB (Federation of Israeli Societies for Experimental Biology) vendors page; undated</t>
        </is>
      </c>
      <c r="G45" t="inlineStr">
        <is>
          <t>https://www.ornat.co.il</t>
        </is>
      </c>
      <c r="M45" t="inlineStr">
        <is>
          <t>עדכני</t>
        </is>
      </c>
      <c r="N45" t="inlineStr">
        <is>
          <t>manufacturer_or_press</t>
        </is>
      </c>
      <c r="P45" t="inlineStr">
        <is>
          <t>https://www.fiseb.org/vendors/</t>
        </is>
      </c>
    </row>
    <row r="46">
      <c r="A46" t="n">
        <v>295</v>
      </c>
      <c r="B46" t="inlineStr">
        <is>
          <t>Cell Systems</t>
        </is>
      </c>
      <c r="C46" t="inlineStr">
        <is>
          <t>distributor of Recombinant Proteins, Antibodies, Cell Line, ELISA Kit</t>
        </is>
      </c>
      <c r="D46" t="inlineStr">
        <is>
          <t>דורון סיינטיפיק</t>
        </is>
      </c>
      <c r="E46" t="inlineStr">
        <is>
          <t>מפיץ</t>
        </is>
      </c>
      <c r="F46" t="inlineStr">
        <is>
          <t>listed as a brand on the distributor's site</t>
        </is>
      </c>
      <c r="G46" t="inlineStr">
        <is>
          <t>https://www.doronscientific.com/</t>
        </is>
      </c>
      <c r="H46" t="inlineStr">
        <is>
          <t>054-5544004</t>
        </is>
      </c>
      <c r="I46" t="inlineStr">
        <is>
          <t>info@doronscientific.com</t>
        </is>
      </c>
      <c r="L46" t="n">
        <v>2026</v>
      </c>
      <c r="M46" t="inlineStr">
        <is>
          <t>עדכני</t>
        </is>
      </c>
      <c r="N46" t="inlineStr">
        <is>
          <t>distributor_site_sweep</t>
        </is>
      </c>
      <c r="O46" t="inlineStr">
        <is>
          <t>exact</t>
        </is>
      </c>
      <c r="P46" t="inlineStr">
        <is>
          <t>https://doronscientific.com/products/</t>
        </is>
      </c>
    </row>
    <row r="47">
      <c r="A47" t="n">
        <v>345</v>
      </c>
      <c r="B47" t="inlineStr">
        <is>
          <t>Cole parmer</t>
        </is>
      </c>
      <c r="C47" t="inlineStr">
        <is>
          <t>Medent Scientific Instruments</t>
        </is>
      </c>
      <c r="D47" t="inlineStr">
        <is>
          <t>מדנט מכשור מדעי</t>
        </is>
      </c>
      <c r="E47" t="inlineStr">
        <is>
          <t>מפיץ</t>
        </is>
      </c>
      <c r="F4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47" t="inlineStr">
        <is>
          <t>https://www.medent.co.il</t>
        </is>
      </c>
      <c r="H47" t="inlineStr">
        <is>
          <t>+972 72-395-0508 (sales); +972 8-683-6306 (service)</t>
        </is>
      </c>
      <c r="I47" t="inlineStr">
        <is>
          <t>info@medent.co.il</t>
        </is>
      </c>
      <c r="J47" t="inlineStr">
        <is>
          <t>110 Mordei HaGetaot St., Beer Sheva 8420643</t>
        </is>
      </c>
      <c r="K47" t="inlineStr">
        <is>
          <t>https://www.medent.co.il/scientific.equipment/%D7%A6%D7%95%D7%A8-%D7%A7%D7%A9%D7%A8/</t>
        </is>
      </c>
      <c r="L47" t="n">
        <v>2026</v>
      </c>
      <c r="M47" t="inlineStr">
        <is>
          <t>עדכני</t>
        </is>
      </c>
      <c r="N47" t="inlineStr">
        <is>
          <t>prior_research</t>
        </is>
      </c>
      <c r="P47" t="inlineStr">
        <is>
          <t>https://medent.co.il/scientific.equipment/product/%D7%A1%D7%A4%D7%A7%D7%98%D7%A8%D7%95%D7%A4%D7%95%D7%98%D7%95%D7%9E%D7%98%D7%A8-uvvis-%D7%9E%D7%A2%D7%91%D7%93%D7%AA%D7%99-%D7%93%D7%92%D7%9D-6305-%D7%AA%D7%95%D7%A6%D7%A8%D7%AA-jenway/</t>
        </is>
      </c>
    </row>
    <row r="48">
      <c r="A48" t="n">
        <v>362</v>
      </c>
      <c r="B48" t="inlineStr">
        <is>
          <t>Corning</t>
        </is>
      </c>
      <c r="C48" t="inlineStr">
        <is>
          <t>Getter Group (Getter Bio-Med)</t>
        </is>
      </c>
      <c r="D48" t="inlineStr">
        <is>
          <t>קבוצת גטר</t>
        </is>
      </c>
      <c r="E48" t="inlineStr">
        <is>
          <t>מפיץ</t>
        </is>
      </c>
      <c r="F48" t="inlineStr">
        <is>
          <t>Corning - Getter Group's live English about page lists Corning among the brands it exclusively represents in Israel and a Hebrew brand page profiles Corning; life-science vs. other Corning lines still not specified</t>
        </is>
      </c>
      <c r="G48" t="inlineStr">
        <is>
          <t>https://www.getter.co.il</t>
        </is>
      </c>
      <c r="H48" t="inlineStr">
        <is>
          <t>+972 3-576-1555 (Getter Group switchboard)</t>
        </is>
      </c>
      <c r="I48" t="inlineStr"/>
      <c r="J48" t="inlineStr">
        <is>
          <t>7 Shimshon St., Petah Tikva 4912502</t>
        </is>
      </c>
      <c r="K48" t="inlineStr"/>
      <c r="L48" t="n">
        <v>2026</v>
      </c>
      <c r="M48" t="inlineStr">
        <is>
          <t>עדכני</t>
        </is>
      </c>
      <c r="N48" t="inlineStr">
        <is>
          <t>prior_research</t>
        </is>
      </c>
      <c r="P48" t="inlineStr">
        <is>
          <t>https://www.getter.co.il/about-en/</t>
        </is>
      </c>
    </row>
    <row r="49">
      <c r="A49" t="n">
        <v>383</v>
      </c>
      <c r="B49" t="inlineStr">
        <is>
          <t>Cube Biotech</t>
        </is>
      </c>
      <c r="C49" t="inlineStr">
        <is>
          <t>Tivan Biotech</t>
        </is>
      </c>
      <c r="D49" t="inlineStr">
        <is>
          <t>טיבן ביוטק</t>
        </is>
      </c>
      <c r="E49" t="inlineStr">
        <is>
          <t>מפיץ</t>
        </is>
      </c>
      <c r="F49" t="inlineStr">
        <is>
          <t>listed as a brand on the distributor's site</t>
        </is>
      </c>
      <c r="G49" t="inlineStr">
        <is>
          <t>https://www.tivanbiotech.com/</t>
        </is>
      </c>
      <c r="H49" t="inlineStr">
        <is>
          <t>077-4701591</t>
        </is>
      </c>
      <c r="I49" t="inlineStr">
        <is>
          <t>customerservice@tivanbiotech.com</t>
        </is>
      </c>
      <c r="L49" t="n">
        <v>2026</v>
      </c>
      <c r="M49" t="inlineStr">
        <is>
          <t>עדכני</t>
        </is>
      </c>
      <c r="N49" t="inlineStr">
        <is>
          <t>distributor_site_sweep</t>
        </is>
      </c>
      <c r="O49" t="inlineStr">
        <is>
          <t>exact</t>
        </is>
      </c>
      <c r="P49" t="inlineStr">
        <is>
          <t>https://tivanbiotech.com/manufacturers</t>
        </is>
      </c>
    </row>
    <row r="50">
      <c r="A50" t="n">
        <v>388</v>
      </c>
      <c r="B50" t="inlineStr">
        <is>
          <t>Cytiva</t>
        </is>
      </c>
      <c r="C50" t="inlineStr">
        <is>
          <t>Danyel Biotech</t>
        </is>
      </c>
      <c r="D50" t="inlineStr"/>
      <c r="E50" t="inlineStr">
        <is>
          <t>מפיץ</t>
        </is>
      </c>
      <c r="F50" t="inlineStr">
        <is>
          <t>Cytiva chromatography (ÄKTA) and Biacore - live 'Biacore (Cytiva)' brand page on Danyel's site; other Cytiva lines (Whatman, Amersham, Pall) not confirmed</t>
        </is>
      </c>
      <c r="G50" t="inlineStr">
        <is>
          <t>https://www.danyel.co.il</t>
        </is>
      </c>
      <c r="H50" t="inlineStr">
        <is>
          <t>1-800-711-911 (also +972 8-936-6066)</t>
        </is>
      </c>
      <c r="I50" t="inlineStr"/>
      <c r="J50" t="inlineStr">
        <is>
          <t>8 Hamada St., Science Park, Rehovot 7670308</t>
        </is>
      </c>
      <c r="K50" t="inlineStr">
        <is>
          <t>https://www.danyel.co.il/contact-us/</t>
        </is>
      </c>
      <c r="L50" t="n">
        <v>2026</v>
      </c>
      <c r="M50" t="inlineStr">
        <is>
          <t>עדכני</t>
        </is>
      </c>
      <c r="N50" t="inlineStr">
        <is>
          <t>prior_research</t>
        </is>
      </c>
      <c r="P50" t="inlineStr">
        <is>
          <t>https://www.danyel.co.il/biacore-cytiva/</t>
        </is>
      </c>
    </row>
    <row r="51">
      <c r="A51" t="n">
        <v>388</v>
      </c>
      <c r="B51" t="inlineStr">
        <is>
          <t>Cytiva</t>
        </is>
      </c>
      <c r="C51" t="inlineStr">
        <is>
          <t>Lifegene Ltd.</t>
        </is>
      </c>
      <c r="D51" t="inlineStr">
        <is>
          <t>לייפג'ין</t>
        </is>
      </c>
      <c r="E51" t="inlineStr">
        <is>
          <t>מפיץ</t>
        </is>
      </c>
      <c r="F51" t="inlineStr">
        <is>
          <t>Whatman filtration products (a Cytiva brand) sold through the Lifegene catalogue</t>
        </is>
      </c>
      <c r="G51" t="inlineStr">
        <is>
          <t>https://www.lifegene.co.il</t>
        </is>
      </c>
      <c r="H51" t="inlineStr">
        <is>
          <t>+972 8-644-4314</t>
        </is>
      </c>
      <c r="I51" t="inlineStr">
        <is>
          <t>info@lifegene.co.il</t>
        </is>
      </c>
      <c r="J51" t="inlineStr">
        <is>
          <t>4 Ha'maayan St., Modi'in 7171101 (directory lists Modi'in; other sources say Mevo Horon – verify)</t>
        </is>
      </c>
      <c r="K51" t="inlineStr"/>
      <c r="M51" t="inlineStr">
        <is>
          <t>ראיה ישנה</t>
        </is>
      </c>
      <c r="N51" t="inlineStr">
        <is>
          <t>prior_research</t>
        </is>
      </c>
      <c r="P51" t="inlineStr">
        <is>
          <t>https://lifegene.co.il/product/puradisc-13-syringe-filter-045µm-polypropylene-100-pk/</t>
        </is>
      </c>
    </row>
    <row r="52">
      <c r="A52" t="n">
        <v>418</v>
      </c>
      <c r="B52" t="inlineStr">
        <is>
          <t>Duran</t>
        </is>
      </c>
      <c r="C52" t="inlineStr">
        <is>
          <t>Danyel Biotech Ltd. (Gamida for Life group)</t>
        </is>
      </c>
      <c r="D52" t="inlineStr">
        <is>
          <t>דניאל ביוטק</t>
        </is>
      </c>
      <c r="E52" t="inlineStr">
        <is>
          <t>מפיץ</t>
        </is>
      </c>
      <c r="F5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52" t="inlineStr">
        <is>
          <t>https://www.danyel.co.il</t>
        </is>
      </c>
      <c r="H52" t="inlineStr">
        <is>
          <t>1-800-711-911 (also +972 8-936-6066)</t>
        </is>
      </c>
      <c r="I52" t="inlineStr"/>
      <c r="J52" t="inlineStr">
        <is>
          <t>8 Hamada St., Science Park, Rehovot 7670308</t>
        </is>
      </c>
      <c r="K52" t="inlineStr">
        <is>
          <t>https://www.danyel.co.il/contact-us/</t>
        </is>
      </c>
      <c r="L52" t="n">
        <v>2026</v>
      </c>
      <c r="M52" t="inlineStr">
        <is>
          <t>עדכני</t>
        </is>
      </c>
      <c r="N52" t="inlineStr">
        <is>
          <t>prior_research</t>
        </is>
      </c>
      <c r="P52" t="inlineStr">
        <is>
          <t>https://www.danyel.co.il/scilabware/</t>
        </is>
      </c>
    </row>
    <row r="53">
      <c r="A53" t="n">
        <v>422</v>
      </c>
      <c r="B53" t="inlineStr">
        <is>
          <t>DWK Life Sciences (Wheaton)</t>
        </is>
      </c>
      <c r="C53" t="inlineStr">
        <is>
          <t>Danyel Biotech Ltd. (Gamida for Life group)</t>
        </is>
      </c>
      <c r="D53" t="inlineStr">
        <is>
          <t>דניאל ביוטק</t>
        </is>
      </c>
      <c r="E53" t="inlineStr">
        <is>
          <t>מפיץ</t>
        </is>
      </c>
      <c r="F53"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53" t="inlineStr">
        <is>
          <t>https://www.danyel.co.il</t>
        </is>
      </c>
      <c r="H53" t="inlineStr">
        <is>
          <t>1-800-711-911 (also +972 8-936-6066)</t>
        </is>
      </c>
      <c r="I53" t="inlineStr"/>
      <c r="J53" t="inlineStr">
        <is>
          <t>8 Hamada St., Science Park, Rehovot 7670308</t>
        </is>
      </c>
      <c r="K53" t="inlineStr">
        <is>
          <t>https://www.danyel.co.il/contact-us/</t>
        </is>
      </c>
      <c r="L53" t="n">
        <v>2026</v>
      </c>
      <c r="M53" t="inlineStr">
        <is>
          <t>עדכני</t>
        </is>
      </c>
      <c r="N53" t="inlineStr">
        <is>
          <t>prior_research</t>
        </is>
      </c>
      <c r="P53" t="inlineStr">
        <is>
          <t>https://www.danyel.co.il/scilabware/</t>
        </is>
      </c>
    </row>
    <row r="54">
      <c r="A54" t="n">
        <v>451</v>
      </c>
      <c r="B54" t="inlineStr">
        <is>
          <t>Electrothermal (Cole-Parmer)</t>
        </is>
      </c>
      <c r="C54" t="inlineStr">
        <is>
          <t>Medent Scientific Instruments</t>
        </is>
      </c>
      <c r="D54" t="inlineStr">
        <is>
          <t>מדנט מכשור מדעי</t>
        </is>
      </c>
      <c r="E54" t="inlineStr">
        <is>
          <t>מפיץ</t>
        </is>
      </c>
      <c r="F54"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54" t="inlineStr">
        <is>
          <t>https://www.medent.co.il</t>
        </is>
      </c>
      <c r="H54" t="inlineStr">
        <is>
          <t>+972 72-395-0508 (sales); +972 8-683-6306 (service)</t>
        </is>
      </c>
      <c r="I54" t="inlineStr">
        <is>
          <t>info@medent.co.il</t>
        </is>
      </c>
      <c r="J54" t="inlineStr">
        <is>
          <t>110 Mordei HaGetaot St., Beer Sheva 8420643</t>
        </is>
      </c>
      <c r="K54" t="inlineStr">
        <is>
          <t>https://www.medent.co.il/scientific.equipment/%D7%A6%D7%95%D7%A8-%D7%A7%D7%A9%D7%A8/</t>
        </is>
      </c>
      <c r="L54" t="n">
        <v>2026</v>
      </c>
      <c r="M54" t="inlineStr">
        <is>
          <t>עדכני</t>
        </is>
      </c>
      <c r="N54" t="inlineStr">
        <is>
          <t>prior_research</t>
        </is>
      </c>
      <c r="P54" t="inlineStr">
        <is>
          <t>https://medent.co.il/scientific.equipment/product/%D7%A1%D7%A4%D7%A7%D7%98%D7%A8%D7%95%D7%A4%D7%95%D7%98%D7%95%D7%9E%D7%98%D7%A8-uvvis-%D7%9E%D7%A2%D7%91%D7%93%D7%AA%D7%99-%D7%93%D7%92%D7%9D-6305-%D7%AA%D7%95%D7%A6%D7%A8%D7%AA-jenway/</t>
        </is>
      </c>
    </row>
    <row r="55">
      <c r="A55" t="n">
        <v>470</v>
      </c>
      <c r="B55" t="inlineStr">
        <is>
          <t>Eppendorf</t>
        </is>
      </c>
      <c r="C55" t="inlineStr">
        <is>
          <t>Lumitron Ltd. (Comtel Technologies &amp; Engineering group)</t>
        </is>
      </c>
      <c r="D55" t="inlineStr">
        <is>
          <t>לומיטרון</t>
        </is>
      </c>
      <c r="E55" t="inlineStr">
        <is>
          <t>מפיץ</t>
        </is>
      </c>
      <c r="F55" t="inlineStr">
        <is>
          <t>Eppendorf importer/distributor - live Lumitron product pages for Eppendorf centrifuges (5910 Ri, MiniSpin), pipettes (Multipette M4), bioreactors (BioFlo 120, BioBLU), shakers/incubators (CellXpert CS220, Innova S44i), Eporator and micromanipulators</t>
        </is>
      </c>
      <c r="G55" t="inlineStr">
        <is>
          <t>https://www.lumitron.co.il</t>
        </is>
      </c>
      <c r="H55" t="inlineStr">
        <is>
          <t>+972 52-525-6287</t>
        </is>
      </c>
      <c r="I55" t="inlineStr"/>
      <c r="J55" t="inlineStr">
        <is>
          <t>17 Hamiflasim St., Petah Tikva</t>
        </is>
      </c>
      <c r="K55" t="inlineStr"/>
      <c r="L55" t="n">
        <v>2026</v>
      </c>
      <c r="M55" t="inlineStr">
        <is>
          <t>עדכני</t>
        </is>
      </c>
      <c r="N55" t="inlineStr">
        <is>
          <t>prior_research</t>
        </is>
      </c>
      <c r="P55" t="inlineStr">
        <is>
          <t>https://www.lumitron.co.il/products/bioflo120-bioreactor-fermenter-2/?lang=en</t>
        </is>
      </c>
    </row>
    <row r="56">
      <c r="A56" t="n">
        <v>477</v>
      </c>
      <c r="B56" t="inlineStr">
        <is>
          <t>Esco</t>
        </is>
      </c>
      <c r="C56" t="inlineStr">
        <is>
          <t>Danyel Biotech</t>
        </is>
      </c>
      <c r="D56" t="inlineStr"/>
      <c r="E56" t="inlineStr">
        <is>
          <t>מפיץ</t>
        </is>
      </c>
      <c r="F56" t="inlineStr">
        <is>
          <t>Esco Life Sciences division: biological safety cabinets (Airstream Class I/III, Labculture Class II A2/B1/B2), fume hoods, general-purpose ovens and incubators, CO2 incubators and ULT freezers - Danyel's live dedicated Esco page</t>
        </is>
      </c>
      <c r="G56" t="inlineStr">
        <is>
          <t>https://www.danyel.co.il</t>
        </is>
      </c>
      <c r="H56" t="inlineStr">
        <is>
          <t>1-800-711-911 (also +972 8-936-6066)</t>
        </is>
      </c>
      <c r="I56" t="inlineStr"/>
      <c r="J56" t="inlineStr">
        <is>
          <t>8 Hamada St., Science Park, Rehovot 7670308</t>
        </is>
      </c>
      <c r="K56" t="inlineStr">
        <is>
          <t>https://www.danyel.co.il/contact-us/</t>
        </is>
      </c>
      <c r="L56" t="n">
        <v>2026</v>
      </c>
      <c r="M56" t="inlineStr">
        <is>
          <t>עדכני</t>
        </is>
      </c>
      <c r="N56" t="inlineStr">
        <is>
          <t>prior_research</t>
        </is>
      </c>
      <c r="P56" t="inlineStr">
        <is>
          <t>https://www.danyel.co.il/esco/</t>
        </is>
      </c>
    </row>
    <row r="57">
      <c r="A57" t="n">
        <v>493</v>
      </c>
      <c r="B57" t="inlineStr">
        <is>
          <t>EZ Biosystems</t>
        </is>
      </c>
      <c r="C57" t="inlineStr">
        <is>
          <t>Tivan Biotech</t>
        </is>
      </c>
      <c r="D57" t="inlineStr">
        <is>
          <t>טיבן ביוטק</t>
        </is>
      </c>
      <c r="E57" t="inlineStr">
        <is>
          <t>מפיץ</t>
        </is>
      </c>
      <c r="F57" t="inlineStr">
        <is>
          <t>listed as a brand on the distributor's site</t>
        </is>
      </c>
      <c r="G57" t="inlineStr">
        <is>
          <t>https://www.tivanbiotech.com/</t>
        </is>
      </c>
      <c r="H57" t="inlineStr">
        <is>
          <t>077-4701591</t>
        </is>
      </c>
      <c r="I57" t="inlineStr">
        <is>
          <t>customerservice@tivanbiotech.com</t>
        </is>
      </c>
      <c r="L57" t="n">
        <v>2026</v>
      </c>
      <c r="M57" t="inlineStr">
        <is>
          <t>עדכני</t>
        </is>
      </c>
      <c r="N57" t="inlineStr">
        <is>
          <t>distributor_site_sweep</t>
        </is>
      </c>
      <c r="O57" t="inlineStr">
        <is>
          <t>exact</t>
        </is>
      </c>
      <c r="P57" t="inlineStr">
        <is>
          <t>https://tivanbiotech.com/manufacturers</t>
        </is>
      </c>
    </row>
    <row r="58">
      <c r="A58" t="n">
        <v>502</v>
      </c>
      <c r="B58" t="inlineStr">
        <is>
          <t>Fine Science Tools</t>
        </is>
      </c>
      <c r="C58" t="inlineStr">
        <is>
          <t>NBT</t>
        </is>
      </c>
      <c r="D58" t="inlineStr">
        <is>
          <t>ניו ביוטכנולוגי (NBT)</t>
        </is>
      </c>
      <c r="E58" t="inlineStr">
        <is>
          <t>מפיץ</t>
        </is>
      </c>
      <c r="F58" t="inlineStr">
        <is>
          <t>listed as a brand on the distributor's site</t>
        </is>
      </c>
      <c r="G58" t="inlineStr">
        <is>
          <t>https://www.nbtltd.com/</t>
        </is>
      </c>
      <c r="L58" t="n">
        <v>2026</v>
      </c>
      <c r="M58" t="inlineStr">
        <is>
          <t>עדכני</t>
        </is>
      </c>
      <c r="N58" t="inlineStr">
        <is>
          <t>distributor_site_sweep</t>
        </is>
      </c>
      <c r="O58" t="inlineStr">
        <is>
          <t>exact</t>
        </is>
      </c>
      <c r="P58" t="inlineStr">
        <is>
          <t>https://nbtltd.com/products-page</t>
        </is>
      </c>
    </row>
    <row r="59">
      <c r="A59" t="n">
        <v>525</v>
      </c>
      <c r="B59" t="inlineStr">
        <is>
          <t>G-Biosciences</t>
        </is>
      </c>
      <c r="C59" t="inlineStr">
        <is>
          <t>Yair Technologies (Yair Tech)</t>
        </is>
      </c>
      <c r="D59" t="inlineStr">
        <is>
          <t>יאיר טכנולוגיות</t>
        </is>
      </c>
      <c r="E59" t="inlineStr">
        <is>
          <t>מפיץ</t>
        </is>
      </c>
      <c r="F59" t="inlineStr">
        <is>
          <t>Yair Technologies' site has a G-Biosciences product-category page and lists G-Biosciences among its partners and main suppliers (proteomics reagents: protein extraction, purification, electrophoresis, Western blotting, protein labeling).</t>
        </is>
      </c>
      <c r="G59" t="inlineStr">
        <is>
          <t>https://www.yairtech.co.il</t>
        </is>
      </c>
      <c r="L59" t="n">
        <v>2026</v>
      </c>
      <c r="M59" t="inlineStr">
        <is>
          <t>עדכני</t>
        </is>
      </c>
      <c r="N59" t="inlineStr">
        <is>
          <t>manufacturer_or_press</t>
        </is>
      </c>
      <c r="O59" t="inlineStr">
        <is>
          <t>search</t>
        </is>
      </c>
      <c r="P59" t="inlineStr">
        <is>
          <t>https://www.yairtech.co.il/cat_product/g-biosciences/</t>
        </is>
      </c>
    </row>
    <row r="60">
      <c r="A60" t="n">
        <v>545</v>
      </c>
      <c r="B60" t="inlineStr">
        <is>
          <t>Genovis</t>
        </is>
      </c>
      <c r="C60" t="inlineStr">
        <is>
          <t>Yair Technologies</t>
        </is>
      </c>
      <c r="D60" t="inlineStr">
        <is>
          <t>יאיר טכנולוגיות</t>
        </is>
      </c>
      <c r="E60" t="inlineStr">
        <is>
          <t>מפיץ</t>
        </is>
      </c>
      <c r="F60" t="inlineStr">
        <is>
          <t>listed as a brand on the distributor's site</t>
        </is>
      </c>
      <c r="G60" t="inlineStr">
        <is>
          <t>https://www.yairtech.co.il/</t>
        </is>
      </c>
      <c r="H60" t="inlineStr">
        <is>
          <t>+97288544856</t>
        </is>
      </c>
      <c r="I60" t="inlineStr">
        <is>
          <t>contact@yairtech.co.il</t>
        </is>
      </c>
      <c r="L60" t="n">
        <v>2026</v>
      </c>
      <c r="M60" t="inlineStr">
        <is>
          <t>עדכני</t>
        </is>
      </c>
      <c r="N60" t="inlineStr">
        <is>
          <t>distributor_site_sweep</t>
        </is>
      </c>
      <c r="O60" t="inlineStr">
        <is>
          <t>exact</t>
        </is>
      </c>
      <c r="P60" t="inlineStr">
        <is>
          <t>https://www.yairtech.co.il/partners/</t>
        </is>
      </c>
    </row>
    <row r="61">
      <c r="A61" t="n">
        <v>552</v>
      </c>
      <c r="B61" t="inlineStr">
        <is>
          <t>Gilson Co. Inc.</t>
        </is>
      </c>
      <c r="C61" t="inlineStr">
        <is>
          <t>Agentek (1987) Ltd.</t>
        </is>
      </c>
      <c r="D61" t="inlineStr">
        <is>
          <t>אגנטק</t>
        </is>
      </c>
      <c r="E61" t="inlineStr">
        <is>
          <t>מפיץ</t>
        </is>
      </c>
      <c r="F61" t="inlineStr">
        <is>
          <t>Gilson liquid handling (per Agentek vendors list)</t>
        </is>
      </c>
      <c r="G61" t="inlineStr">
        <is>
          <t>https://agentek.co.il</t>
        </is>
      </c>
      <c r="H61" t="inlineStr">
        <is>
          <t>+972 9-965-7000</t>
        </is>
      </c>
      <c r="I61" t="inlineStr"/>
      <c r="J61" t="inlineStr">
        <is>
          <t>Greenwork Yakum Business Park, Yakum 6097200</t>
        </is>
      </c>
      <c r="K61" t="inlineStr">
        <is>
          <t>https://agentek.co.il/contact/</t>
        </is>
      </c>
      <c r="M61" t="inlineStr">
        <is>
          <t>ראיה ישנה</t>
        </is>
      </c>
      <c r="N61" t="inlineStr">
        <is>
          <t>prior_research</t>
        </is>
      </c>
      <c r="P61" t="inlineStr">
        <is>
          <t>https://agentek.co.il/vendors/</t>
        </is>
      </c>
    </row>
    <row r="62">
      <c r="A62" t="n">
        <v>552</v>
      </c>
      <c r="B62" t="inlineStr">
        <is>
          <t>Gilson Co. Inc.</t>
        </is>
      </c>
      <c r="C62" t="inlineStr">
        <is>
          <t>Lifegene Ltd.</t>
        </is>
      </c>
      <c r="D62" t="inlineStr">
        <is>
          <t>לייפג'ין</t>
        </is>
      </c>
      <c r="E62" t="inlineStr">
        <is>
          <t>מפיץ</t>
        </is>
      </c>
      <c r="F62" t="inlineStr">
        <is>
          <t>Gilson PIPETMAN G/L/M/M Connected and NEO pipettes, multichannel pipettes, PIPETMAN DIAMOND tips and PlateMaster P220 - Lifegene's live 'פיפטורים Gilson' page, Gilson product category and product pages</t>
        </is>
      </c>
      <c r="G62" t="inlineStr">
        <is>
          <t>https://www.lifegene.co.il</t>
        </is>
      </c>
      <c r="H62" t="inlineStr">
        <is>
          <t>+972 8-644-4314</t>
        </is>
      </c>
      <c r="I62" t="inlineStr">
        <is>
          <t>info@lifegene.co.il</t>
        </is>
      </c>
      <c r="J62" t="inlineStr">
        <is>
          <t>4 Ha'maayan St., Modi'in 7171101 (directory lists Modi'in; other sources say Mevo Horon – verify)</t>
        </is>
      </c>
      <c r="K62" t="inlineStr"/>
      <c r="L62" t="n">
        <v>2026</v>
      </c>
      <c r="M62" t="inlineStr">
        <is>
          <t>עדכני</t>
        </is>
      </c>
      <c r="N62" t="inlineStr">
        <is>
          <t>prior_research</t>
        </is>
      </c>
      <c r="P62" t="inlineStr">
        <is>
          <t>https://www.lifegene.co.il/gilson_pipettes</t>
        </is>
      </c>
    </row>
    <row r="63">
      <c r="A63" t="n">
        <v>558</v>
      </c>
      <c r="B63" t="inlineStr">
        <is>
          <t>GoatThroat</t>
        </is>
      </c>
      <c r="C63" t="inlineStr">
        <is>
          <t>Yair Technologies</t>
        </is>
      </c>
      <c r="D63" t="inlineStr">
        <is>
          <t>יאיר טכנולוגיות</t>
        </is>
      </c>
      <c r="E63" t="inlineStr">
        <is>
          <t>מפיץ</t>
        </is>
      </c>
      <c r="F63" t="inlineStr">
        <is>
          <t>listed as a brand on the distributor's site</t>
        </is>
      </c>
      <c r="G63" t="inlineStr">
        <is>
          <t>https://www.yairtech.co.il/</t>
        </is>
      </c>
      <c r="H63" t="inlineStr">
        <is>
          <t>+97288544856</t>
        </is>
      </c>
      <c r="I63" t="inlineStr">
        <is>
          <t>contact@yairtech.co.il</t>
        </is>
      </c>
      <c r="L63" t="n">
        <v>2026</v>
      </c>
      <c r="M63" t="inlineStr">
        <is>
          <t>עדכני</t>
        </is>
      </c>
      <c r="N63" t="inlineStr">
        <is>
          <t>distributor_site_sweep</t>
        </is>
      </c>
      <c r="O63" t="inlineStr">
        <is>
          <t>contained</t>
        </is>
      </c>
      <c r="P63" t="inlineStr">
        <is>
          <t>https://www.yairtech.co.il/product/</t>
        </is>
      </c>
    </row>
    <row r="64">
      <c r="A64" t="n">
        <v>573</v>
      </c>
      <c r="B64" t="inlineStr">
        <is>
          <t>Greiner Bio-One</t>
        </is>
      </c>
      <c r="C64" t="inlineStr">
        <is>
          <t>Danyel Biotech Ltd. (Gamida for Life group)</t>
        </is>
      </c>
      <c r="D64" t="inlineStr">
        <is>
          <t>דניאל ביוטק</t>
        </is>
      </c>
      <c r="E64" t="inlineStr">
        <is>
          <t>מפיץ</t>
        </is>
      </c>
      <c r="F64"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64" t="inlineStr">
        <is>
          <t>https://www.danyel.co.il</t>
        </is>
      </c>
      <c r="H64" t="inlineStr">
        <is>
          <t>1-800-711-911 (also +972 8-936-6066)</t>
        </is>
      </c>
      <c r="I64" t="inlineStr"/>
      <c r="J64" t="inlineStr">
        <is>
          <t>8 Hamada St., Science Park, Rehovot 7670308</t>
        </is>
      </c>
      <c r="K64" t="inlineStr">
        <is>
          <t>https://www.danyel.co.il/contact-us/</t>
        </is>
      </c>
      <c r="L64" t="n">
        <v>2026</v>
      </c>
      <c r="M64" t="inlineStr">
        <is>
          <t>עדכני</t>
        </is>
      </c>
      <c r="N64" t="inlineStr">
        <is>
          <t>prior_research</t>
        </is>
      </c>
      <c r="P64" t="inlineStr">
        <is>
          <t>https://www.gbo.com/en-int/company/subsidiaries-distributors</t>
        </is>
      </c>
    </row>
    <row r="65">
      <c r="A65" t="n">
        <v>584</v>
      </c>
      <c r="B65" t="inlineStr">
        <is>
          <t>Hach</t>
        </is>
      </c>
      <c r="C65" t="inlineStr">
        <is>
          <t>Modotec Ltd.</t>
        </is>
      </c>
      <c r="D65" t="inlineStr">
        <is>
          <t>מודוטק בע"מ</t>
        </is>
      </c>
      <c r="E65" t="inlineStr">
        <is>
          <t>מפיץ</t>
        </is>
      </c>
      <c r="F65"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65" t="inlineStr">
        <is>
          <t>https://www.modotec.co.il</t>
        </is>
      </c>
      <c r="H65" t="inlineStr">
        <is>
          <t>+972-4-991-9988</t>
        </is>
      </c>
      <c r="I65" t="inlineStr"/>
      <c r="J65" t="inlineStr">
        <is>
          <t>16 Moshe Bernstein St., South Industrial Park, Acre (Akko) 2422238</t>
        </is>
      </c>
      <c r="K65" t="inlineStr"/>
      <c r="L65" t="n">
        <v>2026</v>
      </c>
      <c r="M65" t="inlineStr">
        <is>
          <t>עדכני</t>
        </is>
      </c>
      <c r="N65" t="inlineStr">
        <is>
          <t>prior_research</t>
        </is>
      </c>
      <c r="P65" t="inlineStr">
        <is>
          <t>https://www.modotec.co.il/%D7%A1%D7%A4%D7%A7%D7%99%D7%9D/</t>
        </is>
      </c>
    </row>
    <row r="66">
      <c r="A66" t="n">
        <v>585</v>
      </c>
      <c r="B66" t="inlineStr">
        <is>
          <t>Haier</t>
        </is>
      </c>
      <c r="C66" t="inlineStr">
        <is>
          <t>Ex-Lab</t>
        </is>
      </c>
      <c r="D66" t="inlineStr">
        <is>
          <t>אקס-לאב</t>
        </is>
      </c>
      <c r="E66" t="inlineStr">
        <is>
          <t>מפיץ</t>
        </is>
      </c>
      <c r="F66"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66" t="inlineStr">
        <is>
          <t>https://ex-lab.com</t>
        </is>
      </c>
      <c r="H66" t="inlineStr"/>
      <c r="I66" t="inlineStr"/>
      <c r="J66" t="inlineStr">
        <is>
          <t>4 Nevatim St., Petah Tikva</t>
        </is>
      </c>
      <c r="K66" t="inlineStr"/>
      <c r="L66" t="n">
        <v>2026</v>
      </c>
      <c r="M66" t="inlineStr">
        <is>
          <t>עדכני</t>
        </is>
      </c>
      <c r="N66" t="inlineStr">
        <is>
          <t>prior_research</t>
        </is>
      </c>
      <c r="P66" t="inlineStr">
        <is>
          <t>https://ex-lab.com/products/%D7%9E%D7%A7%D7%A4%D7%99%D7%90-%D7%9E%D7%A2%D7%91%D7%93%D7%AA%D7%99-haier-80c/</t>
        </is>
      </c>
    </row>
    <row r="67">
      <c r="A67" t="n">
        <v>587</v>
      </c>
      <c r="B67" t="inlineStr">
        <is>
          <t>Hamilton</t>
        </is>
      </c>
      <c r="C67" t="inlineStr">
        <is>
          <t>Danyel Biotech Ltd. (Gamida for Life group)</t>
        </is>
      </c>
      <c r="D67" t="inlineStr">
        <is>
          <t>דניאל ביוטק</t>
        </is>
      </c>
      <c r="E67" t="inlineStr">
        <is>
          <t>מפיץ</t>
        </is>
      </c>
      <c r="F67" t="inlineStr">
        <is>
          <t>Hamilton laboratory products - listed for Israel (Rehovot, danyel.co.il) on Hamilton's live 'Find a Distributor' laboratory-products page; Hamilton business lines (robotics/storage) not itemised in the snippet</t>
        </is>
      </c>
      <c r="G67" t="inlineStr">
        <is>
          <t>https://www.danyel.co.il</t>
        </is>
      </c>
      <c r="H67" t="inlineStr">
        <is>
          <t>1-800-711-911 (also +972 8-936-6066)</t>
        </is>
      </c>
      <c r="I67" t="inlineStr"/>
      <c r="J67" t="inlineStr">
        <is>
          <t>8 Hamada St., Science Park, Rehovot 7670308</t>
        </is>
      </c>
      <c r="K67" t="inlineStr">
        <is>
          <t>https://www.danyel.co.il/contact-us/</t>
        </is>
      </c>
      <c r="L67" t="n">
        <v>2026</v>
      </c>
      <c r="M67" t="inlineStr">
        <is>
          <t>עדכני</t>
        </is>
      </c>
      <c r="N67" t="inlineStr">
        <is>
          <t>prior_research</t>
        </is>
      </c>
      <c r="P67" t="inlineStr">
        <is>
          <t>https://www.hamiltoncompany.com/laboratory-product-distribution-list</t>
        </is>
      </c>
    </row>
    <row r="68">
      <c r="A68" t="n">
        <v>587</v>
      </c>
      <c r="B68" t="inlineStr">
        <is>
          <t>Hamilton</t>
        </is>
      </c>
      <c r="C68" t="inlineStr">
        <is>
          <t>Ophir Analytical Ltd.</t>
        </is>
      </c>
      <c r="D68" t="inlineStr"/>
      <c r="E68" t="inlineStr">
        <is>
          <t>מפיץ</t>
        </is>
      </c>
      <c r="F68" t="inlineStr">
        <is>
          <t>Hamilton laboratory products - listed for Israel (Rosh Ha'ayin) on Hamilton's live laboratory-products distributor page: lab syringes for life science and chemistry, lab needles, Microlab 600 diluter/dispenser, GC septa, HPLC columns</t>
        </is>
      </c>
      <c r="G68" t="inlineStr">
        <is>
          <t>https://ophiranalytical.com</t>
        </is>
      </c>
      <c r="H68" t="inlineStr">
        <is>
          <t>+972 3-902-2277</t>
        </is>
      </c>
      <c r="I68" t="inlineStr"/>
      <c r="J68" t="inlineStr">
        <is>
          <t>Rosh Ha'ayin</t>
        </is>
      </c>
      <c r="K68" t="inlineStr"/>
      <c r="L68" t="n">
        <v>2026</v>
      </c>
      <c r="M68" t="inlineStr">
        <is>
          <t>חדש</t>
        </is>
      </c>
      <c r="N68" t="inlineStr">
        <is>
          <t>prior_research</t>
        </is>
      </c>
      <c r="P68" t="inlineStr">
        <is>
          <t>https://www.hamiltoncompany.com/laboratory-product-distribution-list</t>
        </is>
      </c>
    </row>
    <row r="69">
      <c r="A69" t="n">
        <v>587</v>
      </c>
      <c r="B69" t="inlineStr">
        <is>
          <t>Hamilton</t>
        </is>
      </c>
      <c r="C69" t="inlineStr">
        <is>
          <t>Tarom Applied Technologies Ltd.</t>
        </is>
      </c>
      <c r="D69" t="inlineStr"/>
      <c r="E69" t="inlineStr">
        <is>
          <t>מפיץ</t>
        </is>
      </c>
      <c r="F69" t="inlineStr">
        <is>
          <t>Hamilton Process Analytics sensors - listed for Israel (Petach-Tikva, tarom.co.il) on Hamilton's live sensor distributor page</t>
        </is>
      </c>
      <c r="G69" t="inlineStr">
        <is>
          <t>http://www.tarom.co.il</t>
        </is>
      </c>
      <c r="H69" t="inlineStr"/>
      <c r="I69" t="inlineStr"/>
      <c r="J69" t="inlineStr"/>
      <c r="K69" t="inlineStr"/>
      <c r="L69" t="n">
        <v>2026</v>
      </c>
      <c r="M69" t="inlineStr">
        <is>
          <t>חדש</t>
        </is>
      </c>
      <c r="N69" t="inlineStr">
        <is>
          <t>prior_research</t>
        </is>
      </c>
      <c r="P69" t="inlineStr">
        <is>
          <t>https://www.hamiltoncompany.com/process-analystics-sensor-product-distribution-list</t>
        </is>
      </c>
    </row>
    <row r="70">
      <c r="A70" t="n">
        <v>590</v>
      </c>
      <c r="B70" t="inlineStr">
        <is>
          <t>Hanna Instruments</t>
        </is>
      </c>
      <c r="C70" t="inlineStr">
        <is>
          <t>Medent Scientific Instruments</t>
        </is>
      </c>
      <c r="D70" t="inlineStr">
        <is>
          <t>מדנט מכשור מדעי</t>
        </is>
      </c>
      <c r="E70" t="inlineStr">
        <is>
          <t>מפיץ</t>
        </is>
      </c>
      <c r="F70"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70" t="inlineStr">
        <is>
          <t>https://www.medent.co.il</t>
        </is>
      </c>
      <c r="H70" t="inlineStr">
        <is>
          <t>+972 72-395-0508 (sales); +972 8-683-6306 (service)</t>
        </is>
      </c>
      <c r="I70" t="inlineStr">
        <is>
          <t>info@medent.co.il</t>
        </is>
      </c>
      <c r="J70" t="inlineStr">
        <is>
          <t>110 Mordei HaGetaot St., Beer Sheva 8420643</t>
        </is>
      </c>
      <c r="K70" t="inlineStr">
        <is>
          <t>https://www.medent.co.il/scientific.equipment/%D7%A6%D7%95%D7%A8-%D7%A7%D7%A9%D7%A8/</t>
        </is>
      </c>
      <c r="L70" t="n">
        <v>2026</v>
      </c>
      <c r="M70" t="inlineStr">
        <is>
          <t>עדכני</t>
        </is>
      </c>
      <c r="N70" t="inlineStr">
        <is>
          <t>prior_research</t>
        </is>
      </c>
      <c r="P70" t="inlineStr">
        <is>
          <t>https://www.medent.co.il/en/project/page/2/</t>
        </is>
      </c>
    </row>
    <row r="71">
      <c r="A71" t="n">
        <v>590</v>
      </c>
      <c r="B71" t="inlineStr">
        <is>
          <t>Hanna Instruments</t>
        </is>
      </c>
      <c r="C71" t="inlineStr">
        <is>
          <t>BioAnalytics</t>
        </is>
      </c>
      <c r="D71" t="inlineStr"/>
      <c r="E71" t="inlineStr">
        <is>
          <t>מפיץ</t>
        </is>
      </c>
      <c r="F71" t="inlineStr">
        <is>
          <t>Hanna pool/spa and food (bread/dough) pH testers</t>
        </is>
      </c>
      <c r="G71" t="inlineStr">
        <is>
          <t>https://www.bioanalytics.co.il</t>
        </is>
      </c>
      <c r="H71" t="inlineStr">
        <is>
          <t>+972-72-242-9555</t>
        </is>
      </c>
      <c r="I71" t="inlineStr"/>
      <c r="J71" t="inlineStr">
        <is>
          <t>29 Omarim St. (listed as "29'th Omarim"), Omer 84965</t>
        </is>
      </c>
      <c r="K71" t="inlineStr"/>
      <c r="M71" t="inlineStr">
        <is>
          <t>ראיה ישנה</t>
        </is>
      </c>
      <c r="N71" t="inlineStr">
        <is>
          <t>prior_research</t>
        </is>
      </c>
      <c r="P71" t="inlineStr">
        <is>
          <t>https://www.bioanalytics.co.il/products/hannah-pool-line-ph-tester-according-to-6223-israeli-standard/</t>
        </is>
      </c>
    </row>
    <row r="72">
      <c r="A72" t="n">
        <v>590</v>
      </c>
      <c r="B72" t="inlineStr">
        <is>
          <t>Hanna Instruments</t>
        </is>
      </c>
      <c r="C72" t="inlineStr">
        <is>
          <t>Cannadepot</t>
        </is>
      </c>
      <c r="D72" t="inlineStr"/>
      <c r="E72" t="inlineStr">
        <is>
          <t>מפיץ</t>
        </is>
      </c>
      <c r="F72" t="inlineStr">
        <is>
          <t>online retailer; Hanna portable pH/EC/TDS testers</t>
        </is>
      </c>
      <c r="G72" t="inlineStr">
        <is>
          <t>https://cannadepot.co.il</t>
        </is>
      </c>
      <c r="H72" t="inlineStr"/>
      <c r="I72" t="inlineStr"/>
      <c r="J72" t="inlineStr"/>
      <c r="K72" t="inlineStr"/>
      <c r="M72" t="inlineStr">
        <is>
          <t>ראיה ישנה</t>
        </is>
      </c>
      <c r="N72" t="inlineStr">
        <is>
          <t>prior_research</t>
        </is>
      </c>
      <c r="P72" t="inlineStr">
        <is>
          <t>https://cannadepot.co.il/product-category/%D7%9E%D7%93%D7%99%D7%93%D7%94-%D7%95%D7%91%D7%A7%D7%A8%D7%94/hanna-instruments-%D7%9E%D7%9B%D7%A9%D7%99%D7%A8%D7%99%D7%9D-%D7%94%D7%90%D7%A0%D7%94/</t>
        </is>
      </c>
    </row>
    <row r="73">
      <c r="A73" t="n">
        <v>590</v>
      </c>
      <c r="B73" t="inlineStr">
        <is>
          <t>Hanna Instruments</t>
        </is>
      </c>
      <c r="C73" t="inlineStr">
        <is>
          <t>Mercury (mercury-ltd.co.il; part of Gadot Chemicals Group)</t>
        </is>
      </c>
      <c r="D73" t="inlineStr">
        <is>
          <t>מרקורי</t>
        </is>
      </c>
      <c r="E73" t="inlineStr">
        <is>
          <t>מפיץ</t>
        </is>
      </c>
      <c r="F73"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73" t="inlineStr">
        <is>
          <t>https://www.mercury-ltd.co.il</t>
        </is>
      </c>
      <c r="H73" t="inlineStr">
        <is>
          <t>+972 3-938-7164</t>
        </is>
      </c>
      <c r="I73" t="inlineStr"/>
      <c r="J73" t="inlineStr">
        <is>
          <t>12 Ha'avoda St., P.O. Box 159, Rosh Ha'ayin</t>
        </is>
      </c>
      <c r="K73" t="inlineStr">
        <is>
          <t>https://eng.mercury-ltd.co.il/about_us</t>
        </is>
      </c>
      <c r="L73" t="n">
        <v>2026</v>
      </c>
      <c r="M73" t="inlineStr">
        <is>
          <t>חדש</t>
        </is>
      </c>
      <c r="N73" t="inlineStr">
        <is>
          <t>prior_research</t>
        </is>
      </c>
      <c r="P73" t="inlineStr">
        <is>
          <t>https://pages.hannainst.com/israel</t>
        </is>
      </c>
    </row>
    <row r="74">
      <c r="A74" t="n">
        <v>593</v>
      </c>
      <c r="B74" t="inlineStr">
        <is>
          <t>Harvard Apparatus</t>
        </is>
      </c>
      <c r="C74" t="inlineStr">
        <is>
          <t>NBT</t>
        </is>
      </c>
      <c r="D74" t="inlineStr">
        <is>
          <t>ניו ביוטכנולוגי (NBT)</t>
        </is>
      </c>
      <c r="E74" t="inlineStr">
        <is>
          <t>מפיץ</t>
        </is>
      </c>
      <c r="F74" t="inlineStr">
        <is>
          <t>listed as a brand on the distributor's site</t>
        </is>
      </c>
      <c r="G74" t="inlineStr">
        <is>
          <t>https://www.nbtltd.com/</t>
        </is>
      </c>
      <c r="L74" t="n">
        <v>2026</v>
      </c>
      <c r="M74" t="inlineStr">
        <is>
          <t>עדכני</t>
        </is>
      </c>
      <c r="N74" t="inlineStr">
        <is>
          <t>distributor_site_sweep</t>
        </is>
      </c>
      <c r="O74" t="inlineStr">
        <is>
          <t>exact</t>
        </is>
      </c>
      <c r="P74" t="inlineStr">
        <is>
          <t>https://nbtltd.com/products-page</t>
        </is>
      </c>
    </row>
    <row r="75">
      <c r="A75" t="n">
        <v>597</v>
      </c>
      <c r="B75" t="inlineStr">
        <is>
          <t>Heidolph</t>
        </is>
      </c>
      <c r="C75" t="inlineStr">
        <is>
          <t>Labotal Scientific Equipment Ltd.</t>
        </is>
      </c>
      <c r="D75" t="inlineStr">
        <is>
          <t>לבוטל ציוד מדעי</t>
        </is>
      </c>
      <c r="E75" t="inlineStr">
        <is>
          <t>מפיץ</t>
        </is>
      </c>
      <c r="F75" t="inlineStr">
        <is>
          <t>Heidolph rotary evaporators, stirrers and shakers - Heidolph listed on Labotal's live 'Represented Firms' page; Labotal calls itself a Heidolph premium distributor and its awards archive mentions a three-year warranty on Heidolph products</t>
        </is>
      </c>
      <c r="G75" t="inlineStr">
        <is>
          <t>https://labotal.co.il</t>
        </is>
      </c>
      <c r="H75" t="inlineStr">
        <is>
          <t>+972 2-579-9222</t>
        </is>
      </c>
      <c r="I75" t="inlineStr">
        <is>
          <t>Sales@labotal.co.il</t>
        </is>
      </c>
      <c r="J75" t="inlineStr">
        <is>
          <t>Hashalom Rd., Abu Ghosh 9084500 (mail: Mevaseret Zion)</t>
        </is>
      </c>
      <c r="K75" t="inlineStr">
        <is>
          <t>https://labotal.co.il/contact/</t>
        </is>
      </c>
      <c r="L75" t="n">
        <v>2026</v>
      </c>
      <c r="M75" t="inlineStr">
        <is>
          <t>עדכני</t>
        </is>
      </c>
      <c r="N75" t="inlineStr">
        <is>
          <t>prior_research</t>
        </is>
      </c>
      <c r="P75" t="inlineStr">
        <is>
          <t>https://labotal.co.il/firms/?lang=en</t>
        </is>
      </c>
    </row>
    <row r="76">
      <c r="A76" t="n">
        <v>603</v>
      </c>
      <c r="B76" t="inlineStr">
        <is>
          <t>Hettich</t>
        </is>
      </c>
      <c r="C76" t="inlineStr">
        <is>
          <t>Eldan Electronic Instruments Ltd. (Neopharm group)</t>
        </is>
      </c>
      <c r="D76" t="inlineStr">
        <is>
          <t>אלדן</t>
        </is>
      </c>
      <c r="E76" t="inlineStr">
        <is>
          <t>מפיץ</t>
        </is>
      </c>
      <c r="F76"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76" t="inlineStr">
        <is>
          <t>https://www.eldan.biz</t>
        </is>
      </c>
      <c r="H76" t="inlineStr">
        <is>
          <t>+972-3-937-1111</t>
        </is>
      </c>
      <c r="I76" t="inlineStr">
        <is>
          <t>info@eldan.biz</t>
        </is>
      </c>
      <c r="J76" t="inlineStr">
        <is>
          <t>6 Hashiloach Street, P.O. Box 7641, Petach Tikva 49170</t>
        </is>
      </c>
      <c r="K76" t="inlineStr"/>
      <c r="L76" t="n">
        <v>2026</v>
      </c>
      <c r="M76" t="inlineStr">
        <is>
          <t>עדכני</t>
        </is>
      </c>
      <c r="N76" t="inlineStr">
        <is>
          <t>prior_research</t>
        </is>
      </c>
      <c r="P76" t="inlineStr">
        <is>
          <t>https://www.hettichlab.com/contact/</t>
        </is>
      </c>
    </row>
    <row r="77">
      <c r="A77" t="n">
        <v>604</v>
      </c>
      <c r="B77" t="inlineStr">
        <is>
          <t>Hettich Instruments</t>
        </is>
      </c>
      <c r="C77" t="inlineStr">
        <is>
          <t>Eldan Electronic Instruments Ltd. (Neopharm group)</t>
        </is>
      </c>
      <c r="D77" t="inlineStr">
        <is>
          <t>אלדן</t>
        </is>
      </c>
      <c r="E77" t="inlineStr">
        <is>
          <t>מפיץ</t>
        </is>
      </c>
      <c r="F77"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77" t="inlineStr">
        <is>
          <t>https://www.eldan.biz</t>
        </is>
      </c>
      <c r="H77" t="inlineStr">
        <is>
          <t>+972-3-937-1111</t>
        </is>
      </c>
      <c r="I77" t="inlineStr">
        <is>
          <t>info@eldan.biz</t>
        </is>
      </c>
      <c r="J77" t="inlineStr">
        <is>
          <t>6 Hashiloach Street, P.O. Box 7641, Petach Tikva 49170</t>
        </is>
      </c>
      <c r="K77" t="inlineStr"/>
      <c r="L77" t="n">
        <v>2026</v>
      </c>
      <c r="M77" t="inlineStr">
        <is>
          <t>עדכני</t>
        </is>
      </c>
      <c r="N77" t="inlineStr">
        <is>
          <t>prior_research</t>
        </is>
      </c>
      <c r="P77" t="inlineStr">
        <is>
          <t>https://www.hettichlab.com/contact/</t>
        </is>
      </c>
    </row>
    <row r="78">
      <c r="A78" t="n">
        <v>626</v>
      </c>
      <c r="B78" t="inlineStr">
        <is>
          <t>Huber USA</t>
        </is>
      </c>
      <c r="C78" t="inlineStr">
        <is>
          <t>S.L. Moran Ltd.</t>
        </is>
      </c>
      <c r="D78" t="inlineStr">
        <is>
          <t>ש.ל מורן</t>
        </is>
      </c>
      <c r="E78" t="inlineStr">
        <is>
          <t>מפיץ</t>
        </is>
      </c>
      <c r="F78" t="inlineStr">
        <is>
          <t>Huber circulation baths, thermostats and chillers (Ministat 230 variants, Unistat 405 etc.) - S.L. Moran's live heating/cooling-bath category and suppliers page; the site hosts the Huber general catalogue 2025/2026 (uploaded September 2025) and the CS-Chiller brochure</t>
        </is>
      </c>
      <c r="G78" t="inlineStr">
        <is>
          <t>https://slmoran.co.il</t>
        </is>
      </c>
      <c r="H78" t="inlineStr">
        <is>
          <t>+972 74-702-9898</t>
        </is>
      </c>
      <c r="I78" t="inlineStr"/>
      <c r="J78" t="inlineStr">
        <is>
          <t>Shatner Center 7, Givat Shaul, Jerusalem</t>
        </is>
      </c>
      <c r="K78" t="inlineStr"/>
      <c r="L78" t="n">
        <v>2026</v>
      </c>
      <c r="M78" t="inlineStr">
        <is>
          <t>עדכני</t>
        </is>
      </c>
      <c r="N78" t="inlineStr">
        <is>
          <t>prior_research</t>
        </is>
      </c>
      <c r="P78" t="inlineStr">
        <is>
          <t>https://slmoran.co.il/products_cat/%D7%90%D7%9E%D7%91%D7%98%D7%99-%D7%97%D7%99%D7%9E%D7%95%D7%9D-%D7%A7%D7%99%D7%A8%D7%95%D7%A8-%D7%A1%D7%99%D7%A8%D7%A7%D7%95%D7%9C%D7%98%D7%95%D7%A8/</t>
        </is>
      </c>
    </row>
    <row r="79">
      <c r="A79" t="n">
        <v>626</v>
      </c>
      <c r="B79" t="inlineStr">
        <is>
          <t>Huber USA</t>
        </is>
      </c>
      <c r="C79" t="inlineStr">
        <is>
          <t>Master-Cold</t>
        </is>
      </c>
      <c r="D79" t="inlineStr"/>
      <c r="E79" t="inlineStr">
        <is>
          <t>מפיץ</t>
        </is>
      </c>
      <c r="F79" t="inlineStr">
        <is>
          <t>lists Huber Ministat 230-cc-NR and a Unistat CC (the Unistat appears to be a used unit); authorised status unverified</t>
        </is>
      </c>
      <c r="G79" t="inlineStr">
        <is>
          <t>http://master-cold.co.il</t>
        </is>
      </c>
      <c r="H79" t="inlineStr"/>
      <c r="I79" t="inlineStr"/>
      <c r="J79" t="inlineStr"/>
      <c r="K79" t="inlineStr"/>
      <c r="M79" t="inlineStr">
        <is>
          <t>ראיה ישנה</t>
        </is>
      </c>
      <c r="N79" t="inlineStr">
        <is>
          <t>prior_research</t>
        </is>
      </c>
      <c r="P79" t="inlineStr">
        <is>
          <t>http://master-cold.co.il/1579/products/ministat-230-cc-nr</t>
        </is>
      </c>
    </row>
    <row r="80">
      <c r="A80" t="n">
        <v>647</v>
      </c>
      <c r="B80" t="inlineStr">
        <is>
          <t>Ika</t>
        </is>
      </c>
      <c r="C80" t="inlineStr">
        <is>
          <t>Medent Scientific Instruments</t>
        </is>
      </c>
      <c r="D80" t="inlineStr">
        <is>
          <t>מדנט מכשור מדעי</t>
        </is>
      </c>
      <c r="E80" t="inlineStr">
        <is>
          <t>מפיץ</t>
        </is>
      </c>
      <c r="F80"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80" t="inlineStr">
        <is>
          <t>https://www.medent.co.il</t>
        </is>
      </c>
      <c r="H80" t="inlineStr">
        <is>
          <t>+972 72-395-0508 (sales); +972 8-683-6306 (service)</t>
        </is>
      </c>
      <c r="I80" t="inlineStr">
        <is>
          <t>info@medent.co.il</t>
        </is>
      </c>
      <c r="J80" t="inlineStr">
        <is>
          <t>110 Mordei HaGetaot St., Beer Sheva 8420643</t>
        </is>
      </c>
      <c r="K80" t="inlineStr">
        <is>
          <t>https://www.medent.co.il/scientific.equipment/%D7%A6%D7%95%D7%A8-%D7%A7%D7%A9%D7%A8/</t>
        </is>
      </c>
      <c r="L80" t="n">
        <v>2026</v>
      </c>
      <c r="M80" t="inlineStr">
        <is>
          <t>עדכני</t>
        </is>
      </c>
      <c r="N80" t="inlineStr">
        <is>
          <t>prior_research</t>
        </is>
      </c>
      <c r="P80" t="inlineStr">
        <is>
          <t>https://www.medent.co.il/en/project/ika-germany/</t>
        </is>
      </c>
    </row>
    <row r="81">
      <c r="A81" t="n">
        <v>647</v>
      </c>
      <c r="B81" t="inlineStr">
        <is>
          <t>Ika</t>
        </is>
      </c>
      <c r="C81" t="inlineStr">
        <is>
          <t>Labotal Scientific Equipment Ltd.</t>
        </is>
      </c>
      <c r="D81" t="inlineStr">
        <is>
          <t>לבוטל ציוד למעבדות</t>
        </is>
      </c>
      <c r="E81" t="inlineStr">
        <is>
          <t>מפיץ</t>
        </is>
      </c>
      <c r="F81" t="inlineStr">
        <is>
          <t>overhead and magnetic stirrers - Labotal's overhead-stirrer category page names IKA among the brands it stocks (scope beyond stirrers not seen)</t>
        </is>
      </c>
      <c r="G81" t="inlineStr">
        <is>
          <t>https://labotal.co.il</t>
        </is>
      </c>
      <c r="H81" t="inlineStr">
        <is>
          <t>+972 2-579-9222</t>
        </is>
      </c>
      <c r="I81" t="inlineStr">
        <is>
          <t>Sales@labotal.co.il</t>
        </is>
      </c>
      <c r="J81" t="inlineStr">
        <is>
          <t>Hashalom Rd., Abu Ghosh 9084500 (mail: Mevaseret Zion)</t>
        </is>
      </c>
      <c r="K81" t="inlineStr">
        <is>
          <t>https://labotal.co.il/contact/</t>
        </is>
      </c>
      <c r="M81" t="inlineStr">
        <is>
          <t>ראיה ישנה</t>
        </is>
      </c>
      <c r="N81" t="inlineStr">
        <is>
          <t>prior_research</t>
        </is>
      </c>
      <c r="P81" t="inlineStr">
        <is>
          <t>https://labotal.co.il/product-category/hot-plate-and-stirrers/overhead-stirrers/?lang=en</t>
        </is>
      </c>
    </row>
    <row r="82">
      <c r="A82" t="n">
        <v>648</v>
      </c>
      <c r="B82" t="inlineStr">
        <is>
          <t>IKA Works</t>
        </is>
      </c>
      <c r="C82" t="inlineStr">
        <is>
          <t>Medent Scientific Instruments</t>
        </is>
      </c>
      <c r="D82" t="inlineStr">
        <is>
          <t>מדנט מכשור מדעי</t>
        </is>
      </c>
      <c r="E82" t="inlineStr">
        <is>
          <t>מפיץ</t>
        </is>
      </c>
      <c r="F82"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82" t="inlineStr">
        <is>
          <t>https://www.medent.co.il</t>
        </is>
      </c>
      <c r="H82" t="inlineStr">
        <is>
          <t>+972 72-395-0508 (sales); +972 8-683-6306 (service)</t>
        </is>
      </c>
      <c r="I82" t="inlineStr">
        <is>
          <t>info@medent.co.il</t>
        </is>
      </c>
      <c r="J82" t="inlineStr">
        <is>
          <t>110 Mordei HaGetaot St., Beer Sheva 8420643</t>
        </is>
      </c>
      <c r="K82" t="inlineStr">
        <is>
          <t>https://www.medent.co.il/scientific.equipment/%D7%A6%D7%95%D7%A8-%D7%A7%D7%A9%D7%A8/</t>
        </is>
      </c>
      <c r="L82" t="n">
        <v>2026</v>
      </c>
      <c r="M82" t="inlineStr">
        <is>
          <t>עדכני</t>
        </is>
      </c>
      <c r="N82" t="inlineStr">
        <is>
          <t>prior_research</t>
        </is>
      </c>
      <c r="P82" t="inlineStr">
        <is>
          <t>https://www.medent.co.il/en/project/ika-germany/</t>
        </is>
      </c>
    </row>
    <row r="83">
      <c r="A83" t="n">
        <v>648</v>
      </c>
      <c r="B83" t="inlineStr">
        <is>
          <t>IKA Works</t>
        </is>
      </c>
      <c r="C83" t="inlineStr">
        <is>
          <t>Labotal Scientific Equipment Ltd.</t>
        </is>
      </c>
      <c r="D83" t="inlineStr">
        <is>
          <t>לבוטל ציוד למעבדות</t>
        </is>
      </c>
      <c r="E83" t="inlineStr">
        <is>
          <t>מפיץ</t>
        </is>
      </c>
      <c r="F83" t="inlineStr">
        <is>
          <t>overhead and magnetic stirrers - Labotal's overhead-stirrer category page names IKA among the brands it stocks (scope beyond stirrers not seen)</t>
        </is>
      </c>
      <c r="G83" t="inlineStr">
        <is>
          <t>https://labotal.co.il</t>
        </is>
      </c>
      <c r="H83" t="inlineStr">
        <is>
          <t>+972 2-579-9222</t>
        </is>
      </c>
      <c r="I83" t="inlineStr">
        <is>
          <t>Sales@labotal.co.il</t>
        </is>
      </c>
      <c r="J83" t="inlineStr">
        <is>
          <t>Hashalom Rd., Abu Ghosh 9084500 (mail: Mevaseret Zion)</t>
        </is>
      </c>
      <c r="K83" t="inlineStr">
        <is>
          <t>https://labotal.co.il/contact/</t>
        </is>
      </c>
      <c r="M83" t="inlineStr">
        <is>
          <t>ראיה ישנה</t>
        </is>
      </c>
      <c r="N83" t="inlineStr">
        <is>
          <t>prior_research</t>
        </is>
      </c>
      <c r="P83" t="inlineStr">
        <is>
          <t>https://labotal.co.il/product-category/hot-plate-and-stirrers/overhead-stirrers/?lang=en</t>
        </is>
      </c>
    </row>
    <row r="84">
      <c r="A84" t="n">
        <v>666</v>
      </c>
      <c r="B84" t="inlineStr">
        <is>
          <t>Instech</t>
        </is>
      </c>
      <c r="C84" t="inlineStr">
        <is>
          <t>NBT</t>
        </is>
      </c>
      <c r="D84" t="inlineStr">
        <is>
          <t>ניו ביוטכנולוגי (NBT)</t>
        </is>
      </c>
      <c r="E84" t="inlineStr">
        <is>
          <t>מפיץ</t>
        </is>
      </c>
      <c r="F84" t="inlineStr">
        <is>
          <t>listed as a brand on the distributor's site</t>
        </is>
      </c>
      <c r="G84" t="inlineStr">
        <is>
          <t>https://www.nbtltd.com/</t>
        </is>
      </c>
      <c r="L84" t="n">
        <v>2026</v>
      </c>
      <c r="M84" t="inlineStr">
        <is>
          <t>עדכני</t>
        </is>
      </c>
      <c r="N84" t="inlineStr">
        <is>
          <t>distributor_site_sweep</t>
        </is>
      </c>
      <c r="O84" t="inlineStr">
        <is>
          <t>exact</t>
        </is>
      </c>
      <c r="P84" t="inlineStr">
        <is>
          <t>https://nbtltd.com/products-page</t>
        </is>
      </c>
    </row>
    <row r="85">
      <c r="A85" t="n">
        <v>669</v>
      </c>
      <c r="B85" t="inlineStr">
        <is>
          <t>Integra</t>
        </is>
      </c>
      <c r="C85" t="inlineStr">
        <is>
          <t>Medent - Scientific Equipment Ltd.</t>
        </is>
      </c>
      <c r="D85" t="inlineStr"/>
      <c r="E85" t="inlineStr">
        <is>
          <t>מפיץ</t>
        </is>
      </c>
      <c r="F85" t="inlineStr">
        <is>
          <t>INTEGRA liquid-handling products (VIAFLO, ASSIST PLUS, VACUSAFE etc.) - listed on INTEGRA's live 'Where to buy' page as its partner for Israel (110 Mordey Hagetaot St., Beer Sheva 84206, +972 8 623 79 84, medent.co.il)</t>
        </is>
      </c>
      <c r="G85" t="inlineStr">
        <is>
          <t>https://www.medent.co.il</t>
        </is>
      </c>
      <c r="H85" t="inlineStr">
        <is>
          <t>+972 72-395-0508 (sales); +972 8-683-6306 (service)</t>
        </is>
      </c>
      <c r="I85" t="inlineStr">
        <is>
          <t>info@medent.co.il</t>
        </is>
      </c>
      <c r="J85" t="inlineStr">
        <is>
          <t>110 Mordei HaGetaot St., Beer Sheva 8420643</t>
        </is>
      </c>
      <c r="K85" t="inlineStr">
        <is>
          <t>https://www.medent.co.il/scientific.equipment/%D7%A6%D7%95%D7%A8-%D7%A7%D7%A9%D7%A8/</t>
        </is>
      </c>
      <c r="L85" t="n">
        <v>2026</v>
      </c>
      <c r="M85" t="inlineStr">
        <is>
          <t>עדכני</t>
        </is>
      </c>
      <c r="N85" t="inlineStr">
        <is>
          <t>prior_research</t>
        </is>
      </c>
      <c r="P85" t="inlineStr">
        <is>
          <t>https://www.integra-biosciences.com/global/en/where-buy</t>
        </is>
      </c>
    </row>
    <row r="86">
      <c r="A86" t="n">
        <v>670</v>
      </c>
      <c r="B86" t="inlineStr">
        <is>
          <t>INTEGRA Biosciences</t>
        </is>
      </c>
      <c r="C86" t="inlineStr">
        <is>
          <t>Medent - Scientific Equipment Ltd.</t>
        </is>
      </c>
      <c r="D86" t="inlineStr"/>
      <c r="E86" t="inlineStr">
        <is>
          <t>מפיץ</t>
        </is>
      </c>
      <c r="F86" t="inlineStr">
        <is>
          <t>INTEGRA liquid-handling products (VIAFLO, ASSIST PLUS, VACUSAFE etc.) - listed on INTEGRA's live 'Where to buy' page as its partner for Israel (110 Mordey Hagetaot St., Beer Sheva 84206, +972 8 623 79 84, medent.co.il)</t>
        </is>
      </c>
      <c r="G86" t="inlineStr">
        <is>
          <t>https://www.medent.co.il</t>
        </is>
      </c>
      <c r="H86" t="inlineStr">
        <is>
          <t>+972 72-395-0508 (sales); +972 8-683-6306 (service)</t>
        </is>
      </c>
      <c r="I86" t="inlineStr">
        <is>
          <t>info@medent.co.il</t>
        </is>
      </c>
      <c r="J86" t="inlineStr">
        <is>
          <t>110 Mordei HaGetaot St., Beer Sheva 8420643</t>
        </is>
      </c>
      <c r="K86" t="inlineStr">
        <is>
          <t>https://www.medent.co.il/scientific.equipment/%D7%A6%D7%95%D7%A8-%D7%A7%D7%A9%D7%A8/</t>
        </is>
      </c>
      <c r="L86" t="n">
        <v>2026</v>
      </c>
      <c r="M86" t="inlineStr">
        <is>
          <t>עדכני</t>
        </is>
      </c>
      <c r="N86" t="inlineStr">
        <is>
          <t>prior_research</t>
        </is>
      </c>
      <c r="P86" t="inlineStr">
        <is>
          <t>https://www.integra-biosciences.com/global/en/where-buy</t>
        </is>
      </c>
    </row>
    <row r="87">
      <c r="A87" t="n">
        <v>689</v>
      </c>
      <c r="B87" t="inlineStr">
        <is>
          <t>Jackson ImmunoResearch</t>
        </is>
      </c>
      <c r="C87" t="inlineStr">
        <is>
          <t>Enco Scientific Services Ltd. (Enco Diagnostics)</t>
        </is>
      </c>
      <c r="D87" t="inlineStr">
        <is>
          <t>אנקו</t>
        </is>
      </c>
      <c r="E87" t="inlineStr">
        <is>
          <t>מפיץ</t>
        </is>
      </c>
      <c r="F87" t="inlineStr">
        <is>
          <t>Enco's About page lists the brand among the international companies it distributes in Israel (antibodies/biochemicals)</t>
        </is>
      </c>
      <c r="G87" t="inlineStr">
        <is>
          <t>https://www.enco.co.il</t>
        </is>
      </c>
      <c r="L87" t="n">
        <v>2026</v>
      </c>
      <c r="M87" t="inlineStr">
        <is>
          <t>עדכני</t>
        </is>
      </c>
      <c r="N87" t="inlineStr">
        <is>
          <t>manufacturer_or_press</t>
        </is>
      </c>
      <c r="P87" t="inlineStr">
        <is>
          <t>https://www.enco.co.il/about.php</t>
        </is>
      </c>
    </row>
    <row r="88">
      <c r="A88" t="n">
        <v>692</v>
      </c>
      <c r="B88" t="inlineStr">
        <is>
          <t>Jasco</t>
        </is>
      </c>
      <c r="C88" t="inlineStr">
        <is>
          <t>Ophir Analytical Ltd.</t>
        </is>
      </c>
      <c r="D88" t="inlineStr"/>
      <c r="E88" t="inlineStr">
        <is>
          <t>מפיץ</t>
        </is>
      </c>
      <c r="F88"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88" t="inlineStr">
        <is>
          <t>https://ophiranalytical.com</t>
        </is>
      </c>
      <c r="H88" t="inlineStr">
        <is>
          <t>+972 3-902-2277</t>
        </is>
      </c>
      <c r="I88" t="inlineStr"/>
      <c r="J88" t="inlineStr">
        <is>
          <t>Rosh Ha'ayin</t>
        </is>
      </c>
      <c r="K88" t="inlineStr"/>
      <c r="L88" t="n">
        <v>2026</v>
      </c>
      <c r="M88" t="inlineStr">
        <is>
          <t>עדכני</t>
        </is>
      </c>
      <c r="N88" t="inlineStr">
        <is>
          <t>prior_research</t>
        </is>
      </c>
      <c r="P88" t="inlineStr">
        <is>
          <t>https://www.jasco.de/where-to-buy/</t>
        </is>
      </c>
    </row>
    <row r="89">
      <c r="A89" t="n">
        <v>695</v>
      </c>
      <c r="B89" t="inlineStr">
        <is>
          <t>Jenway (Cole-Parmer)</t>
        </is>
      </c>
      <c r="C89" t="inlineStr">
        <is>
          <t>Medent Scientific Instruments</t>
        </is>
      </c>
      <c r="D89" t="inlineStr">
        <is>
          <t>מדנט מכשור מדעי</t>
        </is>
      </c>
      <c r="E89" t="inlineStr">
        <is>
          <t>מפיץ</t>
        </is>
      </c>
      <c r="F89"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89" t="inlineStr">
        <is>
          <t>https://www.medent.co.il</t>
        </is>
      </c>
      <c r="H89" t="inlineStr">
        <is>
          <t>+972 72-395-0508 (sales); +972 8-683-6306 (service)</t>
        </is>
      </c>
      <c r="I89" t="inlineStr">
        <is>
          <t>info@medent.co.il</t>
        </is>
      </c>
      <c r="J89" t="inlineStr">
        <is>
          <t>110 Mordei HaGetaot St., Beer Sheva 8420643</t>
        </is>
      </c>
      <c r="K89" t="inlineStr">
        <is>
          <t>https://www.medent.co.il/scientific.equipment/%D7%A6%D7%95%D7%A8-%D7%A7%D7%A9%D7%A8/</t>
        </is>
      </c>
      <c r="L89" t="n">
        <v>2026</v>
      </c>
      <c r="M89" t="inlineStr">
        <is>
          <t>עדכני</t>
        </is>
      </c>
      <c r="N89" t="inlineStr">
        <is>
          <t>prior_research</t>
        </is>
      </c>
      <c r="P89" t="inlineStr">
        <is>
          <t>https://medent.co.il/scientific.equipment/product/%D7%A1%D7%A4%D7%A7%D7%98%D7%A8%D7%95%D7%A4%D7%95%D7%98%D7%95%D7%9E%D7%98%D7%A8-uvvis-%D7%9E%D7%A2%D7%91%D7%93%D7%AA%D7%99-%D7%93%D7%92%D7%9D-6305-%D7%AA%D7%95%D7%A6%D7%A8%D7%AA-jenway/</t>
        </is>
      </c>
    </row>
    <row r="90">
      <c r="A90" t="n">
        <v>696</v>
      </c>
      <c r="B90" t="inlineStr">
        <is>
          <t>JEOL USA</t>
        </is>
      </c>
      <c r="C90" t="inlineStr">
        <is>
          <t>Bargal Analytical Instruments Ltd.</t>
        </is>
      </c>
      <c r="D90" t="inlineStr">
        <is>
          <t>ברגל ציוד אנליטי</t>
        </is>
      </c>
      <c r="E90" t="inlineStr">
        <is>
          <t>מפיץ</t>
        </is>
      </c>
      <c r="F90"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90" t="inlineStr">
        <is>
          <t>https://bargal.co.il</t>
        </is>
      </c>
      <c r="H90" t="inlineStr">
        <is>
          <t>+972-3-979-6533</t>
        </is>
      </c>
      <c r="I90" t="inlineStr">
        <is>
          <t>sales@bargal.co.il</t>
        </is>
      </c>
      <c r="J90" t="inlineStr">
        <is>
          <t>10 Shaked Street, Modi'in Industrial Park, Shoham 6085102</t>
        </is>
      </c>
      <c r="K90" t="inlineStr"/>
      <c r="L90" t="n">
        <v>2026</v>
      </c>
      <c r="M90" t="inlineStr">
        <is>
          <t>עדכני</t>
        </is>
      </c>
      <c r="N90" t="inlineStr">
        <is>
          <t>prior_research</t>
        </is>
      </c>
      <c r="P90" t="inlineStr">
        <is>
          <t>https://bargal.co.il/product/scanning-electron-microscope-sem-jsm-it210/</t>
        </is>
      </c>
    </row>
    <row r="91">
      <c r="A91" t="n">
        <v>700</v>
      </c>
      <c r="B91" t="inlineStr">
        <is>
          <t>Julabo</t>
        </is>
      </c>
      <c r="C91" t="inlineStr">
        <is>
          <t>Labotal Scientific Equipment Ltd.</t>
        </is>
      </c>
      <c r="D91" t="inlineStr">
        <is>
          <t>לבוטל ציוד מדעי</t>
        </is>
      </c>
      <c r="E91" t="inlineStr">
        <is>
          <t>מפיץ</t>
        </is>
      </c>
      <c r="F91" t="inlineStr">
        <is>
          <t>JULABO circulators, chillers and baths - Julabo listed on Labotal's live 'Represented Firms' page; Labotal's product pages state it is JULABO's exclusive representative in Israel</t>
        </is>
      </c>
      <c r="G91" t="inlineStr">
        <is>
          <t>https://labotal.co.il</t>
        </is>
      </c>
      <c r="H91" t="inlineStr">
        <is>
          <t>+972 2-579-9222</t>
        </is>
      </c>
      <c r="I91" t="inlineStr">
        <is>
          <t>Sales@labotal.co.il</t>
        </is>
      </c>
      <c r="J91" t="inlineStr">
        <is>
          <t>Hashalom Rd., Abu Ghosh 9084500 (mail: Mevaseret Zion)</t>
        </is>
      </c>
      <c r="K91" t="inlineStr">
        <is>
          <t>https://labotal.co.il/contact/</t>
        </is>
      </c>
      <c r="L91" t="n">
        <v>2026</v>
      </c>
      <c r="M91" t="inlineStr">
        <is>
          <t>עדכני</t>
        </is>
      </c>
      <c r="N91" t="inlineStr">
        <is>
          <t>prior_research</t>
        </is>
      </c>
      <c r="P91" t="inlineStr">
        <is>
          <t>https://labotal.co.il/firms/?lang=en</t>
        </is>
      </c>
    </row>
    <row r="92">
      <c r="A92" t="n">
        <v>720</v>
      </c>
      <c r="B92" t="inlineStr">
        <is>
          <t>Kimble</t>
        </is>
      </c>
      <c r="C92" t="inlineStr">
        <is>
          <t>Danyel Biotech Ltd. (Gamida for Life group)</t>
        </is>
      </c>
      <c r="D92" t="inlineStr">
        <is>
          <t>דניאל ביוטק</t>
        </is>
      </c>
      <c r="E92" t="inlineStr">
        <is>
          <t>מפיץ</t>
        </is>
      </c>
      <c r="F92"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92" t="inlineStr">
        <is>
          <t>https://www.danyel.co.il</t>
        </is>
      </c>
      <c r="H92" t="inlineStr">
        <is>
          <t>1-800-711-911 (also +972 8-936-6066)</t>
        </is>
      </c>
      <c r="I92" t="inlineStr"/>
      <c r="J92" t="inlineStr">
        <is>
          <t>8 Hamada St., Science Park, Rehovot 7670308</t>
        </is>
      </c>
      <c r="K92" t="inlineStr">
        <is>
          <t>https://www.danyel.co.il/contact-us/</t>
        </is>
      </c>
      <c r="L92" t="n">
        <v>2026</v>
      </c>
      <c r="M92" t="inlineStr">
        <is>
          <t>עדכני</t>
        </is>
      </c>
      <c r="N92" t="inlineStr">
        <is>
          <t>prior_research</t>
        </is>
      </c>
      <c r="P92" t="inlineStr">
        <is>
          <t>https://www.danyel.co.il/scilabware/</t>
        </is>
      </c>
    </row>
    <row r="93">
      <c r="A93" t="n">
        <v>739</v>
      </c>
      <c r="B93" t="inlineStr">
        <is>
          <t>Labconco</t>
        </is>
      </c>
      <c r="C93" t="inlineStr">
        <is>
          <t>Labotal Scientific Equipment Ltd.</t>
        </is>
      </c>
      <c r="D93" t="inlineStr">
        <is>
          <t>לבוטל ציוד מדעי</t>
        </is>
      </c>
      <c r="E93" t="inlineStr">
        <is>
          <t>מפיץ</t>
        </is>
      </c>
      <c r="F93" t="inlineStr">
        <is>
          <t>Labconco biosafety cabinets, CentriVap concentrators and drying systems - Labconco listed on Labotal's live 'Represented Firms' page and in its drying-systems category</t>
        </is>
      </c>
      <c r="G93" t="inlineStr">
        <is>
          <t>https://labotal.co.il</t>
        </is>
      </c>
      <c r="H93" t="inlineStr">
        <is>
          <t>+972 2-579-9222</t>
        </is>
      </c>
      <c r="I93" t="inlineStr">
        <is>
          <t>Sales@labotal.co.il</t>
        </is>
      </c>
      <c r="J93" t="inlineStr">
        <is>
          <t>Hashalom Rd., Abu Ghosh 9084500 (mail: Mevaseret Zion)</t>
        </is>
      </c>
      <c r="K93" t="inlineStr">
        <is>
          <t>https://labotal.co.il/contact/</t>
        </is>
      </c>
      <c r="L93" t="n">
        <v>2026</v>
      </c>
      <c r="M93" t="inlineStr">
        <is>
          <t>עדכני</t>
        </is>
      </c>
      <c r="N93" t="inlineStr">
        <is>
          <t>prior_research</t>
        </is>
      </c>
      <c r="P93" t="inlineStr">
        <is>
          <t>https://labotal.co.il/firms/?lang=en</t>
        </is>
      </c>
    </row>
    <row r="94">
      <c r="A94" t="n">
        <v>751</v>
      </c>
      <c r="B94" t="inlineStr">
        <is>
          <t>Lauda</t>
        </is>
      </c>
      <c r="C94" t="inlineStr">
        <is>
          <t>Medent Scientific Instruments</t>
        </is>
      </c>
      <c r="D94" t="inlineStr">
        <is>
          <t>מדנט מכשור מדעי</t>
        </is>
      </c>
      <c r="E94" t="inlineStr">
        <is>
          <t>מפיץ</t>
        </is>
      </c>
      <c r="F94" t="inlineStr">
        <is>
          <t>LAUDA laboratory baths, circulators and chillers - live Hebrew category 'LAUDA baths, circulators and chillers' (chillers sub-category) and the 'Lauda - Germany' partner page; GFL-brand water stills also listed</t>
        </is>
      </c>
      <c r="G94" t="inlineStr">
        <is>
          <t>https://www.medent.co.il</t>
        </is>
      </c>
      <c r="H94" t="inlineStr">
        <is>
          <t>+972 72-395-0508 (sales); +972 8-683-6306 (service)</t>
        </is>
      </c>
      <c r="I94" t="inlineStr">
        <is>
          <t>info@medent.co.il</t>
        </is>
      </c>
      <c r="J94" t="inlineStr">
        <is>
          <t>110 Mordei HaGetaot St., Beer Sheva 8420643</t>
        </is>
      </c>
      <c r="K94" t="inlineStr">
        <is>
          <t>https://www.medent.co.il/scientific.equipment/%D7%A6%D7%95%D7%A8-%D7%A7%D7%A9%D7%A8/</t>
        </is>
      </c>
      <c r="L94" t="n">
        <v>2026</v>
      </c>
      <c r="M94" t="inlineStr">
        <is>
          <t>עדכני</t>
        </is>
      </c>
      <c r="N94" t="inlineStr">
        <is>
          <t>prior_research</t>
        </is>
      </c>
      <c r="P94" t="inlineStr">
        <is>
          <t>https://www.medent.co.il/scientific.equipment/product-category/lauda-%D7%90%D7%9E%D7%91%D7%98%D7%99%D7%9D-%D7%A1%D7%99%D7%A8%D7%A7%D7%95%D7%9C%D7%98%D7%95%D7%A8%D7%99%D7%9D-%D7%95%D7%A6%D7%99%D7%9C%D7%A8%D7%99%D7%9D/%D7%A6%D7%99%D7%9C%D7%A8%D7%99%D7%9D/</t>
        </is>
      </c>
    </row>
    <row r="95">
      <c r="A95" t="n">
        <v>751</v>
      </c>
      <c r="B95" t="inlineStr">
        <is>
          <t>Lauda</t>
        </is>
      </c>
      <c r="C95" t="inlineStr">
        <is>
          <t>Citrine Solutions</t>
        </is>
      </c>
      <c r="D95" t="inlineStr">
        <is>
          <t>סיטרין</t>
        </is>
      </c>
      <c r="E95" t="inlineStr">
        <is>
          <t>מפיץ</t>
        </is>
      </c>
      <c r="F95" t="inlineStr">
        <is>
          <t>reseller listing LAUDA Variocool VC 1200 and Ultracool UC2 circulation chillers and an MGW MS heating circulator (new and used lab equipment dealer; authorisation not stated)</t>
        </is>
      </c>
      <c r="G95" t="inlineStr">
        <is>
          <t>https://www.citrinesolutions.co.il</t>
        </is>
      </c>
      <c r="H95" t="inlineStr"/>
      <c r="I95" t="inlineStr"/>
      <c r="J95" t="inlineStr"/>
      <c r="K95" t="inlineStr"/>
      <c r="M95" t="inlineStr">
        <is>
          <t>ראיה ישנה</t>
        </is>
      </c>
      <c r="N95" t="inlineStr">
        <is>
          <t>prior_research</t>
        </is>
      </c>
      <c r="P95" t="inlineStr">
        <is>
          <t>https://citrinesolutions.co.il/?c_id=30&amp;item_id=5&amp;module=product&amp;p_id=444</t>
        </is>
      </c>
    </row>
    <row r="96">
      <c r="A96" t="n">
        <v>751</v>
      </c>
      <c r="B96" t="inlineStr">
        <is>
          <t>Lauda</t>
        </is>
      </c>
      <c r="C96" t="inlineStr">
        <is>
          <t>Avni &amp; Son</t>
        </is>
      </c>
      <c r="D96" t="inlineStr"/>
      <c r="E96" t="inlineStr">
        <is>
          <t>מפיץ</t>
        </is>
      </c>
      <c r="F96"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96" t="inlineStr">
        <is>
          <t>https://avni-son.co.il</t>
        </is>
      </c>
      <c r="H96" t="inlineStr">
        <is>
          <t>+972-4-821-9989</t>
        </is>
      </c>
      <c r="I96" t="inlineStr">
        <is>
          <t>info@avni-son.co.il</t>
        </is>
      </c>
      <c r="J96" t="inlineStr">
        <is>
          <t>101 Bar Yehuda Rd. (דרך בר יהודה 101), Nesher</t>
        </is>
      </c>
      <c r="K96" t="inlineStr">
        <is>
          <t>https://avni-son.co.il/%D7%A6%D7%A8%D7%95-%D7%A7%D7%A9%D7%A8/</t>
        </is>
      </c>
      <c r="L96" t="n">
        <v>2026</v>
      </c>
      <c r="M96" t="inlineStr">
        <is>
          <t>עדכני</t>
        </is>
      </c>
      <c r="N96" t="inlineStr">
        <is>
          <t>prior_research</t>
        </is>
      </c>
      <c r="P96" t="inlineStr">
        <is>
          <t>https://www.lauda.de/us/warranty-conditions/participants</t>
        </is>
      </c>
    </row>
    <row r="97">
      <c r="A97" t="n">
        <v>757</v>
      </c>
      <c r="B97" t="inlineStr">
        <is>
          <t>Leica</t>
        </is>
      </c>
      <c r="C97" t="inlineStr">
        <is>
          <t>Lapidot Group (Ophthalmic Surgery Unit)</t>
        </is>
      </c>
      <c r="D97" t="inlineStr"/>
      <c r="E97" t="inlineStr">
        <is>
          <t>מפיץ</t>
        </is>
      </c>
      <c r="F97" t="inlineStr">
        <is>
          <t>Leica surgical microscopes (ophthalmology, neurosurgery, ENT, plastic surgery; floor- and ceiling-mounted) - Leica Microsystems medical division; live Lapidot partners and eye-surgery pages</t>
        </is>
      </c>
      <c r="G97" t="inlineStr">
        <is>
          <t>https://www.lapidot.com</t>
        </is>
      </c>
      <c r="H97" t="inlineStr">
        <is>
          <t>+972-4-6309630 / +972-74-7797836</t>
        </is>
      </c>
      <c r="I97" t="inlineStr">
        <is>
          <t>customerservice@lapidot.com</t>
        </is>
      </c>
      <c r="J97" t="inlineStr">
        <is>
          <t>8 Hashita St., P.O. Box 3552, Caesarea Industrial Park 3088900</t>
        </is>
      </c>
      <c r="K97" t="inlineStr"/>
      <c r="L97" t="n">
        <v>2026</v>
      </c>
      <c r="M97" t="inlineStr">
        <is>
          <t>עדכני</t>
        </is>
      </c>
      <c r="N97" t="inlineStr">
        <is>
          <t>prior_research</t>
        </is>
      </c>
      <c r="P97" t="inlineStr">
        <is>
          <t>https://www.lapidot.com/en/partners/</t>
        </is>
      </c>
    </row>
    <row r="98">
      <c r="A98" t="n">
        <v>757</v>
      </c>
      <c r="B98" t="inlineStr">
        <is>
          <t>Leica</t>
        </is>
      </c>
      <c r="C98" t="inlineStr">
        <is>
          <t>Rhenium Ltd.</t>
        </is>
      </c>
      <c r="D98" t="inlineStr"/>
      <c r="E98" t="inlineStr">
        <is>
          <t>מפיץ</t>
        </is>
      </c>
      <c r="F98" t="inlineStr">
        <is>
          <t>research microscopes — per a 2009 Israel Physical Society trade-fair listing only (exclusive representative then); NOT re-confirmed in 2026</t>
        </is>
      </c>
      <c r="G98" t="inlineStr">
        <is>
          <t>https://www.rhenium.co.il</t>
        </is>
      </c>
      <c r="H98" t="inlineStr">
        <is>
          <t>+972 8-955-8888</t>
        </is>
      </c>
      <c r="I98" t="inlineStr"/>
      <c r="J98" t="inlineStr">
        <is>
          <t>20 Hasatat St., P.O. Box 180, Modi'in 7171101</t>
        </is>
      </c>
      <c r="K98" t="inlineStr"/>
      <c r="L98" t="n">
        <v>2009</v>
      </c>
      <c r="M98" t="inlineStr">
        <is>
          <t>ראיה ישנה</t>
        </is>
      </c>
      <c r="N98" t="inlineStr">
        <is>
          <t>prior_research</t>
        </is>
      </c>
      <c r="P98" t="inlineStr">
        <is>
          <t>https://archive.israelphysicalsociety.org/ips-conference-2009/fairs/rhenium-ltd.html</t>
        </is>
      </c>
    </row>
    <row r="99">
      <c r="A99" t="n">
        <v>776</v>
      </c>
      <c r="B99" t="inlineStr">
        <is>
          <t>List Biological Laboratories</t>
        </is>
      </c>
      <c r="C99" t="inlineStr">
        <is>
          <t>distributor of Recombinant Proteins, Antibodies, Cell Line, ELISA Kit</t>
        </is>
      </c>
      <c r="D99" t="inlineStr">
        <is>
          <t>דורון סיינטיפיק</t>
        </is>
      </c>
      <c r="E99" t="inlineStr">
        <is>
          <t>מפיץ</t>
        </is>
      </c>
      <c r="F99" t="inlineStr">
        <is>
          <t>listed as a brand on the distributor's site</t>
        </is>
      </c>
      <c r="G99" t="inlineStr">
        <is>
          <t>https://www.doronscientific.com/</t>
        </is>
      </c>
      <c r="H99" t="inlineStr">
        <is>
          <t>054-5544004</t>
        </is>
      </c>
      <c r="I99" t="inlineStr">
        <is>
          <t>info@doronscientific.com</t>
        </is>
      </c>
      <c r="L99" t="n">
        <v>2026</v>
      </c>
      <c r="M99" t="inlineStr">
        <is>
          <t>עדכני</t>
        </is>
      </c>
      <c r="N99" t="inlineStr">
        <is>
          <t>distributor_site_sweep</t>
        </is>
      </c>
      <c r="O99" t="inlineStr">
        <is>
          <t>exact</t>
        </is>
      </c>
      <c r="P99" t="inlineStr">
        <is>
          <t>https://doronscientific.com/products/</t>
        </is>
      </c>
    </row>
    <row r="100">
      <c r="A100" t="n">
        <v>786</v>
      </c>
      <c r="B100" t="inlineStr">
        <is>
          <t>Lonza</t>
        </is>
      </c>
      <c r="C100" t="inlineStr">
        <is>
          <t>Ornat BioChemicals &amp; Lab Equipment Ltd.</t>
        </is>
      </c>
      <c r="D100" t="inlineStr">
        <is>
          <t>אורנת</t>
        </is>
      </c>
      <c r="E100" t="inlineStr">
        <is>
          <t>מפיץ</t>
        </is>
      </c>
      <c r="F100" t="inlineStr">
        <is>
          <t>Listed as Ornat partner brand on the FISEB (Federation of Israeli Societies for Experimental Biology) vendors page; undated</t>
        </is>
      </c>
      <c r="G100" t="inlineStr">
        <is>
          <t>https://www.ornat.co.il</t>
        </is>
      </c>
      <c r="M100" t="inlineStr">
        <is>
          <t>עדכני</t>
        </is>
      </c>
      <c r="N100" t="inlineStr">
        <is>
          <t>manufacturer_or_press</t>
        </is>
      </c>
      <c r="P100" t="inlineStr">
        <is>
          <t>https://www.fiseb.org/vendors/</t>
        </is>
      </c>
    </row>
    <row r="101">
      <c r="A101" t="n">
        <v>798</v>
      </c>
      <c r="B101" t="inlineStr">
        <is>
          <t>Macherey Nagel</t>
        </is>
      </c>
      <c r="C101" t="inlineStr">
        <is>
          <t>Ornat BioChemicals &amp; Lab Equipment Ltd.</t>
        </is>
      </c>
      <c r="D101" t="inlineStr">
        <is>
          <t>אורנת</t>
        </is>
      </c>
      <c r="E101" t="inlineStr">
        <is>
          <t>מפיץ</t>
        </is>
      </c>
      <c r="F101" t="inlineStr">
        <is>
          <t>Listed as Ornat partner brand on the FISEB (Federation of Israeli Societies for Experimental Biology) vendors page; undated</t>
        </is>
      </c>
      <c r="G101" t="inlineStr">
        <is>
          <t>https://www.ornat.co.il</t>
        </is>
      </c>
      <c r="M101" t="inlineStr">
        <is>
          <t>עדכני</t>
        </is>
      </c>
      <c r="N101" t="inlineStr">
        <is>
          <t>manufacturer_or_press</t>
        </is>
      </c>
      <c r="P101" t="inlineStr">
        <is>
          <t>https://www.fiseb.org/vendors/</t>
        </is>
      </c>
    </row>
    <row r="102">
      <c r="A102" t="n">
        <v>827</v>
      </c>
      <c r="B102" t="inlineStr">
        <is>
          <t>MedKoo Biosciences</t>
        </is>
      </c>
      <c r="C102" t="inlineStr">
        <is>
          <t>distributor of Recombinant Proteins, Antibodies, Cell Line, ELISA Kit</t>
        </is>
      </c>
      <c r="D102" t="inlineStr">
        <is>
          <t>דורון סיינטיפיק</t>
        </is>
      </c>
      <c r="E102" t="inlineStr">
        <is>
          <t>מפיץ</t>
        </is>
      </c>
      <c r="F102" t="inlineStr">
        <is>
          <t>listed as a brand on the distributor's site</t>
        </is>
      </c>
      <c r="G102" t="inlineStr">
        <is>
          <t>https://www.doronscientific.com/</t>
        </is>
      </c>
      <c r="H102" t="inlineStr">
        <is>
          <t>054-5544004</t>
        </is>
      </c>
      <c r="I102" t="inlineStr">
        <is>
          <t>info@doronscientific.com</t>
        </is>
      </c>
      <c r="L102" t="n">
        <v>2026</v>
      </c>
      <c r="M102" t="inlineStr">
        <is>
          <t>עדכני</t>
        </is>
      </c>
      <c r="N102" t="inlineStr">
        <is>
          <t>distributor_site_sweep</t>
        </is>
      </c>
      <c r="O102" t="inlineStr">
        <is>
          <t>exact</t>
        </is>
      </c>
      <c r="P102" t="inlineStr">
        <is>
          <t>https://doronscientific.com/products/</t>
        </is>
      </c>
    </row>
    <row r="103">
      <c r="A103" t="n">
        <v>832</v>
      </c>
      <c r="B103" t="inlineStr">
        <is>
          <t>Memmert</t>
        </is>
      </c>
      <c r="C103" t="inlineStr">
        <is>
          <t>Medent Scientific Instruments</t>
        </is>
      </c>
      <c r="D103" t="inlineStr">
        <is>
          <t>מדנט מכשור מדעי</t>
        </is>
      </c>
      <c r="E103" t="inlineStr">
        <is>
          <t>מפיץ</t>
        </is>
      </c>
      <c r="F103" t="inlineStr">
        <is>
          <t>Memmert cooled incubators (IPP110 ... IPS750; 53-749 L), CO2 incubators (INC108MED, INCO246MED), vacuum ovens (VO200/VO400/VO500 incl. cooled), drying ovens (UF450, UF750, UN750) and incubators on live Hebrew product-category pages describing the units as Memmert (Germany)</t>
        </is>
      </c>
      <c r="G103" t="inlineStr">
        <is>
          <t>https://www.medent.co.il</t>
        </is>
      </c>
      <c r="H103" t="inlineStr">
        <is>
          <t>+972 72-395-0508 (sales); +972 8-683-6306 (service)</t>
        </is>
      </c>
      <c r="I103" t="inlineStr">
        <is>
          <t>info@medent.co.il</t>
        </is>
      </c>
      <c r="J103" t="inlineStr">
        <is>
          <t>110 Mordei HaGetaot St., Beer Sheva 8420643</t>
        </is>
      </c>
      <c r="K103" t="inlineStr">
        <is>
          <t>https://www.medent.co.il/scientific.equipment/%D7%A6%D7%95%D7%A8-%D7%A7%D7%A9%D7%A8/</t>
        </is>
      </c>
      <c r="L103" t="n">
        <v>2026</v>
      </c>
      <c r="M103" t="inlineStr">
        <is>
          <t>עדכני</t>
        </is>
      </c>
      <c r="N103" t="inlineStr">
        <is>
          <t>prior_research</t>
        </is>
      </c>
      <c r="P103" t="inlineStr">
        <is>
          <t>https://www.medent.co.il/scientific.equipment/product-category/%D7%90%D7%99%D7%A0%D7%A7%D7%95%D7%91%D7%98%D7%95%D7%A8%D7%99%D7%9D/%D7%90%D7%99%D7%A0%D7%A7%D7%95%D7%91%D7%98%D7%95%D7%A8-%D7%9E%D7%A7%D7%95%D7%A8%D7%A8/</t>
        </is>
      </c>
    </row>
    <row r="104">
      <c r="A104" t="n">
        <v>835</v>
      </c>
      <c r="B104" t="inlineStr">
        <is>
          <t>Merck</t>
        </is>
      </c>
      <c r="C104" t="inlineStr">
        <is>
          <t>Sigma-Aldrich Israel Ltd. (affiliate of Merck KGaA, Darmstadt)</t>
        </is>
      </c>
      <c r="D104" t="inlineStr"/>
      <c r="E104" t="inlineStr">
        <is>
          <t>חברה-בת</t>
        </is>
      </c>
      <c r="F104" t="inlineStr">
        <is>
          <t>Merck's own Israeli entity: sales/customer contact for Israel and production sites in Rehovot (antibodies, primers, peptides; 3 Plaut St.) and Jerusalem (Har Hotzvim)</t>
        </is>
      </c>
      <c r="G104" t="inlineStr">
        <is>
          <t>https://www.sigmaaldrich.com/IL/en</t>
        </is>
      </c>
      <c r="H104" t="inlineStr">
        <is>
          <t>+972-8-9484222 / +972-8-9484100</t>
        </is>
      </c>
      <c r="I104" t="inlineStr">
        <is>
          <t>isrcustserv@merckgroup.com; isrtechserv@merckgroup.com</t>
        </is>
      </c>
      <c r="J104" t="inlineStr">
        <is>
          <t>3 Plaut St., Rehovot 7670603</t>
        </is>
      </c>
      <c r="K104" t="inlineStr">
        <is>
          <t>https://b2b.sigmaaldrich.com/collections/offices</t>
        </is>
      </c>
      <c r="M104" t="inlineStr">
        <is>
          <t>ראיה ישנה</t>
        </is>
      </c>
      <c r="N104" t="inlineStr">
        <is>
          <t>prior_research</t>
        </is>
      </c>
      <c r="P104" t="inlineStr">
        <is>
          <t>https://www.sigmaaldrich.com/US/en/collections/offices</t>
        </is>
      </c>
    </row>
    <row r="105">
      <c r="A105" t="n">
        <v>835</v>
      </c>
      <c r="B105" t="inlineStr">
        <is>
          <t>Merck</t>
        </is>
      </c>
      <c r="C105" t="inlineStr">
        <is>
          <t>Mercury Scientific &amp; Industrial Products Ltd. (Gadot group)</t>
        </is>
      </c>
      <c r="D105" t="inlineStr">
        <is>
          <t>מרקורי מוצרי מדע ותעשייה (גדות מרקורי)</t>
        </is>
      </c>
      <c r="E105" t="inlineStr">
        <is>
          <t>מפיץ</t>
        </is>
      </c>
      <c r="F105" t="inlineStr">
        <is>
          <t>Merck Milli-Q laboratory water-purification systems (IX, IQ 7000, HX, CLX, SQ2 series) - live product pages describe Mercury as Merck's exclusive Israeli distributor; Millipore filtration/MQuant lines per prior evidence</t>
        </is>
      </c>
      <c r="G105" t="inlineStr">
        <is>
          <t>https://www.mercury-ltd.co.il</t>
        </is>
      </c>
      <c r="H105" t="inlineStr">
        <is>
          <t>+972 3-938-7164</t>
        </is>
      </c>
      <c r="I105" t="inlineStr"/>
      <c r="J105" t="inlineStr">
        <is>
          <t>12 Ha'avoda St., P.O. Box 159, Rosh Ha'ayin</t>
        </is>
      </c>
      <c r="K105" t="inlineStr">
        <is>
          <t>https://eng.mercury-ltd.co.il/about_us</t>
        </is>
      </c>
      <c r="L105" t="n">
        <v>2026</v>
      </c>
      <c r="M105" t="inlineStr">
        <is>
          <t>עדכני</t>
        </is>
      </c>
      <c r="N105" t="inlineStr">
        <is>
          <t>prior_research</t>
        </is>
      </c>
      <c r="P105" t="inlineStr">
        <is>
          <t>https://eng.mercury-ltd.co.il/lab_water_purification</t>
        </is>
      </c>
    </row>
    <row r="106">
      <c r="A106" t="n">
        <v>846</v>
      </c>
      <c r="B106" t="inlineStr">
        <is>
          <t>Metrohm</t>
        </is>
      </c>
      <c r="C106" t="inlineStr">
        <is>
          <t>Israel Scientific Instruments Ltd. (ISI)</t>
        </is>
      </c>
      <c r="D106" t="inlineStr">
        <is>
          <t>ISI – ישראל מכשור מדעי</t>
        </is>
      </c>
      <c r="E106" t="inlineStr">
        <is>
          <t>מפיץ</t>
        </is>
      </c>
      <c r="F106" t="inlineStr">
        <is>
          <t>Official distributor of all Metrohm products and services in Israel from 17 July 2025 per Metrohm's own news page (ISI founded 1971 as a Varian Inc. subsidiary, led by the Steiner family since 1977); ISI website not surfaced in snippets</t>
        </is>
      </c>
      <c r="G106" t="inlineStr">
        <is>
          <t>https://www.isil.co.il</t>
        </is>
      </c>
      <c r="H106" t="inlineStr">
        <is>
          <t>+972 3-923-2202</t>
        </is>
      </c>
      <c r="I106" t="inlineStr">
        <is>
          <t>info@isil.co.il</t>
        </is>
      </c>
      <c r="J106" t="inlineStr">
        <is>
          <t>32 Shacham St., P.O. Box 7790, Petah Tikva 49170</t>
        </is>
      </c>
      <c r="K106" t="inlineStr"/>
      <c r="L106" t="n">
        <v>2025</v>
      </c>
      <c r="M106" t="inlineStr">
        <is>
          <t>עדכני</t>
        </is>
      </c>
      <c r="N106" t="inlineStr">
        <is>
          <t>prior_research</t>
        </is>
      </c>
      <c r="P106" t="inlineStr">
        <is>
          <t>https://www.metrohm.com/en/discover/news/2025/new-metrohm-distributor-in-israel.html</t>
        </is>
      </c>
    </row>
    <row r="107">
      <c r="A107" t="n">
        <v>847</v>
      </c>
      <c r="B107" t="inlineStr">
        <is>
          <t>Mettler-Toledo</t>
        </is>
      </c>
      <c r="C107" t="inlineStr">
        <is>
          <t>Agentek (1987) Ltd.</t>
        </is>
      </c>
      <c r="D107" t="inlineStr">
        <is>
          <t>אגנטק</t>
        </is>
      </c>
      <c r="E107" t="inlineStr">
        <is>
          <t>מפיץ</t>
        </is>
      </c>
      <c r="F107"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07" t="inlineStr">
        <is>
          <t>https://agentek.co.il</t>
        </is>
      </c>
      <c r="H107" t="inlineStr">
        <is>
          <t>+972 9-965-7000</t>
        </is>
      </c>
      <c r="I107" t="inlineStr"/>
      <c r="J107" t="inlineStr">
        <is>
          <t>Greenwork Yakum Business Park, Yakum 6097200</t>
        </is>
      </c>
      <c r="K107" t="inlineStr">
        <is>
          <t>https://agentek.co.il/contact/</t>
        </is>
      </c>
      <c r="L107" t="n">
        <v>2026</v>
      </c>
      <c r="M107" t="inlineStr">
        <is>
          <t>עדכני</t>
        </is>
      </c>
      <c r="N107" t="inlineStr">
        <is>
          <t>prior_research</t>
        </is>
      </c>
      <c r="P107" t="inlineStr">
        <is>
          <t>https://agentek.co.il/representative/mettler-toledo/</t>
        </is>
      </c>
    </row>
    <row r="108">
      <c r="A108" t="n">
        <v>847</v>
      </c>
      <c r="B108" t="inlineStr">
        <is>
          <t>Mettler-Toledo</t>
        </is>
      </c>
      <c r="C108" t="inlineStr">
        <is>
          <t>Modcon Systems Ltd.</t>
        </is>
      </c>
      <c r="D108" t="inlineStr"/>
      <c r="E108" t="inlineStr">
        <is>
          <t>מפיץ</t>
        </is>
      </c>
      <c r="F108" t="inlineStr">
        <is>
          <t>process analytics (Ingold sensors/transmitters); Akko, +972 4 9553955</t>
        </is>
      </c>
      <c r="G108" t="inlineStr">
        <is>
          <t>https://modcon-systems.com</t>
        </is>
      </c>
      <c r="H108" t="inlineStr">
        <is>
          <t>+972-4-9553955</t>
        </is>
      </c>
      <c r="I108" t="inlineStr"/>
      <c r="J108" t="inlineStr">
        <is>
          <t>Modcon House, M. Boronshtein St., South Akko Industrial Park, Akko 24222</t>
        </is>
      </c>
      <c r="K108" t="inlineStr"/>
      <c r="M108" t="inlineStr">
        <is>
          <t>ראיה ישנה</t>
        </is>
      </c>
      <c r="N108" t="inlineStr">
        <is>
          <t>prior_research</t>
        </is>
      </c>
      <c r="P108" t="inlineStr">
        <is>
          <t>https://www.mt.com/il/en/home.html</t>
        </is>
      </c>
    </row>
    <row r="109">
      <c r="A109" t="n">
        <v>847</v>
      </c>
      <c r="B109" t="inlineStr">
        <is>
          <t>Mettler-Toledo</t>
        </is>
      </c>
      <c r="C109" t="inlineStr">
        <is>
          <t>Dinco Ltd.</t>
        </is>
      </c>
      <c r="D109" t="inlineStr"/>
      <c r="E109" t="inlineStr">
        <is>
          <t>מפיץ</t>
        </is>
      </c>
      <c r="F109" t="inlineStr">
        <is>
          <t>product inspection (Safeline X-ray etc.); Tirat Carmel, +972 4 813 15 15</t>
        </is>
      </c>
      <c r="G109" t="inlineStr"/>
      <c r="H109" t="inlineStr"/>
      <c r="I109" t="inlineStr"/>
      <c r="J109" t="inlineStr"/>
      <c r="K109" t="inlineStr"/>
      <c r="M109" t="inlineStr">
        <is>
          <t>ראיה ישנה</t>
        </is>
      </c>
      <c r="N109" t="inlineStr">
        <is>
          <t>prior_research</t>
        </is>
      </c>
      <c r="P109" t="inlineStr">
        <is>
          <t>https://www.mt.com/il/en/home.html</t>
        </is>
      </c>
    </row>
    <row r="110">
      <c r="A110" t="n">
        <v>862</v>
      </c>
      <c r="B110" t="inlineStr">
        <is>
          <t>Miles Scientific (Analtech)</t>
        </is>
      </c>
      <c r="C110" t="inlineStr">
        <is>
          <t>Yair Technologies</t>
        </is>
      </c>
      <c r="D110" t="inlineStr">
        <is>
          <t>יאיר טכנולוגיות</t>
        </is>
      </c>
      <c r="E110" t="inlineStr">
        <is>
          <t>מפיץ</t>
        </is>
      </c>
      <c r="F110" t="inlineStr">
        <is>
          <t>listed as a brand on the distributor's site</t>
        </is>
      </c>
      <c r="G110" t="inlineStr">
        <is>
          <t>https://www.yairtech.co.il/</t>
        </is>
      </c>
      <c r="H110" t="inlineStr">
        <is>
          <t>+97288544856</t>
        </is>
      </c>
      <c r="I110" t="inlineStr">
        <is>
          <t>contact@yairtech.co.il</t>
        </is>
      </c>
      <c r="L110" t="n">
        <v>2026</v>
      </c>
      <c r="M110" t="inlineStr">
        <is>
          <t>עדכני</t>
        </is>
      </c>
      <c r="N110" t="inlineStr">
        <is>
          <t>distributor_site_sweep</t>
        </is>
      </c>
      <c r="O110" t="inlineStr">
        <is>
          <t>exact</t>
        </is>
      </c>
      <c r="P110" t="inlineStr">
        <is>
          <t>https://www.yairtech.co.il/partners/</t>
        </is>
      </c>
    </row>
    <row r="111">
      <c r="A111" t="n">
        <v>865</v>
      </c>
      <c r="B111" t="inlineStr">
        <is>
          <t>MilliporeSigma</t>
        </is>
      </c>
      <c r="C111" t="inlineStr">
        <is>
          <t>Sigma-Aldrich Israel Ltd. (affiliate of Merck KGaA, Darmstadt)</t>
        </is>
      </c>
      <c r="D111" t="inlineStr"/>
      <c r="E111" t="inlineStr">
        <is>
          <t>חברה-בת</t>
        </is>
      </c>
      <c r="F111" t="inlineStr">
        <is>
          <t>Merck's own Israeli entity: sales/customer contact for Israel and production sites in Rehovot (antibodies, primers, peptides; 3 Plaut St.) and Jerusalem (Har Hotzvim)</t>
        </is>
      </c>
      <c r="G111" t="inlineStr">
        <is>
          <t>https://www.sigmaaldrich.com/IL/en</t>
        </is>
      </c>
      <c r="H111" t="inlineStr">
        <is>
          <t>+972-8-9484222 / +972-8-9484100</t>
        </is>
      </c>
      <c r="I111" t="inlineStr">
        <is>
          <t>isrcustserv@merckgroup.com; isrtechserv@merckgroup.com</t>
        </is>
      </c>
      <c r="J111" t="inlineStr">
        <is>
          <t>3 Plaut St., Rehovot 7670603</t>
        </is>
      </c>
      <c r="K111" t="inlineStr">
        <is>
          <t>https://b2b.sigmaaldrich.com/collections/offices</t>
        </is>
      </c>
      <c r="M111" t="inlineStr">
        <is>
          <t>ראיה ישנה</t>
        </is>
      </c>
      <c r="N111" t="inlineStr">
        <is>
          <t>prior_research</t>
        </is>
      </c>
      <c r="P111" t="inlineStr">
        <is>
          <t>https://www.sigmaaldrich.com/US/en/collections/offices</t>
        </is>
      </c>
    </row>
    <row r="112">
      <c r="A112" t="n">
        <v>865</v>
      </c>
      <c r="B112" t="inlineStr">
        <is>
          <t>MilliporeSigma</t>
        </is>
      </c>
      <c r="C112" t="inlineStr">
        <is>
          <t>Mercury Scientific &amp; Industrial Products Ltd. (Gadot group)</t>
        </is>
      </c>
      <c r="D112" t="inlineStr">
        <is>
          <t>מרקורי מוצרי מדע ותעשייה (גדות מרקורי)</t>
        </is>
      </c>
      <c r="E112" t="inlineStr">
        <is>
          <t>מפיץ</t>
        </is>
      </c>
      <c r="F112" t="inlineStr">
        <is>
          <t>Merck Milli-Q laboratory water-purification systems (IX, IQ 7000, HX, CLX, SQ2 series) - live product pages describe Mercury as Merck's exclusive Israeli distributor; Millipore filtration/MQuant lines per prior evidence</t>
        </is>
      </c>
      <c r="G112" t="inlineStr">
        <is>
          <t>https://www.mercury-ltd.co.il</t>
        </is>
      </c>
      <c r="H112" t="inlineStr">
        <is>
          <t>+972 3-938-7164</t>
        </is>
      </c>
      <c r="I112" t="inlineStr"/>
      <c r="J112" t="inlineStr">
        <is>
          <t>12 Ha'avoda St., P.O. Box 159, Rosh Ha'ayin</t>
        </is>
      </c>
      <c r="K112" t="inlineStr">
        <is>
          <t>https://eng.mercury-ltd.co.il/about_us</t>
        </is>
      </c>
      <c r="L112" t="n">
        <v>2026</v>
      </c>
      <c r="M112" t="inlineStr">
        <is>
          <t>עדכני</t>
        </is>
      </c>
      <c r="N112" t="inlineStr">
        <is>
          <t>prior_research</t>
        </is>
      </c>
      <c r="P112" t="inlineStr">
        <is>
          <t>https://eng.mercury-ltd.co.il/lab_water_purification</t>
        </is>
      </c>
    </row>
    <row r="113">
      <c r="A113" t="n">
        <v>885</v>
      </c>
      <c r="B113" t="inlineStr">
        <is>
          <t>MP Biomedicals</t>
        </is>
      </c>
      <c r="C113" t="inlineStr">
        <is>
          <t>Enco Scientific Services Ltd. (Enco Diagnostics)</t>
        </is>
      </c>
      <c r="D113" t="inlineStr">
        <is>
          <t>אנקו</t>
        </is>
      </c>
      <c r="E113" t="inlineStr">
        <is>
          <t>מפיץ</t>
        </is>
      </c>
      <c r="F113" t="inlineStr">
        <is>
          <t>Enco's About page lists the brand among the international companies it distributes in Israel (antibodies/biochemicals)</t>
        </is>
      </c>
      <c r="G113" t="inlineStr">
        <is>
          <t>https://www.enco.co.il</t>
        </is>
      </c>
      <c r="L113" t="n">
        <v>2026</v>
      </c>
      <c r="M113" t="inlineStr">
        <is>
          <t>עדכני</t>
        </is>
      </c>
      <c r="N113" t="inlineStr">
        <is>
          <t>manufacturer_or_press</t>
        </is>
      </c>
      <c r="P113" t="inlineStr">
        <is>
          <t>https://www.enco.co.il/about.php</t>
        </is>
      </c>
    </row>
    <row r="114">
      <c r="A114" t="n">
        <v>888</v>
      </c>
      <c r="B114" t="inlineStr">
        <is>
          <t>MTC Bio</t>
        </is>
      </c>
      <c r="C114" t="inlineStr">
        <is>
          <t>Yair Technologies (Yair Tech)</t>
        </is>
      </c>
      <c r="D114" t="inlineStr">
        <is>
          <t>יאיר טכנולוגיות</t>
        </is>
      </c>
      <c r="E114" t="inlineStr">
        <is>
          <t>מפיץ</t>
        </is>
      </c>
      <c r="F114" t="inlineStr">
        <is>
          <t>Israeli lab-supply website carries an MTC Bio brand page describing the brand ('supplying life science research with quality consumables and liquid handling instruments'); official/exclusive status not stated and not confirmed on the manufacturer side</t>
        </is>
      </c>
      <c r="G114" t="inlineStr">
        <is>
          <t>https://www.yairtech.co.il</t>
        </is>
      </c>
      <c r="M114" t="inlineStr">
        <is>
          <t>עדכני</t>
        </is>
      </c>
      <c r="N114" t="inlineStr">
        <is>
          <t>manufacturer_or_press</t>
        </is>
      </c>
      <c r="O114" t="inlineStr">
        <is>
          <t>search</t>
        </is>
      </c>
      <c r="P114" t="inlineStr">
        <is>
          <t>https://www.yairtech.co.il/?p=3561</t>
        </is>
      </c>
    </row>
    <row r="115">
      <c r="A115" t="n">
        <v>898</v>
      </c>
      <c r="B115" t="inlineStr">
        <is>
          <t>Nabertherm</t>
        </is>
      </c>
      <c r="C115" t="inlineStr">
        <is>
          <t>Electrotherm Marketing 1978 Ltd.</t>
        </is>
      </c>
      <c r="D115" t="inlineStr">
        <is>
          <t>אלקטרוטרם</t>
        </is>
      </c>
      <c r="E115" t="inlineStr">
        <is>
          <t>מפיץ</t>
        </is>
      </c>
      <c r="F115"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115" t="inlineStr">
        <is>
          <t>https://www.electrotherm.co.il</t>
        </is>
      </c>
      <c r="H115" t="inlineStr">
        <is>
          <t>+972-77-866-0600</t>
        </is>
      </c>
      <c r="I115" t="inlineStr">
        <is>
          <t>sales@electrotherm.co.il</t>
        </is>
      </c>
      <c r="J115" t="inlineStr">
        <is>
          <t>Migdal HaEmek</t>
        </is>
      </c>
      <c r="K115" t="inlineStr"/>
      <c r="L115" t="n">
        <v>2026</v>
      </c>
      <c r="M115" t="inlineStr">
        <is>
          <t>עדכני</t>
        </is>
      </c>
      <c r="N115" t="inlineStr">
        <is>
          <t>prior_research</t>
        </is>
      </c>
      <c r="P115" t="inlineStr">
        <is>
          <t>https://nabertherm.com/en/node/594</t>
        </is>
      </c>
    </row>
    <row r="116">
      <c r="A116" t="n">
        <v>900</v>
      </c>
      <c r="B116" t="inlineStr">
        <is>
          <t>Nalgene</t>
        </is>
      </c>
      <c r="C116" t="inlineStr">
        <is>
          <t>Thermo Fisher Integrated Solutions Israel Ltd.</t>
        </is>
      </c>
      <c r="D116" t="inlineStr">
        <is>
          <t>תרמו פישר ישראל (רעננה)</t>
        </is>
      </c>
      <c r="E116" t="inlineStr">
        <is>
          <t>חברה-בת</t>
        </is>
      </c>
      <c r="F116" t="inlineStr">
        <is>
          <t>direct life-science sales &amp; field service organisation being built out 2025-26</t>
        </is>
      </c>
      <c r="G116" t="inlineStr">
        <is>
          <t>https://www.thermofisher.com</t>
        </is>
      </c>
      <c r="H116" t="inlineStr">
        <is>
          <t>+972 8-940-8618</t>
        </is>
      </c>
      <c r="I116" t="inlineStr"/>
      <c r="J116" t="inlineStr">
        <is>
          <t>5 Golda Meir St., Ness Ziona (also Airport City 1, Lod)</t>
        </is>
      </c>
      <c r="K116" t="inlineStr">
        <is>
          <t>https://www.thermofisher.com/il/en/home.html</t>
        </is>
      </c>
      <c r="M116" t="inlineStr"/>
      <c r="N116" t="inlineStr">
        <is>
          <t>prior_research</t>
        </is>
      </c>
      <c r="P116" t="inlineStr">
        <is>
          <t>https://www.thermofisher.com/il/en/home.html</t>
        </is>
      </c>
    </row>
    <row r="117">
      <c r="A117" t="n">
        <v>900</v>
      </c>
      <c r="B117" t="inlineStr">
        <is>
          <t>Nalgene</t>
        </is>
      </c>
      <c r="C117" t="inlineStr">
        <is>
          <t>Thermo Fisher Scientific Israel Ltd. (Kiryat Shmona)</t>
        </is>
      </c>
      <c r="D117" t="inlineStr">
        <is>
          <t>תרמו פישר קריית שמונה</t>
        </is>
      </c>
      <c r="E117" t="inlineStr">
        <is>
          <t>חברה-בת</t>
        </is>
      </c>
      <c r="F117" t="inlineStr">
        <is>
          <t>manufacturing / engineering site (ISO 9001/13485); not a sales channel</t>
        </is>
      </c>
      <c r="G117" t="inlineStr">
        <is>
          <t>https://www.thermofisher.com</t>
        </is>
      </c>
      <c r="H117" t="inlineStr">
        <is>
          <t>+972 8-940-8618</t>
        </is>
      </c>
      <c r="I117" t="inlineStr"/>
      <c r="J117" t="inlineStr">
        <is>
          <t>5 Golda Meir St., Ness Ziona (also Airport City 1, Lod)</t>
        </is>
      </c>
      <c r="K117" t="inlineStr">
        <is>
          <t>https://www.thermofisher.com/il/en/home.html</t>
        </is>
      </c>
      <c r="M117" t="inlineStr"/>
      <c r="N117" t="inlineStr">
        <is>
          <t>prior_research</t>
        </is>
      </c>
      <c r="P117" t="inlineStr"/>
    </row>
    <row r="118">
      <c r="A118" t="n">
        <v>900</v>
      </c>
      <c r="B118" t="inlineStr">
        <is>
          <t>Nalgene</t>
        </is>
      </c>
      <c r="C118" t="inlineStr">
        <is>
          <t>Rhenium Ltd.</t>
        </is>
      </c>
      <c r="D118" t="inlineStr">
        <is>
          <t>רניום</t>
        </is>
      </c>
      <c r="E118" t="inlineStr">
        <is>
          <t>מפיץ</t>
        </is>
      </c>
      <c r="F118"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18" t="inlineStr">
        <is>
          <t>https://www.rhenium.co.il</t>
        </is>
      </c>
      <c r="H118" t="inlineStr">
        <is>
          <t>+972 8-955-8888</t>
        </is>
      </c>
      <c r="I118" t="inlineStr"/>
      <c r="J118" t="inlineStr">
        <is>
          <t>20 Hasatat St., P.O. Box 180, Modi'in 7171101</t>
        </is>
      </c>
      <c r="K118" t="inlineStr"/>
      <c r="L118" t="n">
        <v>2026</v>
      </c>
      <c r="M118" t="inlineStr">
        <is>
          <t>עדכני</t>
        </is>
      </c>
      <c r="N118" t="inlineStr">
        <is>
          <t>prior_research</t>
        </is>
      </c>
      <c r="P118" t="inlineStr">
        <is>
          <t>https://rhenium.co.il/products/bioproduction</t>
        </is>
      </c>
    </row>
    <row r="119">
      <c r="A119" t="n">
        <v>900</v>
      </c>
      <c r="B119" t="inlineStr">
        <is>
          <t>Nalgene</t>
        </is>
      </c>
      <c r="C119" t="inlineStr">
        <is>
          <t>Gamidor Diagnostics (1984) Ltd.</t>
        </is>
      </c>
      <c r="D119" t="inlineStr">
        <is>
          <t>גמידור דיאגנוסטיקה</t>
        </is>
      </c>
      <c r="E119" t="inlineStr">
        <is>
          <t>מפיץ</t>
        </is>
      </c>
      <c r="F119"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19" t="inlineStr">
        <is>
          <t>https://www.gamidor.co.il</t>
        </is>
      </c>
      <c r="H119" t="inlineStr">
        <is>
          <t>+972-3-927-7277</t>
        </is>
      </c>
      <c r="I119" t="inlineStr">
        <is>
          <t>info@gamidor.co.il</t>
        </is>
      </c>
      <c r="J119" t="inlineStr">
        <is>
          <t>Shaham 32, Petach Tikva</t>
        </is>
      </c>
      <c r="K119" t="inlineStr"/>
      <c r="L119" t="n">
        <v>2026</v>
      </c>
      <c r="M119" t="inlineStr">
        <is>
          <t>עדכני</t>
        </is>
      </c>
      <c r="N119" t="inlineStr">
        <is>
          <t>prior_research</t>
        </is>
      </c>
      <c r="P119" t="inlineStr">
        <is>
          <t>https://gamidor.co.il/en/allergy/</t>
        </is>
      </c>
    </row>
    <row r="120">
      <c r="A120" t="n">
        <v>900</v>
      </c>
      <c r="B120" t="inlineStr">
        <is>
          <t>Nalgene</t>
        </is>
      </c>
      <c r="C120" t="inlineStr">
        <is>
          <t>Bargal Analytical Instruments Ltd.</t>
        </is>
      </c>
      <c r="D120" t="inlineStr">
        <is>
          <t>ברגל</t>
        </is>
      </c>
      <c r="E120" t="inlineStr">
        <is>
          <t>מפיץ</t>
        </is>
      </c>
      <c r="F120"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20" t="inlineStr">
        <is>
          <t>https://www.bargal.co.il</t>
        </is>
      </c>
      <c r="H120" t="inlineStr">
        <is>
          <t>+972-3-979-6533</t>
        </is>
      </c>
      <c r="I120" t="inlineStr">
        <is>
          <t>sales@bargal.co.il</t>
        </is>
      </c>
      <c r="J120" t="inlineStr">
        <is>
          <t>10 Shaked Street, Modi'in Industrial Park, Shoham 6085102</t>
        </is>
      </c>
      <c r="K120" t="inlineStr"/>
      <c r="L120" t="n">
        <v>2026</v>
      </c>
      <c r="M120" t="inlineStr">
        <is>
          <t>עדכני</t>
        </is>
      </c>
      <c r="N120" t="inlineStr">
        <is>
          <t>prior_research</t>
        </is>
      </c>
      <c r="P120" t="inlineStr">
        <is>
          <t>https://bargal.co.il/product/q-exactive-uhmr-hybrid-quadrupole-orbitrap-ms-system/</t>
        </is>
      </c>
    </row>
    <row r="121">
      <c r="A121" t="n">
        <v>900</v>
      </c>
      <c r="B121" t="inlineStr">
        <is>
          <t>Nalgene</t>
        </is>
      </c>
      <c r="C121" t="inlineStr">
        <is>
          <t>Danyel Biotech Ltd.</t>
        </is>
      </c>
      <c r="D121" t="inlineStr">
        <is>
          <t>דניאל ביוטק</t>
        </is>
      </c>
      <c r="E121" t="inlineStr">
        <is>
          <t>מפיץ</t>
        </is>
      </c>
      <c r="F121" t="inlineStr">
        <is>
          <t>Olink proteomics (a Thermo Fisher business): live Olink brand page on Danyel's site</t>
        </is>
      </c>
      <c r="G121" t="inlineStr">
        <is>
          <t>https://www.danyel.co.il</t>
        </is>
      </c>
      <c r="H121" t="inlineStr">
        <is>
          <t>1-800-711-911 (also +972 8-936-6066)</t>
        </is>
      </c>
      <c r="I121" t="inlineStr"/>
      <c r="J121" t="inlineStr">
        <is>
          <t>8 Hamada St., Science Park, Rehovot 7670308</t>
        </is>
      </c>
      <c r="K121" t="inlineStr">
        <is>
          <t>https://www.danyel.co.il/contact-us/</t>
        </is>
      </c>
      <c r="L121" t="n">
        <v>2026</v>
      </c>
      <c r="M121" t="inlineStr">
        <is>
          <t>עדכני</t>
        </is>
      </c>
      <c r="N121" t="inlineStr">
        <is>
          <t>prior_research</t>
        </is>
      </c>
      <c r="P121" t="inlineStr">
        <is>
          <t>https://www.danyel.co.il/olink/</t>
        </is>
      </c>
    </row>
    <row r="122">
      <c r="A122" t="n">
        <v>900</v>
      </c>
      <c r="B122" t="inlineStr">
        <is>
          <t>Nalgene</t>
        </is>
      </c>
      <c r="C122" t="inlineStr">
        <is>
          <t>Thermo Fisher Scientific – EM service location, Airport City</t>
        </is>
      </c>
      <c r="D122" t="inlineStr"/>
      <c r="E122" t="inlineStr">
        <is>
          <t>שירות</t>
        </is>
      </c>
      <c r="F122" t="inlineStr">
        <is>
          <t>Thermo Fisher's own Israeli sales/support organisation; thermofisher.com's Phenom desktop-SEM distributor page names 'Thermo Fisher Integrated Solutions' as the Israel contact (live page); a Thermo Fisher careers page lists jobs in Israel</t>
        </is>
      </c>
      <c r="G122" t="inlineStr">
        <is>
          <t>https://www.thermofisher.com</t>
        </is>
      </c>
      <c r="H122" t="inlineStr">
        <is>
          <t>+972 8-940-8618</t>
        </is>
      </c>
      <c r="I122" t="inlineStr"/>
      <c r="J122" t="inlineStr">
        <is>
          <t>5 Golda Meir St., Ness Ziona (also Airport City 1, Lod)</t>
        </is>
      </c>
      <c r="K122" t="inlineStr">
        <is>
          <t>https://www.thermofisher.com/il/en/home.html</t>
        </is>
      </c>
      <c r="L122" t="n">
        <v>2026</v>
      </c>
      <c r="M122" t="inlineStr">
        <is>
          <t>ראיה ישנה</t>
        </is>
      </c>
      <c r="N122" t="inlineStr">
        <is>
          <t>prior_research</t>
        </is>
      </c>
      <c r="P122" t="inlineStr">
        <is>
          <t>https://www.thermofisher.com/us/en/home/electron-microscopy/products/desktop-scanning-electron-microscopes/phenom-distributors.html</t>
        </is>
      </c>
    </row>
    <row r="123">
      <c r="A123" t="n">
        <v>900</v>
      </c>
      <c r="B123" t="inlineStr">
        <is>
          <t>Nalgene</t>
        </is>
      </c>
      <c r="C123" t="inlineStr">
        <is>
          <t>Iner-Tech Ltd. (Rehovot)</t>
        </is>
      </c>
      <c r="D123" t="inlineStr"/>
      <c r="E123" t="inlineStr">
        <is>
          <t>מפיץ</t>
        </is>
      </c>
      <c r="F123" t="inlineStr">
        <is>
          <t>Thermo Scientific portable pharma QA/QC analysers (handheld Raman/NIR material ID) - listed on thermofisher.com's distributor page for Israel</t>
        </is>
      </c>
      <c r="G123" t="inlineStr"/>
      <c r="H123" t="inlineStr"/>
      <c r="I123" t="inlineStr"/>
      <c r="J123" t="inlineStr"/>
      <c r="K123" t="inlineStr"/>
      <c r="L123" t="n">
        <v>2026</v>
      </c>
      <c r="M123" t="inlineStr">
        <is>
          <t>חדש</t>
        </is>
      </c>
      <c r="N123" t="inlineStr">
        <is>
          <t>prior_research</t>
        </is>
      </c>
      <c r="P123" t="inlineStr">
        <is>
          <t>https://www.thermofisher.com/us/en/home/industrial/spectroscopy-elemental-isotope-analysis/portable-analysis-material-id/portable-pharmaceutical-qa-qc-manufacturing-solutions/portable-pharma-qa-qc-manufacturing-solutions-distributors.html</t>
        </is>
      </c>
    </row>
    <row r="124">
      <c r="A124" t="n">
        <v>900</v>
      </c>
      <c r="B124" t="inlineStr">
        <is>
          <t>Nalgene</t>
        </is>
      </c>
      <c r="C124" t="inlineStr">
        <is>
          <t>R.B.M. Ltd. Control &amp; Mechanization (Hod Hasharon)</t>
        </is>
      </c>
      <c r="D124" t="inlineStr"/>
      <c r="E124" t="inlineStr">
        <is>
          <t>מפיץ</t>
        </is>
      </c>
      <c r="F124" t="inlineStr">
        <is>
          <t>Thermo Scientific Niton portable XRF / LIBS analysers - listed on thermofisher.com's authorized XRF &amp; LIBS distributor page for Israel</t>
        </is>
      </c>
      <c r="G124" t="inlineStr"/>
      <c r="H124" t="inlineStr"/>
      <c r="I124" t="inlineStr"/>
      <c r="J124" t="inlineStr"/>
      <c r="K124" t="inlineStr"/>
      <c r="L124" t="n">
        <v>2026</v>
      </c>
      <c r="M124" t="inlineStr">
        <is>
          <t>חדש</t>
        </is>
      </c>
      <c r="N124" t="inlineStr">
        <is>
          <t>prior_research</t>
        </is>
      </c>
      <c r="P124" t="inlineStr">
        <is>
          <t>https://www.thermofisher.com/us/en/home/industrial/spectroscopy-elemental-isotope-analysis/portable-analysis-material-id/portable-analysis-for-material-id-distributors.html</t>
        </is>
      </c>
    </row>
    <row r="125">
      <c r="A125" t="n">
        <v>900</v>
      </c>
      <c r="B125" t="inlineStr">
        <is>
          <t>Nalgene</t>
        </is>
      </c>
      <c r="C125" t="inlineStr">
        <is>
          <t>Madid Industrial Controls Ltd.</t>
        </is>
      </c>
      <c r="D125" t="inlineStr"/>
      <c r="E125" t="inlineStr">
        <is>
          <t>מפיץ</t>
        </is>
      </c>
      <c r="F125" t="inlineStr">
        <is>
          <t>Thermo Scientific dataTaker data loggers (industrial data acquisition) - listed on thermofisher.com's dataTaker distributor page for Israel</t>
        </is>
      </c>
      <c r="G125" t="inlineStr"/>
      <c r="H125" t="inlineStr"/>
      <c r="I125" t="inlineStr"/>
      <c r="J125" t="inlineStr"/>
      <c r="K125" t="inlineStr"/>
      <c r="L125" t="n">
        <v>2026</v>
      </c>
      <c r="M125" t="inlineStr">
        <is>
          <t>חדש</t>
        </is>
      </c>
      <c r="N125" t="inlineStr">
        <is>
          <t>prior_research</t>
        </is>
      </c>
      <c r="P125" t="inlineStr">
        <is>
          <t>https://www.thermofisher.com/us/en/home/industrial/manufacturing-processing/data-acquisition/datataker-distributors.html</t>
        </is>
      </c>
    </row>
    <row r="126">
      <c r="A126" t="n">
        <v>915</v>
      </c>
      <c r="B126" t="inlineStr">
        <is>
          <t>New England Biolabs (NEB)</t>
        </is>
      </c>
      <c r="C126" t="inlineStr">
        <is>
          <t>Ornat BioChemicals &amp; Lab Equipment Ltd.</t>
        </is>
      </c>
      <c r="D126" t="inlineStr">
        <is>
          <t>אורנת</t>
        </is>
      </c>
      <c r="E126" t="inlineStr">
        <is>
          <t>מפיץ</t>
        </is>
      </c>
      <c r="F126" t="inlineStr">
        <is>
          <t>New England Biolabs reagents - live Ornat product pages for NEB molecular biology, nucleic-acid purification, NGS and RNA products, plus Ornat's partners page</t>
        </is>
      </c>
      <c r="G126" t="inlineStr">
        <is>
          <t>https://www.ornat.co.il</t>
        </is>
      </c>
      <c r="H126" t="inlineStr">
        <is>
          <t>+972-8-9477077</t>
        </is>
      </c>
      <c r="I126" t="inlineStr">
        <is>
          <t>ornatbio@ornat.co.il</t>
        </is>
      </c>
      <c r="J126" t="inlineStr">
        <is>
          <t>19 Horvitz Eli St., Rehovot 7608802</t>
        </is>
      </c>
      <c r="K126" t="inlineStr"/>
      <c r="L126" t="n">
        <v>2026</v>
      </c>
      <c r="M126" t="inlineStr">
        <is>
          <t>עדכני</t>
        </is>
      </c>
      <c r="N126" t="inlineStr">
        <is>
          <t>prior_research</t>
        </is>
      </c>
      <c r="P126" t="inlineStr">
        <is>
          <t>https://ornat.co.il/product/new-england-biolabs-neb-molecular-biology/</t>
        </is>
      </c>
    </row>
    <row r="127">
      <c r="A127" t="n">
        <v>924</v>
      </c>
      <c r="B127" t="inlineStr">
        <is>
          <t>Nikon</t>
        </is>
      </c>
      <c r="C127" t="inlineStr">
        <is>
          <t>Agentek Ltd.</t>
        </is>
      </c>
      <c r="D127" t="inlineStr">
        <is>
          <t>אגנטק</t>
        </is>
      </c>
      <c r="E127" t="inlineStr">
        <is>
          <t>מפיץ</t>
        </is>
      </c>
      <c r="F127"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127" t="inlineStr">
        <is>
          <t>https://agentek.co.il</t>
        </is>
      </c>
      <c r="H127" t="inlineStr">
        <is>
          <t>+972 9-965-7000</t>
        </is>
      </c>
      <c r="I127" t="inlineStr"/>
      <c r="J127" t="inlineStr">
        <is>
          <t>Greenwork Yakum Business Park, Yakum 6097200</t>
        </is>
      </c>
      <c r="K127" t="inlineStr">
        <is>
          <t>https://agentek.co.il/contact/</t>
        </is>
      </c>
      <c r="L127" t="n">
        <v>2026</v>
      </c>
      <c r="M127" t="inlineStr">
        <is>
          <t>עדכני</t>
        </is>
      </c>
      <c r="N127" t="inlineStr">
        <is>
          <t>prior_research</t>
        </is>
      </c>
      <c r="P127" t="inlineStr">
        <is>
          <t>https://www.microscope.healthcare.nikon.com/en_EU/contact/service/171079</t>
        </is>
      </c>
    </row>
    <row r="128">
      <c r="A128" t="n">
        <v>935</v>
      </c>
      <c r="B128" t="inlineStr">
        <is>
          <t>Novus Biologicals</t>
        </is>
      </c>
      <c r="C128" t="inlineStr">
        <is>
          <t>Getter Bio-Med (Getter Group)</t>
        </is>
      </c>
      <c r="D128" t="inlineStr">
        <is>
          <t>גטר ביו-מד</t>
        </is>
      </c>
      <c r="E128" t="inlineStr">
        <is>
          <t>מפיץ</t>
        </is>
      </c>
      <c r="F128" t="inlineStr">
        <is>
          <t>Lunaphore (a Bio-Techne brand) spatial-biology platforms – Getter describes itself as the official Israeli representative (LinkedIn)</t>
        </is>
      </c>
      <c r="G128" t="inlineStr">
        <is>
          <t>https://www.getter.co.il</t>
        </is>
      </c>
      <c r="H128" t="inlineStr">
        <is>
          <t>+972 3-576-1555 (Getter Group switchboard)</t>
        </is>
      </c>
      <c r="I128" t="inlineStr"/>
      <c r="J128" t="inlineStr">
        <is>
          <t>7 Shimshon St., Petah Tikva 4912502</t>
        </is>
      </c>
      <c r="K128" t="inlineStr"/>
      <c r="M128" t="inlineStr">
        <is>
          <t>ראיה ישנה</t>
        </is>
      </c>
      <c r="N128" t="inlineStr">
        <is>
          <t>prior_research</t>
        </is>
      </c>
      <c r="P128" t="inlineStr">
        <is>
          <t>https://www.getter.co.il/about-en/</t>
        </is>
      </c>
    </row>
    <row r="129">
      <c r="A129" t="n">
        <v>935</v>
      </c>
      <c r="B129" t="inlineStr">
        <is>
          <t>Novus Biologicals</t>
        </is>
      </c>
      <c r="C129" t="inlineStr">
        <is>
          <t>Biotest</t>
        </is>
      </c>
      <c r="D129" t="inlineStr"/>
      <c r="E129" t="inlineStr">
        <is>
          <t>מפיץ</t>
        </is>
      </c>
      <c r="F129" t="inlineStr">
        <is>
          <t>Israeli distributor listed on Bio-Techne's Novus Biologicals distributor directory: 6 Hasadna St., P.O. Box 8006, Kfar Saba 4442405 (phone/e-mail on page); coverage of other Bio-Techne brands (R&amp;D Systems, Tocris, ProteinSimple) not confirmed</t>
        </is>
      </c>
      <c r="G129" t="inlineStr"/>
      <c r="H129" t="inlineStr"/>
      <c r="I129" t="inlineStr"/>
      <c r="J129" t="inlineStr"/>
      <c r="K129" t="inlineStr"/>
      <c r="L129" t="n">
        <v>2026</v>
      </c>
      <c r="M129" t="inlineStr">
        <is>
          <t>חדש</t>
        </is>
      </c>
      <c r="N129" t="inlineStr">
        <is>
          <t>prior_research</t>
        </is>
      </c>
      <c r="P129" t="inlineStr">
        <is>
          <t>https://www.bio-techne.com/distributors/novus</t>
        </is>
      </c>
    </row>
    <row r="130">
      <c r="A130" t="n">
        <v>938</v>
      </c>
      <c r="B130" t="inlineStr">
        <is>
          <t>NSJ Bioreagents</t>
        </is>
      </c>
      <c r="C130" t="inlineStr">
        <is>
          <t>distributor of Recombinant Proteins, Antibodies, Cell Line, ELISA Kit</t>
        </is>
      </c>
      <c r="D130" t="inlineStr">
        <is>
          <t>דורון סיינטיפיק</t>
        </is>
      </c>
      <c r="E130" t="inlineStr">
        <is>
          <t>מפיץ</t>
        </is>
      </c>
      <c r="F130" t="inlineStr">
        <is>
          <t>listed as a brand on the distributor's site</t>
        </is>
      </c>
      <c r="G130" t="inlineStr">
        <is>
          <t>https://www.doronscientific.com/</t>
        </is>
      </c>
      <c r="H130" t="inlineStr">
        <is>
          <t>054-5544004</t>
        </is>
      </c>
      <c r="I130" t="inlineStr">
        <is>
          <t>info@doronscientific.com</t>
        </is>
      </c>
      <c r="L130" t="n">
        <v>2026</v>
      </c>
      <c r="M130" t="inlineStr">
        <is>
          <t>עדכני</t>
        </is>
      </c>
      <c r="N130" t="inlineStr">
        <is>
          <t>distributor_site_sweep</t>
        </is>
      </c>
      <c r="O130" t="inlineStr">
        <is>
          <t>exact</t>
        </is>
      </c>
      <c r="P130" t="inlineStr">
        <is>
          <t>https://doronscientific.com/products/</t>
        </is>
      </c>
    </row>
    <row r="131">
      <c r="A131" t="n">
        <v>942</v>
      </c>
      <c r="B131" t="inlineStr">
        <is>
          <t>Oakton</t>
        </is>
      </c>
      <c r="C131" t="inlineStr">
        <is>
          <t>Medent Scientific Instruments</t>
        </is>
      </c>
      <c r="D131" t="inlineStr">
        <is>
          <t>מדנט מכשור מדעי</t>
        </is>
      </c>
      <c r="E131" t="inlineStr">
        <is>
          <t>מפיץ</t>
        </is>
      </c>
      <c r="F13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1" t="inlineStr">
        <is>
          <t>https://www.medent.co.il</t>
        </is>
      </c>
      <c r="H131" t="inlineStr">
        <is>
          <t>+972 72-395-0508 (sales); +972 8-683-6306 (service)</t>
        </is>
      </c>
      <c r="I131" t="inlineStr">
        <is>
          <t>info@medent.co.il</t>
        </is>
      </c>
      <c r="J131" t="inlineStr">
        <is>
          <t>110 Mordei HaGetaot St., Beer Sheva 8420643</t>
        </is>
      </c>
      <c r="K131" t="inlineStr">
        <is>
          <t>https://www.medent.co.il/scientific.equipment/%D7%A6%D7%95%D7%A8-%D7%A7%D7%A9%D7%A8/</t>
        </is>
      </c>
      <c r="L131" t="n">
        <v>2026</v>
      </c>
      <c r="M131" t="inlineStr">
        <is>
          <t>עדכני</t>
        </is>
      </c>
      <c r="N131" t="inlineStr">
        <is>
          <t>prior_research</t>
        </is>
      </c>
      <c r="P131" t="inlineStr">
        <is>
          <t>https://medent.co.il/scientific.equipment/product/%D7%A1%D7%A4%D7%A7%D7%98%D7%A8%D7%95%D7%A4%D7%95%D7%98%D7%95%D7%9E%D7%98%D7%A8-uvvis-%D7%9E%D7%A2%D7%91%D7%93%D7%AA%D7%99-%D7%93%D7%92%D7%9D-6305-%D7%AA%D7%95%D7%A6%D7%A8%D7%AA-jenway/</t>
        </is>
      </c>
    </row>
    <row r="132">
      <c r="A132" t="n">
        <v>947</v>
      </c>
      <c r="B132" t="inlineStr">
        <is>
          <t>Ohaus</t>
        </is>
      </c>
      <c r="C132" t="inlineStr">
        <is>
          <t>Labotal Scientific Equipment Ltd.</t>
        </is>
      </c>
      <c r="D132" t="inlineStr">
        <is>
          <t>לבוטל</t>
        </is>
      </c>
      <c r="E132" t="inlineStr">
        <is>
          <t>מפיץ</t>
        </is>
      </c>
      <c r="F132" t="inlineStr">
        <is>
          <t>OHAUS balances and centrifuges (e.g. FC-5515R refrigerated microcentrifuge) - Ohaus has a dedicated page in Labotal's live 'Represented Firms' archive, and Labotal's product/guide pages refer to Ohaus' 2024 acquisition of Hermle</t>
        </is>
      </c>
      <c r="G132" t="inlineStr">
        <is>
          <t>https://labotal.co.il</t>
        </is>
      </c>
      <c r="H132" t="inlineStr">
        <is>
          <t>+972 2-579-9222</t>
        </is>
      </c>
      <c r="I132" t="inlineStr">
        <is>
          <t>Sales@labotal.co.il</t>
        </is>
      </c>
      <c r="J132" t="inlineStr">
        <is>
          <t>Hashalom Rd., Abu Ghosh 9084500 (mail: Mevaseret Zion)</t>
        </is>
      </c>
      <c r="K132" t="inlineStr">
        <is>
          <t>https://labotal.co.il/contact/</t>
        </is>
      </c>
      <c r="L132" t="n">
        <v>2026</v>
      </c>
      <c r="M132" t="inlineStr">
        <is>
          <t>עדכני</t>
        </is>
      </c>
      <c r="N132" t="inlineStr">
        <is>
          <t>prior_research</t>
        </is>
      </c>
      <c r="P132" t="inlineStr">
        <is>
          <t>https://labotal.co.il/firms/ohaus/?lang=en</t>
        </is>
      </c>
    </row>
    <row r="133">
      <c r="A133" t="n">
        <v>947</v>
      </c>
      <c r="B133" t="inlineStr">
        <is>
          <t>Ohaus</t>
        </is>
      </c>
      <c r="C133" t="inlineStr">
        <is>
          <t>Yair Technologies</t>
        </is>
      </c>
      <c r="D133" t="inlineStr">
        <is>
          <t>יאיר טכנולוגיות</t>
        </is>
      </c>
      <c r="E133" t="inlineStr">
        <is>
          <t>מפיץ</t>
        </is>
      </c>
      <c r="F133" t="inlineStr">
        <is>
          <t>listed as a brand on the distributor's site</t>
        </is>
      </c>
      <c r="G133" t="inlineStr">
        <is>
          <t>https://www.yairtech.co.il/</t>
        </is>
      </c>
      <c r="H133" t="inlineStr">
        <is>
          <t>+97288544856</t>
        </is>
      </c>
      <c r="I133" t="inlineStr">
        <is>
          <t>contact@yairtech.co.il</t>
        </is>
      </c>
      <c r="L133" t="n">
        <v>2026</v>
      </c>
      <c r="M133" t="inlineStr">
        <is>
          <t>עדכני</t>
        </is>
      </c>
      <c r="N133" t="inlineStr">
        <is>
          <t>distributor_site_sweep</t>
        </is>
      </c>
      <c r="O133" t="inlineStr">
        <is>
          <t>exact</t>
        </is>
      </c>
      <c r="P133" t="inlineStr">
        <is>
          <t>https://www.yairtech.co.il/partners/</t>
        </is>
      </c>
    </row>
    <row r="134">
      <c r="A134" t="n">
        <v>965</v>
      </c>
      <c r="B134" t="inlineStr">
        <is>
          <t>Oxford Instruments America</t>
        </is>
      </c>
      <c r="C134" t="inlineStr">
        <is>
          <t>Advanced Technological Solutions Ltd. (ATSL)</t>
        </is>
      </c>
      <c r="D134" t="inlineStr"/>
      <c r="E134" t="inlineStr">
        <is>
          <t>מפיץ</t>
        </is>
      </c>
      <c r="F134" t="inlineStr">
        <is>
          <t>WITec (an Oxford Instruments company since 2021) SNOM/AFM/Raman imaging systems - appointed exclusive distributor in Israel in November 2012 (Kiryat Ata); no later confirmation found, current status unknown</t>
        </is>
      </c>
      <c r="G134" t="inlineStr"/>
      <c r="H134" t="inlineStr"/>
      <c r="I134" t="inlineStr"/>
      <c r="J134" t="inlineStr"/>
      <c r="K134" t="inlineStr"/>
      <c r="L134" t="n">
        <v>2012</v>
      </c>
      <c r="M134" t="inlineStr">
        <is>
          <t>ראיה ישנה</t>
        </is>
      </c>
      <c r="N134" t="inlineStr">
        <is>
          <t>prior_research</t>
        </is>
      </c>
      <c r="P134" t="inlineStr">
        <is>
          <t>https://www.analytica-world.com/en/news/140718/witec-appoints-new-distributor-in-israel.html</t>
        </is>
      </c>
    </row>
    <row r="135">
      <c r="A135" t="n">
        <v>965</v>
      </c>
      <c r="B135" t="inlineStr">
        <is>
          <t>Oxford Instruments America</t>
        </is>
      </c>
      <c r="C135" t="inlineStr">
        <is>
          <t>Quantum Design s.r.l. (Italy and Israel branch office, Rome) / Quantum Design Israel site</t>
        </is>
      </c>
      <c r="D135" t="inlineStr"/>
      <c r="E135" t="inlineStr">
        <is>
          <t>מפיץ</t>
        </is>
      </c>
      <c r="F135"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135" t="inlineStr">
        <is>
          <t>https://qd-europe.com/il/en</t>
        </is>
      </c>
      <c r="H135" t="inlineStr"/>
      <c r="I135" t="inlineStr"/>
      <c r="J135" t="inlineStr"/>
      <c r="K135" t="inlineStr"/>
      <c r="L135" t="n">
        <v>2026</v>
      </c>
      <c r="M135" t="inlineStr">
        <is>
          <t>חדש</t>
        </is>
      </c>
      <c r="N135" t="inlineStr">
        <is>
          <t>prior_research</t>
        </is>
      </c>
      <c r="P135" t="inlineStr">
        <is>
          <t>https://qd-europe.com/il/en/news/latest-updates/newsdetails/quantum-design-to-acquire-nanoscience-division-of-oxford-instruments--2384/</t>
        </is>
      </c>
    </row>
    <row r="136">
      <c r="A136" t="n">
        <v>967</v>
      </c>
      <c r="B136" t="inlineStr">
        <is>
          <t>OZ Biosciences</t>
        </is>
      </c>
      <c r="C136" t="inlineStr">
        <is>
          <t>Tivan Biotech</t>
        </is>
      </c>
      <c r="D136" t="inlineStr">
        <is>
          <t>טיבן ביוטק</t>
        </is>
      </c>
      <c r="E136" t="inlineStr">
        <is>
          <t>מפיץ</t>
        </is>
      </c>
      <c r="F136" t="inlineStr">
        <is>
          <t>OZ Biosciences announced Tivan Biotech as its distributor in Israel (blog post, undated)</t>
        </is>
      </c>
      <c r="G136" t="inlineStr">
        <is>
          <t>https://www.tivanbiotech.com</t>
        </is>
      </c>
      <c r="I136" t="inlineStr">
        <is>
          <t>customerservice@tivanbiotech.com</t>
        </is>
      </c>
      <c r="M136" t="inlineStr">
        <is>
          <t>עדכני</t>
        </is>
      </c>
      <c r="N136" t="inlineStr">
        <is>
          <t>manufacturer_or_press</t>
        </is>
      </c>
      <c r="P136" t="inlineStr">
        <is>
          <t>https://ozbiosciences.com/blog/welcome-to-our-new-distributor-in-israel-n6</t>
        </is>
      </c>
    </row>
    <row r="137">
      <c r="A137" t="n">
        <v>971</v>
      </c>
      <c r="B137" t="inlineStr">
        <is>
          <t>Pan biotech</t>
        </is>
      </c>
      <c r="C137" t="inlineStr">
        <is>
          <t>Yair Technologies</t>
        </is>
      </c>
      <c r="D137" t="inlineStr">
        <is>
          <t>יאיר טכנולוגיות</t>
        </is>
      </c>
      <c r="E137" t="inlineStr">
        <is>
          <t>מפיץ</t>
        </is>
      </c>
      <c r="F137" t="inlineStr">
        <is>
          <t>listed as a brand on the distributor's site</t>
        </is>
      </c>
      <c r="G137" t="inlineStr">
        <is>
          <t>https://www.yairtech.co.il/</t>
        </is>
      </c>
      <c r="H137" t="inlineStr">
        <is>
          <t>+97288544856</t>
        </is>
      </c>
      <c r="I137" t="inlineStr">
        <is>
          <t>contact@yairtech.co.il</t>
        </is>
      </c>
      <c r="L137" t="n">
        <v>2026</v>
      </c>
      <c r="M137" t="inlineStr">
        <is>
          <t>עדכני</t>
        </is>
      </c>
      <c r="N137" t="inlineStr">
        <is>
          <t>distributor_site_sweep</t>
        </is>
      </c>
      <c r="O137" t="inlineStr">
        <is>
          <t>exact</t>
        </is>
      </c>
      <c r="P137" t="inlineStr">
        <is>
          <t>https://www.yairtech.co.il/partners/</t>
        </is>
      </c>
    </row>
    <row r="138">
      <c r="A138" t="n">
        <v>985</v>
      </c>
      <c r="B138" t="inlineStr">
        <is>
          <t>PerkinElmer</t>
        </is>
      </c>
      <c r="C138" t="inlineStr">
        <is>
          <t>PerkinElmer Israel Ltd.</t>
        </is>
      </c>
      <c r="D138" t="inlineStr"/>
      <c r="E138" t="inlineStr">
        <is>
          <t>חברה-בת</t>
        </is>
      </c>
      <c r="F138" t="inlineStr">
        <is>
          <t>direct sales, service and support for analytical instruments and OneSource lab services; HaSheizaf St 4, Ra'anana 4366411, +972 3655 8777 - live perkinelmer.com office-location pages</t>
        </is>
      </c>
      <c r="G138" t="inlineStr">
        <is>
          <t>https://www.perkinelmer.com</t>
        </is>
      </c>
      <c r="H138" t="inlineStr">
        <is>
          <t>1-700-500-512</t>
        </is>
      </c>
      <c r="I138" t="inlineStr">
        <is>
          <t>cc.israel@perkinelmer.com</t>
        </is>
      </c>
      <c r="J138" t="inlineStr">
        <is>
          <t>4 HaSheizaf St., Ra'anana</t>
        </is>
      </c>
      <c r="K138" t="inlineStr"/>
      <c r="L138" t="n">
        <v>2026</v>
      </c>
      <c r="M138" t="inlineStr">
        <is>
          <t>עדכני</t>
        </is>
      </c>
      <c r="N138" t="inlineStr">
        <is>
          <t>prior_research</t>
        </is>
      </c>
      <c r="P138" t="inlineStr">
        <is>
          <t>https://www.perkinelmer.com/node/3901</t>
        </is>
      </c>
    </row>
    <row r="139">
      <c r="A139" t="n">
        <v>985</v>
      </c>
      <c r="B139" t="inlineStr">
        <is>
          <t>PerkinElmer</t>
        </is>
      </c>
      <c r="C139" t="inlineStr">
        <is>
          <t>ISI Israel Scientific Instruments Ltd.</t>
        </is>
      </c>
      <c r="D139" t="inlineStr"/>
      <c r="E139" t="inlineStr">
        <is>
          <t>מפיץ</t>
        </is>
      </c>
      <c r="F139" t="inlineStr">
        <is>
          <t>food testing / food quality products, as listed on PerkinElmer's site; Shacham St 32, Petach Tikva, +972 3-9232202 (site given as isil.co.il)</t>
        </is>
      </c>
      <c r="G139" t="inlineStr">
        <is>
          <t>https://www.isil.co.il</t>
        </is>
      </c>
      <c r="H139" t="inlineStr">
        <is>
          <t>+972-3-9232202</t>
        </is>
      </c>
      <c r="I139" t="inlineStr">
        <is>
          <t>info@isil.co.il</t>
        </is>
      </c>
      <c r="J139" t="inlineStr">
        <is>
          <t>32 Shacham St., P.O. Box 7790, Petah Tikva 49170</t>
        </is>
      </c>
      <c r="K139" t="inlineStr"/>
      <c r="M139" t="inlineStr">
        <is>
          <t>ראיה ישנה</t>
        </is>
      </c>
      <c r="N139" t="inlineStr">
        <is>
          <t>prior_research</t>
        </is>
      </c>
      <c r="P139" t="inlineStr">
        <is>
          <t>https://www.perkinelmer.com/node/10826</t>
        </is>
      </c>
    </row>
    <row r="140">
      <c r="A140" t="n">
        <v>988</v>
      </c>
      <c r="B140" t="inlineStr">
        <is>
          <t>PHC Corporation of North America</t>
        </is>
      </c>
      <c r="C140" t="inlineStr">
        <is>
          <t>Eldan Electronic Instruments</t>
        </is>
      </c>
      <c r="D140" t="inlineStr"/>
      <c r="E140" t="inlineStr">
        <is>
          <t>מפיץ</t>
        </is>
      </c>
      <c r="F140" t="inlineStr">
        <is>
          <t>PHCbi CO2/multigas incubators and biomedical/pharmaceutical freezers - Eldan's live laboratory-instruments page lists PHCbi alongside Hettich and Martin Christ</t>
        </is>
      </c>
      <c r="G140" t="inlineStr">
        <is>
          <t>https://www.eldan.biz</t>
        </is>
      </c>
      <c r="H140" t="inlineStr">
        <is>
          <t>+972-3-937-1111</t>
        </is>
      </c>
      <c r="I140" t="inlineStr">
        <is>
          <t>info@eldan.biz</t>
        </is>
      </c>
      <c r="J140" t="inlineStr">
        <is>
          <t>6 Hashiloach Street, P.O. Box 7641, Petach Tikva 49170</t>
        </is>
      </c>
      <c r="K140" t="inlineStr"/>
      <c r="L140" t="n">
        <v>2026</v>
      </c>
      <c r="M140" t="inlineStr">
        <is>
          <t>עדכני</t>
        </is>
      </c>
      <c r="N140" t="inlineStr">
        <is>
          <t>prior_research</t>
        </is>
      </c>
      <c r="P140" t="inlineStr">
        <is>
          <t>https://www.eldan.biz/laboratory-instruments/</t>
        </is>
      </c>
    </row>
    <row r="141">
      <c r="A141" t="n">
        <v>988</v>
      </c>
      <c r="B141" t="inlineStr">
        <is>
          <t>PHC Corporation of North America</t>
        </is>
      </c>
      <c r="C141" t="inlineStr">
        <is>
          <t>Lumitron Ltd.</t>
        </is>
      </c>
      <c r="D141" t="inlineStr">
        <is>
          <t>לומיטרון</t>
        </is>
      </c>
      <c r="E141" t="inlineStr">
        <is>
          <t>מפיץ</t>
        </is>
      </c>
      <c r="F141" t="inlineStr">
        <is>
          <t>PHCbi listed on Lumitron's 'Our brands' page (earlier record); this session 'PHCBI' appears only as a brand tag on Lumitron's live CO2-incubator-shaker product pages, so the relationship is re-confirmed weakly (brand mention, no PHCbi product page seen)</t>
        </is>
      </c>
      <c r="G141" t="inlineStr">
        <is>
          <t>https://www.lumitron.co.il</t>
        </is>
      </c>
      <c r="H141" t="inlineStr">
        <is>
          <t>+972 52-525-6287</t>
        </is>
      </c>
      <c r="I141" t="inlineStr"/>
      <c r="J141" t="inlineStr">
        <is>
          <t>17 Hamiflasim St., Petah Tikva</t>
        </is>
      </c>
      <c r="K141" t="inlineStr"/>
      <c r="L141" t="n">
        <v>2026</v>
      </c>
      <c r="M141" t="inlineStr">
        <is>
          <t>עדכני</t>
        </is>
      </c>
      <c r="N141" t="inlineStr">
        <is>
          <t>prior_research</t>
        </is>
      </c>
      <c r="P141" t="inlineStr">
        <is>
          <t>https://www.lumitron.co.il/our-brands-heb/?lang=en</t>
        </is>
      </c>
    </row>
    <row r="142">
      <c r="A142" t="n">
        <v>989</v>
      </c>
      <c r="B142" t="inlineStr">
        <is>
          <t>PHCBI</t>
        </is>
      </c>
      <c r="C142" t="inlineStr">
        <is>
          <t>Eldan Electronic Instruments</t>
        </is>
      </c>
      <c r="D142" t="inlineStr"/>
      <c r="E142" t="inlineStr">
        <is>
          <t>מפיץ</t>
        </is>
      </c>
      <c r="F142" t="inlineStr">
        <is>
          <t>PHCbi CO2/multigas incubators and biomedical/pharmaceutical freezers - Eldan's live laboratory-instruments page lists PHCbi alongside Hettich and Martin Christ</t>
        </is>
      </c>
      <c r="G142" t="inlineStr">
        <is>
          <t>https://www.eldan.biz</t>
        </is>
      </c>
      <c r="H142" t="inlineStr">
        <is>
          <t>+972-3-937-1111</t>
        </is>
      </c>
      <c r="I142" t="inlineStr">
        <is>
          <t>info@eldan.biz</t>
        </is>
      </c>
      <c r="J142" t="inlineStr">
        <is>
          <t>6 Hashiloach Street, P.O. Box 7641, Petach Tikva 49170</t>
        </is>
      </c>
      <c r="K142" t="inlineStr"/>
      <c r="L142" t="n">
        <v>2026</v>
      </c>
      <c r="M142" t="inlineStr">
        <is>
          <t>עדכני</t>
        </is>
      </c>
      <c r="N142" t="inlineStr">
        <is>
          <t>prior_research</t>
        </is>
      </c>
      <c r="P142" t="inlineStr">
        <is>
          <t>https://www.eldan.biz/laboratory-instruments/</t>
        </is>
      </c>
    </row>
    <row r="143">
      <c r="A143" t="n">
        <v>989</v>
      </c>
      <c r="B143" t="inlineStr">
        <is>
          <t>PHCBI</t>
        </is>
      </c>
      <c r="C143" t="inlineStr">
        <is>
          <t>Lumitron Ltd.</t>
        </is>
      </c>
      <c r="D143" t="inlineStr">
        <is>
          <t>לומיטרון</t>
        </is>
      </c>
      <c r="E143" t="inlineStr">
        <is>
          <t>מפיץ</t>
        </is>
      </c>
      <c r="F143" t="inlineStr">
        <is>
          <t>PHCbi listed on Lumitron's 'Our brands' page (earlier record); this session 'PHCBI' appears only as a brand tag on Lumitron's live CO2-incubator-shaker product pages, so the relationship is re-confirmed weakly (brand mention, no PHCbi product page seen)</t>
        </is>
      </c>
      <c r="G143" t="inlineStr">
        <is>
          <t>https://www.lumitron.co.il</t>
        </is>
      </c>
      <c r="H143" t="inlineStr">
        <is>
          <t>+972 52-525-6287</t>
        </is>
      </c>
      <c r="I143" t="inlineStr"/>
      <c r="J143" t="inlineStr">
        <is>
          <t>17 Hamiflasim St., Petah Tikva</t>
        </is>
      </c>
      <c r="K143" t="inlineStr"/>
      <c r="L143" t="n">
        <v>2026</v>
      </c>
      <c r="M143" t="inlineStr">
        <is>
          <t>עדכני</t>
        </is>
      </c>
      <c r="N143" t="inlineStr">
        <is>
          <t>prior_research</t>
        </is>
      </c>
      <c r="P143" t="inlineStr">
        <is>
          <t>https://www.lumitron.co.il/our-brands-heb/?lang=en</t>
        </is>
      </c>
    </row>
    <row r="144">
      <c r="A144" t="n">
        <v>1029</v>
      </c>
      <c r="B144" t="inlineStr">
        <is>
          <t>Promega</t>
        </is>
      </c>
      <c r="C144" t="inlineStr">
        <is>
          <t>IM Beit HaEmek (Beit HaEmek Industries)</t>
        </is>
      </c>
      <c r="D144" t="inlineStr">
        <is>
          <t>תעשיות בית העמק</t>
        </is>
      </c>
      <c r="E144" t="inlineStr">
        <is>
          <t>מפיץ</t>
        </is>
      </c>
      <c r="F144" t="inlineStr">
        <is>
          <t>Promega distributor for Israel - Kibbutz Beit Ha'Emek 2511500, bemek.co.il, per Promega's live 'Contact Promega' distributor list; IM Beit HaEmek's own site names Promega among officially distributed brands (prior round)</t>
        </is>
      </c>
      <c r="G144" t="inlineStr">
        <is>
          <t>https://www.bemek.co.il</t>
        </is>
      </c>
      <c r="H144" t="inlineStr">
        <is>
          <t>+972 4-868-9015</t>
        </is>
      </c>
      <c r="I144" t="inlineStr">
        <is>
          <t>info@bemek.co.il</t>
        </is>
      </c>
      <c r="J144" t="inlineStr">
        <is>
          <t>Kibbutz Beit HaEmek</t>
        </is>
      </c>
      <c r="K144" t="inlineStr">
        <is>
          <t>https://www.bemek.co.il/about-us/</t>
        </is>
      </c>
      <c r="L144" t="n">
        <v>2026</v>
      </c>
      <c r="M144" t="inlineStr">
        <is>
          <t>עדכני</t>
        </is>
      </c>
      <c r="N144" t="inlineStr">
        <is>
          <t>prior_research</t>
        </is>
      </c>
      <c r="P144" t="inlineStr">
        <is>
          <t>https://www.promega.com/support/contact-promega/</t>
        </is>
      </c>
    </row>
    <row r="145">
      <c r="A145" t="n">
        <v>1048</v>
      </c>
      <c r="B145" t="inlineStr">
        <is>
          <t>Qiagen</t>
        </is>
      </c>
      <c r="C145" t="inlineStr">
        <is>
          <t>Ilex Medical Ltd.</t>
        </is>
      </c>
      <c r="D145" t="inlineStr"/>
      <c r="E145" t="inlineStr">
        <is>
          <t>מפיץ</t>
        </is>
      </c>
      <c r="F145"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145" t="inlineStr">
        <is>
          <t>https://www.ilexmedical.com</t>
        </is>
      </c>
      <c r="H145" t="inlineStr">
        <is>
          <t>+972-3-9385500</t>
        </is>
      </c>
      <c r="I145" t="inlineStr"/>
      <c r="J145" t="inlineStr">
        <is>
          <t>7 HaTnufa St., Petah Tikva</t>
        </is>
      </c>
      <c r="K145" t="inlineStr"/>
      <c r="L145" t="n">
        <v>2026</v>
      </c>
      <c r="M145" t="inlineStr">
        <is>
          <t>עדכני</t>
        </is>
      </c>
      <c r="N145" t="inlineStr">
        <is>
          <t>prior_research</t>
        </is>
      </c>
      <c r="P145" t="inlineStr">
        <is>
          <t>https://www.ilexmedical.com/catalog_products/qpcr-dpcr/</t>
        </is>
      </c>
    </row>
    <row r="146">
      <c r="A146" t="n">
        <v>1048</v>
      </c>
      <c r="B146" t="inlineStr">
        <is>
          <t>Qiagen</t>
        </is>
      </c>
      <c r="C146" t="inlineStr">
        <is>
          <t>Eldan Electronic Instruments (Neopharm group)</t>
        </is>
      </c>
      <c r="D146" t="inlineStr"/>
      <c r="E146" t="inlineStr">
        <is>
          <t>מפיץ</t>
        </is>
      </c>
      <c r="F146" t="inlineStr">
        <is>
          <t>listed QIAGEN among the manufacturers it represents in Israel (life-science research) on a 2014 page and showed QIAGEN products at ISM/IIS meetings in 2015-2016; current status unconfirmed</t>
        </is>
      </c>
      <c r="G146" t="inlineStr">
        <is>
          <t>https://eldan.biz</t>
        </is>
      </c>
      <c r="H146" t="inlineStr">
        <is>
          <t>+972-3-937-1111</t>
        </is>
      </c>
      <c r="I146" t="inlineStr">
        <is>
          <t>info@eldan.biz</t>
        </is>
      </c>
      <c r="J146" t="inlineStr">
        <is>
          <t>6 Hashiloach Street, P.O. Box 7641, Petach Tikva 49170</t>
        </is>
      </c>
      <c r="K146" t="inlineStr"/>
      <c r="L146" t="n">
        <v>2014</v>
      </c>
      <c r="M146" t="inlineStr">
        <is>
          <t>ראיה ישנה</t>
        </is>
      </c>
      <c r="N146" t="inlineStr">
        <is>
          <t>prior_research</t>
        </is>
      </c>
      <c r="P146" t="inlineStr">
        <is>
          <t>https://eldan.biz/?p=1052</t>
        </is>
      </c>
    </row>
    <row r="147">
      <c r="A147" t="n">
        <v>1048</v>
      </c>
      <c r="B147" t="inlineStr">
        <is>
          <t>Qiagen</t>
        </is>
      </c>
      <c r="C147" t="inlineStr">
        <is>
          <t>Lifegene Ltd.</t>
        </is>
      </c>
      <c r="D147" t="inlineStr">
        <is>
          <t>לייפג'ין</t>
        </is>
      </c>
      <c r="E147" t="inlineStr">
        <is>
          <t>מפיץ</t>
        </is>
      </c>
      <c r="F147" t="inlineStr">
        <is>
          <t>https://www.lifegene.co.il</t>
        </is>
      </c>
      <c r="G147" t="inlineStr">
        <is>
          <t>QIAGEN enzymes / OEM reagents sold through the Lifegene catalogue (not the QIAGEN instrument line)</t>
        </is>
      </c>
      <c r="H147" t="inlineStr">
        <is>
          <t>+972 8-644-4314</t>
        </is>
      </c>
      <c r="I147" t="inlineStr">
        <is>
          <t>info@lifegene.co.il</t>
        </is>
      </c>
      <c r="J147" t="inlineStr">
        <is>
          <t>4 Ha'maayan St., Modi'in 7171101 (directory lists Modi'in; other sources say Mevo Horon – verify)</t>
        </is>
      </c>
      <c r="K147" t="inlineStr"/>
      <c r="M147" t="inlineStr">
        <is>
          <t>ראיה ישנה</t>
        </is>
      </c>
      <c r="N147" t="inlineStr">
        <is>
          <t>prior_research</t>
        </is>
      </c>
      <c r="P147" t="inlineStr">
        <is>
          <t>https://www.lifegene.co.il/page_30153</t>
        </is>
      </c>
    </row>
    <row r="148">
      <c r="A148" t="n">
        <v>1060</v>
      </c>
      <c r="B148" t="inlineStr">
        <is>
          <t>R&amp;D Systems</t>
        </is>
      </c>
      <c r="C148" t="inlineStr">
        <is>
          <t>Getter Bio-Med (Getter Group)</t>
        </is>
      </c>
      <c r="D148" t="inlineStr">
        <is>
          <t>גטר ביו-מד</t>
        </is>
      </c>
      <c r="E148" t="inlineStr">
        <is>
          <t>מפיץ</t>
        </is>
      </c>
      <c r="F148" t="inlineStr">
        <is>
          <t>Lunaphore (a Bio-Techne brand) spatial-biology platforms – Getter describes itself as the official Israeli representative (LinkedIn)</t>
        </is>
      </c>
      <c r="G148" t="inlineStr">
        <is>
          <t>https://www.getter.co.il</t>
        </is>
      </c>
      <c r="H148" t="inlineStr">
        <is>
          <t>+972 3-576-1555 (Getter Group switchboard)</t>
        </is>
      </c>
      <c r="I148" t="inlineStr"/>
      <c r="J148" t="inlineStr">
        <is>
          <t>7 Shimshon St., Petah Tikva 4912502</t>
        </is>
      </c>
      <c r="K148" t="inlineStr"/>
      <c r="M148" t="inlineStr">
        <is>
          <t>ראיה ישנה</t>
        </is>
      </c>
      <c r="N148" t="inlineStr">
        <is>
          <t>prior_research</t>
        </is>
      </c>
      <c r="P148" t="inlineStr">
        <is>
          <t>https://www.getter.co.il/about-en/</t>
        </is>
      </c>
    </row>
    <row r="149">
      <c r="A149" t="n">
        <v>1060</v>
      </c>
      <c r="B149" t="inlineStr">
        <is>
          <t>R&amp;D Systems</t>
        </is>
      </c>
      <c r="C149" t="inlineStr">
        <is>
          <t>Biotest</t>
        </is>
      </c>
      <c r="D149" t="inlineStr"/>
      <c r="E149" t="inlineStr">
        <is>
          <t>מפיץ</t>
        </is>
      </c>
      <c r="F149" t="inlineStr">
        <is>
          <t>Israeli distributor listed on Bio-Techne's Novus Biologicals distributor directory: 6 Hasadna St., P.O. Box 8006, Kfar Saba 4442405 (phone/e-mail on page); coverage of other Bio-Techne brands (R&amp;D Systems, Tocris, ProteinSimple) not confirmed</t>
        </is>
      </c>
      <c r="G149" t="inlineStr"/>
      <c r="H149" t="inlineStr"/>
      <c r="I149" t="inlineStr"/>
      <c r="J149" t="inlineStr"/>
      <c r="K149" t="inlineStr"/>
      <c r="L149" t="n">
        <v>2026</v>
      </c>
      <c r="M149" t="inlineStr">
        <is>
          <t>חדש</t>
        </is>
      </c>
      <c r="N149" t="inlineStr">
        <is>
          <t>prior_research</t>
        </is>
      </c>
      <c r="P149" t="inlineStr">
        <is>
          <t>https://www.bio-techne.com/distributors/novus</t>
        </is>
      </c>
    </row>
    <row r="150">
      <c r="A150" t="n">
        <v>1064</v>
      </c>
      <c r="B150" t="inlineStr">
        <is>
          <t>Rainin</t>
        </is>
      </c>
      <c r="C150" t="inlineStr">
        <is>
          <t>Agentek (1987) Ltd.</t>
        </is>
      </c>
      <c r="D150" t="inlineStr">
        <is>
          <t>אגנטק</t>
        </is>
      </c>
      <c r="E150" t="inlineStr">
        <is>
          <t>מפיץ</t>
        </is>
      </c>
      <c r="F150"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50" t="inlineStr">
        <is>
          <t>https://agentek.co.il</t>
        </is>
      </c>
      <c r="H150" t="inlineStr">
        <is>
          <t>+972 9-965-7000</t>
        </is>
      </c>
      <c r="I150" t="inlineStr"/>
      <c r="J150" t="inlineStr">
        <is>
          <t>Greenwork Yakum Business Park, Yakum 6097200</t>
        </is>
      </c>
      <c r="K150" t="inlineStr">
        <is>
          <t>https://agentek.co.il/contact/</t>
        </is>
      </c>
      <c r="L150" t="n">
        <v>2026</v>
      </c>
      <c r="M150" t="inlineStr">
        <is>
          <t>עדכני</t>
        </is>
      </c>
      <c r="N150" t="inlineStr">
        <is>
          <t>prior_research</t>
        </is>
      </c>
      <c r="P150" t="inlineStr">
        <is>
          <t>https://agentek.co.il/representative/mettler-toledo/</t>
        </is>
      </c>
    </row>
    <row r="151">
      <c r="A151" t="n">
        <v>1064</v>
      </c>
      <c r="B151" t="inlineStr">
        <is>
          <t>Rainin</t>
        </is>
      </c>
      <c r="C151" t="inlineStr">
        <is>
          <t>Modcon Systems Ltd.</t>
        </is>
      </c>
      <c r="D151" t="inlineStr"/>
      <c r="E151" t="inlineStr">
        <is>
          <t>מפיץ</t>
        </is>
      </c>
      <c r="F151" t="inlineStr">
        <is>
          <t>process analytics (Ingold sensors/transmitters); Akko, +972 4 9553955</t>
        </is>
      </c>
      <c r="G151" t="inlineStr">
        <is>
          <t>https://modcon-systems.com</t>
        </is>
      </c>
      <c r="H151" t="inlineStr">
        <is>
          <t>+972-4-9553955</t>
        </is>
      </c>
      <c r="I151" t="inlineStr"/>
      <c r="J151" t="inlineStr">
        <is>
          <t>Modcon House, M. Boronshtein St., South Akko Industrial Park, Akko 24222</t>
        </is>
      </c>
      <c r="K151" t="inlineStr"/>
      <c r="M151" t="inlineStr">
        <is>
          <t>ראיה ישנה</t>
        </is>
      </c>
      <c r="N151" t="inlineStr">
        <is>
          <t>prior_research</t>
        </is>
      </c>
      <c r="P151" t="inlineStr">
        <is>
          <t>https://www.mt.com/il/en/home.html</t>
        </is>
      </c>
    </row>
    <row r="152">
      <c r="A152" t="n">
        <v>1064</v>
      </c>
      <c r="B152" t="inlineStr">
        <is>
          <t>Rainin</t>
        </is>
      </c>
      <c r="C152" t="inlineStr">
        <is>
          <t>Dinco Ltd.</t>
        </is>
      </c>
      <c r="D152" t="inlineStr"/>
      <c r="E152" t="inlineStr">
        <is>
          <t>מפיץ</t>
        </is>
      </c>
      <c r="F152" t="inlineStr">
        <is>
          <t>product inspection (Safeline X-ray etc.); Tirat Carmel, +972 4 813 15 15</t>
        </is>
      </c>
      <c r="G152" t="inlineStr"/>
      <c r="H152" t="inlineStr"/>
      <c r="I152" t="inlineStr"/>
      <c r="J152" t="inlineStr"/>
      <c r="K152" t="inlineStr"/>
      <c r="M152" t="inlineStr">
        <is>
          <t>ראיה ישנה</t>
        </is>
      </c>
      <c r="N152" t="inlineStr">
        <is>
          <t>prior_research</t>
        </is>
      </c>
      <c r="P152" t="inlineStr">
        <is>
          <t>https://www.mt.com/il/en/home.html</t>
        </is>
      </c>
    </row>
    <row r="153">
      <c r="A153" t="n">
        <v>1080</v>
      </c>
      <c r="B153" t="inlineStr">
        <is>
          <t>Retsch</t>
        </is>
      </c>
      <c r="C153" t="inlineStr">
        <is>
          <t>MRC Laboratory Equipment &amp; Instruments</t>
        </is>
      </c>
      <c r="D153" t="inlineStr">
        <is>
          <t>MRC</t>
        </is>
      </c>
      <c r="E153" t="inlineStr">
        <is>
          <t>מפיץ</t>
        </is>
      </c>
      <c r="F153"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153" t="inlineStr">
        <is>
          <t>https://www.mrclab.com</t>
        </is>
      </c>
      <c r="H153" t="inlineStr">
        <is>
          <t>+972 3-559-5252</t>
        </is>
      </c>
      <c r="I153" t="inlineStr"/>
      <c r="J153" t="inlineStr">
        <is>
          <t>3 Ha-Gavish St., Holon 5881702</t>
        </is>
      </c>
      <c r="K153" t="inlineStr"/>
      <c r="L153" t="n">
        <v>2026</v>
      </c>
      <c r="M153" t="inlineStr">
        <is>
          <t>עדכני</t>
        </is>
      </c>
      <c r="N153" t="inlineStr">
        <is>
          <t>prior_research</t>
        </is>
      </c>
      <c r="P153" t="inlineStr">
        <is>
          <t>https://www.mrclab.com/carbolite_drying_ovens_for_solvent</t>
        </is>
      </c>
    </row>
    <row r="154">
      <c r="A154" t="n">
        <v>1081</v>
      </c>
      <c r="B154" t="inlineStr">
        <is>
          <t>Revvity</t>
        </is>
      </c>
      <c r="C154" t="inlineStr">
        <is>
          <t>PerkinElmer Israel Ltd.</t>
        </is>
      </c>
      <c r="D154" t="inlineStr"/>
      <c r="E154" t="inlineStr">
        <is>
          <t>חברה-בת</t>
        </is>
      </c>
      <c r="F154" t="inlineStr">
        <is>
          <t>direct sales, service and support for analytical instruments and OneSource lab services; HaSheizaf St 4, Ra'anana 4366411, +972 3655 8777 - live perkinelmer.com office-location pages</t>
        </is>
      </c>
      <c r="G154" t="inlineStr">
        <is>
          <t>https://www.perkinelmer.com</t>
        </is>
      </c>
      <c r="H154" t="inlineStr">
        <is>
          <t>1-700-500-512</t>
        </is>
      </c>
      <c r="I154" t="inlineStr">
        <is>
          <t>cc.israel@perkinelmer.com</t>
        </is>
      </c>
      <c r="J154" t="inlineStr">
        <is>
          <t>4 HaSheizaf St., Ra'anana</t>
        </is>
      </c>
      <c r="K154" t="inlineStr"/>
      <c r="L154" t="n">
        <v>2026</v>
      </c>
      <c r="M154" t="inlineStr">
        <is>
          <t>עדכני</t>
        </is>
      </c>
      <c r="N154" t="inlineStr">
        <is>
          <t>prior_research</t>
        </is>
      </c>
      <c r="P154" t="inlineStr">
        <is>
          <t>https://www.perkinelmer.com/node/3901</t>
        </is>
      </c>
    </row>
    <row r="155">
      <c r="A155" t="n">
        <v>1081</v>
      </c>
      <c r="B155" t="inlineStr">
        <is>
          <t>Revvity</t>
        </is>
      </c>
      <c r="C155" t="inlineStr">
        <is>
          <t>ISI Israel Scientific Instruments Ltd.</t>
        </is>
      </c>
      <c r="D155" t="inlineStr"/>
      <c r="E155" t="inlineStr">
        <is>
          <t>מפיץ</t>
        </is>
      </c>
      <c r="F155" t="inlineStr">
        <is>
          <t>food testing / food quality products, as listed on PerkinElmer's site; Shacham St 32, Petach Tikva, +972 3-9232202 (site given as isil.co.il)</t>
        </is>
      </c>
      <c r="G155" t="inlineStr">
        <is>
          <t>https://www.isil.co.il</t>
        </is>
      </c>
      <c r="H155" t="inlineStr">
        <is>
          <t>+972-3-9232202</t>
        </is>
      </c>
      <c r="I155" t="inlineStr">
        <is>
          <t>info@isil.co.il</t>
        </is>
      </c>
      <c r="J155" t="inlineStr">
        <is>
          <t>32 Shacham St., P.O. Box 7790, Petah Tikva 49170</t>
        </is>
      </c>
      <c r="K155" t="inlineStr"/>
      <c r="M155" t="inlineStr">
        <is>
          <t>ראיה ישנה</t>
        </is>
      </c>
      <c r="N155" t="inlineStr">
        <is>
          <t>prior_research</t>
        </is>
      </c>
      <c r="P155" t="inlineStr">
        <is>
          <t>https://www.perkinelmer.com/node/10826</t>
        </is>
      </c>
    </row>
    <row r="156">
      <c r="A156" t="n">
        <v>1088</v>
      </c>
      <c r="B156" t="inlineStr">
        <is>
          <t>Roche</t>
        </is>
      </c>
      <c r="C156" t="inlineStr">
        <is>
          <t>Roche Pharmaceuticals (Israel) Ltd. - Diagnostics division ("Roche Diagnostics Israel")</t>
        </is>
      </c>
      <c r="D156" t="inlineStr"/>
      <c r="E156" t="inlineStr">
        <is>
          <t>חברה-בת</t>
        </is>
      </c>
      <c r="F156"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56" t="inlineStr">
        <is>
          <t>https://www.roche.co.il</t>
        </is>
      </c>
      <c r="H156" t="inlineStr">
        <is>
          <t>+972-9-9737777</t>
        </is>
      </c>
      <c r="I156" t="inlineStr"/>
      <c r="J156" t="inlineStr">
        <is>
          <t>6 Hacharash St., P.O. Box 3691, Hod Hasharon 4524079</t>
        </is>
      </c>
      <c r="K156" t="inlineStr"/>
      <c r="L156" t="n">
        <v>2026</v>
      </c>
      <c r="M156" t="inlineStr">
        <is>
          <t>עדכני</t>
        </is>
      </c>
      <c r="N156" t="inlineStr">
        <is>
          <t>prior_research</t>
        </is>
      </c>
      <c r="P156" t="inlineStr">
        <is>
          <t>https://www.roche.com/solutions/diagnostics/safety-officers</t>
        </is>
      </c>
    </row>
    <row r="157">
      <c r="A157" t="n">
        <v>1088</v>
      </c>
      <c r="B157" t="inlineStr">
        <is>
          <t>Roche</t>
        </is>
      </c>
      <c r="C157" t="inlineStr">
        <is>
          <t>Gamidor Diagnostics</t>
        </is>
      </c>
      <c r="D157" t="inlineStr">
        <is>
          <t>גאמידור דיאגנוסטיקה בע"מ</t>
        </is>
      </c>
      <c r="E157" t="inlineStr">
        <is>
          <t>מפיץ</t>
        </is>
      </c>
      <c r="F157" t="inlineStr">
        <is>
          <t>Roche Tissue Diagnostics only: Gamidor's live Tissue Diagnostics page offers IHC, molecular ISH and histochemical staining on automated slide-preparation instruments from VENTANA (Roche); not cobas/LightCycler</t>
        </is>
      </c>
      <c r="G157" t="inlineStr">
        <is>
          <t>https://gamidor.co.il</t>
        </is>
      </c>
      <c r="H157" t="inlineStr">
        <is>
          <t>+972-3-927-7277</t>
        </is>
      </c>
      <c r="I157" t="inlineStr">
        <is>
          <t>info@gamidor.co.il</t>
        </is>
      </c>
      <c r="J157" t="inlineStr">
        <is>
          <t>Shaham 32, Petach Tikva</t>
        </is>
      </c>
      <c r="K157" t="inlineStr"/>
      <c r="L157" t="n">
        <v>2026</v>
      </c>
      <c r="M157" t="inlineStr">
        <is>
          <t>עדכני</t>
        </is>
      </c>
      <c r="N157" t="inlineStr">
        <is>
          <t>prior_research</t>
        </is>
      </c>
      <c r="P157" t="inlineStr">
        <is>
          <t>https://gamidor.co.il/en/tissue-diagnostics-2/</t>
        </is>
      </c>
    </row>
    <row r="158">
      <c r="A158" t="n">
        <v>1088</v>
      </c>
      <c r="B158" t="inlineStr">
        <is>
          <t>Roche</t>
        </is>
      </c>
      <c r="C158" t="inlineStr">
        <is>
          <t>Dyn Diagnostics</t>
        </is>
      </c>
      <c r="D158" t="inlineStr"/>
      <c r="E158" t="inlineStr">
        <is>
          <t>מפיץ</t>
        </is>
      </c>
      <c r="F158" t="inlineStr">
        <is>
          <t>Roche Diabetes Care only: Dyn's live Home Care page lists ACCU-CHEK among its brands and describes its partnership with Roche Diabetes Care (Germany); CoaguChek INR self-testing also mentioned; not laboratory analyzers</t>
        </is>
      </c>
      <c r="G158" t="inlineStr">
        <is>
          <t>https://dyn.co.il</t>
        </is>
      </c>
      <c r="H158" t="inlineStr"/>
      <c r="I158" t="inlineStr"/>
      <c r="J158" t="inlineStr"/>
      <c r="K158" t="inlineStr"/>
      <c r="L158" t="n">
        <v>2026</v>
      </c>
      <c r="M158" t="inlineStr">
        <is>
          <t>עדכני</t>
        </is>
      </c>
      <c r="N158" t="inlineStr">
        <is>
          <t>prior_research</t>
        </is>
      </c>
      <c r="P158" t="inlineStr">
        <is>
          <t>https://dyn.co.il/home-care-en</t>
        </is>
      </c>
    </row>
    <row r="159">
      <c r="A159" t="n">
        <v>1089</v>
      </c>
      <c r="B159" t="inlineStr">
        <is>
          <t>Roche Diagnostics Corp.</t>
        </is>
      </c>
      <c r="C159" t="inlineStr">
        <is>
          <t>Roche Pharmaceuticals (Israel) Ltd. - Diagnostics division ("Roche Diagnostics Israel")</t>
        </is>
      </c>
      <c r="D159" t="inlineStr"/>
      <c r="E159" t="inlineStr">
        <is>
          <t>חברה-בת</t>
        </is>
      </c>
      <c r="F159"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159" t="inlineStr">
        <is>
          <t>https://www.roche.co.il</t>
        </is>
      </c>
      <c r="H159" t="inlineStr">
        <is>
          <t>+972-9-9737777</t>
        </is>
      </c>
      <c r="I159" t="inlineStr"/>
      <c r="J159" t="inlineStr">
        <is>
          <t>6 Hacharash St., P.O. Box 3691, Hod Hasharon 4524079</t>
        </is>
      </c>
      <c r="K159" t="inlineStr"/>
      <c r="L159" t="n">
        <v>2026</v>
      </c>
      <c r="M159" t="inlineStr">
        <is>
          <t>עדכני</t>
        </is>
      </c>
      <c r="N159" t="inlineStr">
        <is>
          <t>prior_research</t>
        </is>
      </c>
      <c r="P159" t="inlineStr">
        <is>
          <t>https://www.roche.com/solutions/diagnostics/safety-officers</t>
        </is>
      </c>
    </row>
    <row r="160">
      <c r="A160" t="n">
        <v>1089</v>
      </c>
      <c r="B160" t="inlineStr">
        <is>
          <t>Roche Diagnostics Corp.</t>
        </is>
      </c>
      <c r="C160" t="inlineStr">
        <is>
          <t>Gamidor Diagnostics</t>
        </is>
      </c>
      <c r="D160" t="inlineStr">
        <is>
          <t>גאמידור דיאגנוסטיקה בע"מ</t>
        </is>
      </c>
      <c r="E160" t="inlineStr">
        <is>
          <t>מפיץ</t>
        </is>
      </c>
      <c r="F160" t="inlineStr">
        <is>
          <t>Roche Tissue Diagnostics only: Gamidor's live Tissue Diagnostics page offers IHC, molecular ISH and histochemical staining on automated slide-preparation instruments from VENTANA (Roche); not cobas/LightCycler</t>
        </is>
      </c>
      <c r="G160" t="inlineStr">
        <is>
          <t>https://gamidor.co.il</t>
        </is>
      </c>
      <c r="H160" t="inlineStr">
        <is>
          <t>+972-3-927-7277</t>
        </is>
      </c>
      <c r="I160" t="inlineStr">
        <is>
          <t>info@gamidor.co.il</t>
        </is>
      </c>
      <c r="J160" t="inlineStr">
        <is>
          <t>Shaham 32, Petach Tikva</t>
        </is>
      </c>
      <c r="K160" t="inlineStr"/>
      <c r="L160" t="n">
        <v>2026</v>
      </c>
      <c r="M160" t="inlineStr">
        <is>
          <t>עדכני</t>
        </is>
      </c>
      <c r="N160" t="inlineStr">
        <is>
          <t>prior_research</t>
        </is>
      </c>
      <c r="P160" t="inlineStr">
        <is>
          <t>https://gamidor.co.il/en/tissue-diagnostics-2/</t>
        </is>
      </c>
    </row>
    <row r="161">
      <c r="A161" t="n">
        <v>1089</v>
      </c>
      <c r="B161" t="inlineStr">
        <is>
          <t>Roche Diagnostics Corp.</t>
        </is>
      </c>
      <c r="C161" t="inlineStr">
        <is>
          <t>Dyn Diagnostics</t>
        </is>
      </c>
      <c r="D161" t="inlineStr"/>
      <c r="E161" t="inlineStr">
        <is>
          <t>מפיץ</t>
        </is>
      </c>
      <c r="F161" t="inlineStr">
        <is>
          <t>Roche Diabetes Care only: Dyn's live Home Care page lists ACCU-CHEK among its brands and describes its partnership with Roche Diabetes Care (Germany); CoaguChek INR self-testing also mentioned; not laboratory analyzers</t>
        </is>
      </c>
      <c r="G161" t="inlineStr">
        <is>
          <t>https://dyn.co.il</t>
        </is>
      </c>
      <c r="H161" t="inlineStr"/>
      <c r="I161" t="inlineStr"/>
      <c r="J161" t="inlineStr"/>
      <c r="K161" t="inlineStr"/>
      <c r="L161" t="n">
        <v>2026</v>
      </c>
      <c r="M161" t="inlineStr">
        <is>
          <t>עדכני</t>
        </is>
      </c>
      <c r="N161" t="inlineStr">
        <is>
          <t>prior_research</t>
        </is>
      </c>
      <c r="P161" t="inlineStr">
        <is>
          <t>https://dyn.co.il/home-care-en</t>
        </is>
      </c>
    </row>
    <row r="162">
      <c r="A162" t="n">
        <v>1112</v>
      </c>
      <c r="B162" t="inlineStr">
        <is>
          <t>Santa Cruz Biotechnology</t>
        </is>
      </c>
      <c r="C162" t="inlineStr">
        <is>
          <t>Enco Scientific Services Ltd. (Enco Diagnostics)</t>
        </is>
      </c>
      <c r="D162" t="inlineStr">
        <is>
          <t>אנקו</t>
        </is>
      </c>
      <c r="E162" t="inlineStr">
        <is>
          <t>מפיץ</t>
        </is>
      </c>
      <c r="F162" t="inlineStr">
        <is>
          <t>Enco's About page lists the brand among the international companies it distributes in Israel (antibodies/biochemicals)</t>
        </is>
      </c>
      <c r="G162" t="inlineStr">
        <is>
          <t>https://www.enco.co.il</t>
        </is>
      </c>
      <c r="L162" t="n">
        <v>2026</v>
      </c>
      <c r="M162" t="inlineStr">
        <is>
          <t>עדכני</t>
        </is>
      </c>
      <c r="N162" t="inlineStr">
        <is>
          <t>manufacturer_or_press</t>
        </is>
      </c>
      <c r="P162" t="inlineStr">
        <is>
          <t>https://www.enco.co.il/about.php</t>
        </is>
      </c>
    </row>
    <row r="163">
      <c r="A163" t="n">
        <v>1113</v>
      </c>
      <c r="B163" t="inlineStr">
        <is>
          <t>Sarstedt</t>
        </is>
      </c>
      <c r="C163" t="inlineStr">
        <is>
          <t>Tamar Laboratory Supplies Ltd.</t>
        </is>
      </c>
      <c r="D163" t="inlineStr">
        <is>
          <t>תמר ציוד מעבדתי</t>
        </is>
      </c>
      <c r="E163" t="inlineStr">
        <is>
          <t>מפיץ</t>
        </is>
      </c>
      <c r="F163" t="inlineStr">
        <is>
          <t>Sarstedt consumables (reagent and centrifuge tubes, gel-loading tips, disposable cuvettes, transfer pipettes) - SARSTEDT (Germany, plastic laboratory and medical products) is on Tamar's live 'Represented companies' page and Tamar's product pages carry Sarstedt items</t>
        </is>
      </c>
      <c r="G163" t="inlineStr">
        <is>
          <t>https://www.tamar.co.il</t>
        </is>
      </c>
      <c r="H163" t="inlineStr">
        <is>
          <t>+972 2-533-6070 (also 02-579-9777)</t>
        </is>
      </c>
      <c r="I163" t="inlineStr"/>
      <c r="J163" t="inlineStr">
        <is>
          <t>HaAla St., Mevaseret Zion 90805</t>
        </is>
      </c>
      <c r="K163" t="inlineStr"/>
      <c r="L163" t="n">
        <v>2026</v>
      </c>
      <c r="M163" t="inlineStr">
        <is>
          <t>עדכני</t>
        </is>
      </c>
      <c r="N163" t="inlineStr">
        <is>
          <t>prior_research</t>
        </is>
      </c>
      <c r="P163" t="inlineStr">
        <is>
          <t>https://www.tamar.co.il/represented-companies/</t>
        </is>
      </c>
    </row>
    <row r="164">
      <c r="A164" t="n">
        <v>1114</v>
      </c>
      <c r="B164" t="inlineStr">
        <is>
          <t>Sartorius</t>
        </is>
      </c>
      <c r="C164" t="inlineStr">
        <is>
          <t>Sartorius Israel Ltd.</t>
        </is>
      </c>
      <c r="D164" t="inlineStr"/>
      <c r="E164" t="inlineStr">
        <is>
          <t>חברה-בת</t>
        </is>
      </c>
      <c r="F164" t="inlineStr">
        <is>
          <t>Sartorius' Israeli company at Kibbutz Beit Haemek 2511500 (ex-Biological Industries; cell-culture media production site opened 2021); local contact tel. +972-4-9960595, info.israel@sartorius.com per Sartorius' live local-contact page</t>
        </is>
      </c>
      <c r="G164" t="inlineStr">
        <is>
          <t>https://www.sartorius.com/en/contact-us/local-contact</t>
        </is>
      </c>
      <c r="H164" t="inlineStr">
        <is>
          <t>+972 4-996-0595</t>
        </is>
      </c>
      <c r="I164" t="inlineStr"/>
      <c r="J164" t="inlineStr">
        <is>
          <t>Kibbutz Beit Haemek 2511500</t>
        </is>
      </c>
      <c r="K164" t="inlineStr">
        <is>
          <t>https://www.sartorius.com/en/contact-us/local-contact</t>
        </is>
      </c>
      <c r="L164" t="n">
        <v>2026</v>
      </c>
      <c r="M164" t="inlineStr">
        <is>
          <t>עדכני</t>
        </is>
      </c>
      <c r="N164" t="inlineStr">
        <is>
          <t>prior_research</t>
        </is>
      </c>
      <c r="P164" t="inlineStr">
        <is>
          <t>https://www.sartorius.com/en/contact-us/local-contact</t>
        </is>
      </c>
    </row>
    <row r="165">
      <c r="A165" t="n">
        <v>1114</v>
      </c>
      <c r="B165" t="inlineStr">
        <is>
          <t>Sartorius</t>
        </is>
      </c>
      <c r="C165" t="inlineStr">
        <is>
          <t>Labotal Scientific Equipment</t>
        </is>
      </c>
      <c r="D165" t="inlineStr">
        <is>
          <t>לבוטל</t>
        </is>
      </c>
      <c r="E165" t="inlineStr">
        <is>
          <t>מפיץ</t>
        </is>
      </c>
      <c r="F165" t="inlineStr">
        <is>
          <t>self-described exclusive Sartorius representative in Israel for weighing (Cubis II balances, isoCAL) and lab products incl. pipettes - live Labotal guide and product pages</t>
        </is>
      </c>
      <c r="G165" t="inlineStr">
        <is>
          <t>https://labotal.co.il</t>
        </is>
      </c>
      <c r="H165" t="inlineStr">
        <is>
          <t>+972 2-579-9222</t>
        </is>
      </c>
      <c r="I165" t="inlineStr">
        <is>
          <t>Sales@labotal.co.il</t>
        </is>
      </c>
      <c r="J165" t="inlineStr">
        <is>
          <t>Hashalom Rd., Abu Ghosh 9084500 (mail: Mevaseret Zion)</t>
        </is>
      </c>
      <c r="K165" t="inlineStr">
        <is>
          <t>https://labotal.co.il/contact/</t>
        </is>
      </c>
      <c r="L165" t="n">
        <v>2026</v>
      </c>
      <c r="M165" t="inlineStr">
        <is>
          <t>עדכני</t>
        </is>
      </c>
      <c r="N165" t="inlineStr">
        <is>
          <t>prior_research</t>
        </is>
      </c>
      <c r="P165" t="inlineStr">
        <is>
          <t>https://labotal.co.il/המדריך-המקיף-לבחירת-מאזניים-אנליטיים/</t>
        </is>
      </c>
    </row>
    <row r="166">
      <c r="A166" t="n">
        <v>1136</v>
      </c>
      <c r="B166" t="inlineStr">
        <is>
          <t>Selleck Chemicals</t>
        </is>
      </c>
      <c r="C166" t="inlineStr">
        <is>
          <t>Tivan Biotech</t>
        </is>
      </c>
      <c r="D166" t="inlineStr">
        <is>
          <t>טיבן ביוטק</t>
        </is>
      </c>
      <c r="E166" t="inlineStr">
        <is>
          <t>מפיץ</t>
        </is>
      </c>
      <c r="F166" t="inlineStr">
        <is>
          <t>listed as a brand on the distributor's site</t>
        </is>
      </c>
      <c r="G166" t="inlineStr">
        <is>
          <t>https://www.tivanbiotech.com/</t>
        </is>
      </c>
      <c r="H166" t="inlineStr">
        <is>
          <t>077-4701591</t>
        </is>
      </c>
      <c r="I166" t="inlineStr">
        <is>
          <t>customerservice@tivanbiotech.com</t>
        </is>
      </c>
      <c r="L166" t="n">
        <v>2026</v>
      </c>
      <c r="M166" t="inlineStr">
        <is>
          <t>עדכני</t>
        </is>
      </c>
      <c r="N166" t="inlineStr">
        <is>
          <t>distributor_site_sweep</t>
        </is>
      </c>
      <c r="O166" t="inlineStr">
        <is>
          <t>exact</t>
        </is>
      </c>
      <c r="P166" t="inlineStr">
        <is>
          <t>https://tivanbiotech.com/manufacturers</t>
        </is>
      </c>
    </row>
    <row r="167">
      <c r="A167" t="n">
        <v>1210</v>
      </c>
      <c r="B167" t="inlineStr">
        <is>
          <t>STEMCELL Technologies</t>
        </is>
      </c>
      <c r="C167" t="inlineStr">
        <is>
          <t>Enco Scientific Services Ltd. (Enco Diagnostics)</t>
        </is>
      </c>
      <c r="D167" t="inlineStr">
        <is>
          <t>אנקו</t>
        </is>
      </c>
      <c r="E167" t="inlineStr">
        <is>
          <t>מפיץ</t>
        </is>
      </c>
      <c r="F167" t="inlineStr">
        <is>
          <t>Enco's About page lists 'Stem Cell' among distributed brands - most likely STEMCELL Technologies; to confirm</t>
        </is>
      </c>
      <c r="G167" t="inlineStr">
        <is>
          <t>https://www.enco.co.il</t>
        </is>
      </c>
      <c r="L167" t="n">
        <v>2026</v>
      </c>
      <c r="M167" t="inlineStr">
        <is>
          <t>עדכני</t>
        </is>
      </c>
      <c r="N167" t="inlineStr">
        <is>
          <t>manufacturer_or_press</t>
        </is>
      </c>
      <c r="O167" t="inlineStr">
        <is>
          <t>contained</t>
        </is>
      </c>
      <c r="P167" t="inlineStr">
        <is>
          <t>https://www.enco.co.il/about.php</t>
        </is>
      </c>
    </row>
    <row r="168">
      <c r="A168" t="n">
        <v>1219</v>
      </c>
      <c r="B168" t="inlineStr">
        <is>
          <t>Stuart (Cole-Parmer)</t>
        </is>
      </c>
      <c r="C168" t="inlineStr">
        <is>
          <t>Medent Scientific Instruments</t>
        </is>
      </c>
      <c r="D168" t="inlineStr">
        <is>
          <t>מדנט מכשור מדעי</t>
        </is>
      </c>
      <c r="E168" t="inlineStr">
        <is>
          <t>מפיץ</t>
        </is>
      </c>
      <c r="F16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68" t="inlineStr">
        <is>
          <t>https://www.medent.co.il</t>
        </is>
      </c>
      <c r="H168" t="inlineStr">
        <is>
          <t>+972 72-395-0508 (sales); +972 8-683-6306 (service)</t>
        </is>
      </c>
      <c r="I168" t="inlineStr">
        <is>
          <t>info@medent.co.il</t>
        </is>
      </c>
      <c r="J168" t="inlineStr">
        <is>
          <t>110 Mordei HaGetaot St., Beer Sheva 8420643</t>
        </is>
      </c>
      <c r="K168" t="inlineStr">
        <is>
          <t>https://www.medent.co.il/scientific.equipment/%D7%A6%D7%95%D7%A8-%D7%A7%D7%A9%D7%A8/</t>
        </is>
      </c>
      <c r="L168" t="n">
        <v>2026</v>
      </c>
      <c r="M168" t="inlineStr">
        <is>
          <t>עדכני</t>
        </is>
      </c>
      <c r="N168" t="inlineStr">
        <is>
          <t>prior_research</t>
        </is>
      </c>
      <c r="P168" t="inlineStr">
        <is>
          <t>https://medent.co.il/scientific.equipment/product/%D7%A1%D7%A4%D7%A7%D7%98%D7%A8%D7%95%D7%A4%D7%95%D7%98%D7%95%D7%9E%D7%98%D7%A8-uvvis-%D7%9E%D7%A2%D7%91%D7%93%D7%AA%D7%99-%D7%93%D7%92%D7%9D-6305-%D7%AA%D7%95%D7%A6%D7%A8%D7%AA-jenway/</t>
        </is>
      </c>
    </row>
    <row r="169">
      <c r="A169" t="n">
        <v>1232</v>
      </c>
      <c r="B169" t="inlineStr">
        <is>
          <t>TargetMol</t>
        </is>
      </c>
      <c r="C169" t="inlineStr">
        <is>
          <t>distributor of Recombinant Proteins, Antibodies, Cell Line, ELISA Kit</t>
        </is>
      </c>
      <c r="D169" t="inlineStr">
        <is>
          <t>דורון סיינטיפיק</t>
        </is>
      </c>
      <c r="E169" t="inlineStr">
        <is>
          <t>מפיץ</t>
        </is>
      </c>
      <c r="F169" t="inlineStr">
        <is>
          <t>listed as a brand on the distributor's site</t>
        </is>
      </c>
      <c r="G169" t="inlineStr">
        <is>
          <t>https://www.doronscientific.com/</t>
        </is>
      </c>
      <c r="H169" t="inlineStr">
        <is>
          <t>054-5544004</t>
        </is>
      </c>
      <c r="I169" t="inlineStr">
        <is>
          <t>info@doronscientific.com</t>
        </is>
      </c>
      <c r="L169" t="n">
        <v>2026</v>
      </c>
      <c r="M169" t="inlineStr">
        <is>
          <t>עדכני</t>
        </is>
      </c>
      <c r="N169" t="inlineStr">
        <is>
          <t>distributor_site_sweep</t>
        </is>
      </c>
      <c r="O169" t="inlineStr">
        <is>
          <t>exact</t>
        </is>
      </c>
      <c r="P169" t="inlineStr">
        <is>
          <t>https://doronscientific.com/products/</t>
        </is>
      </c>
    </row>
    <row r="170">
      <c r="A170" t="n">
        <v>1232</v>
      </c>
      <c r="B170" t="inlineStr">
        <is>
          <t>TargetMol</t>
        </is>
      </c>
      <c r="C170" t="inlineStr">
        <is>
          <t>Tivan Biotech</t>
        </is>
      </c>
      <c r="D170" t="inlineStr">
        <is>
          <t>טיבן ביוטק</t>
        </is>
      </c>
      <c r="E170" t="inlineStr">
        <is>
          <t>מפיץ</t>
        </is>
      </c>
      <c r="F170" t="inlineStr">
        <is>
          <t>listed as a brand on the distributor's site</t>
        </is>
      </c>
      <c r="G170" t="inlineStr">
        <is>
          <t>https://www.tivanbiotech.com/</t>
        </is>
      </c>
      <c r="H170" t="inlineStr">
        <is>
          <t>077-4701591</t>
        </is>
      </c>
      <c r="I170" t="inlineStr">
        <is>
          <t>customerservice@tivanbiotech.com</t>
        </is>
      </c>
      <c r="L170" t="n">
        <v>2026</v>
      </c>
      <c r="M170" t="inlineStr">
        <is>
          <t>עדכני</t>
        </is>
      </c>
      <c r="N170" t="inlineStr">
        <is>
          <t>distributor_site_sweep</t>
        </is>
      </c>
      <c r="O170" t="inlineStr">
        <is>
          <t>exact</t>
        </is>
      </c>
      <c r="P170" t="inlineStr">
        <is>
          <t>https://tivanbiotech.com/manufacturers</t>
        </is>
      </c>
    </row>
    <row r="171">
      <c r="A171" t="n">
        <v>1237</v>
      </c>
      <c r="B171" t="inlineStr">
        <is>
          <t>Tecan</t>
        </is>
      </c>
      <c r="C171" t="inlineStr">
        <is>
          <t>Gamidor Diagnostics (1984) Ltd.</t>
        </is>
      </c>
      <c r="D171" t="inlineStr">
        <is>
          <t>גמידור דיאגנוסטיקה</t>
        </is>
      </c>
      <c r="E171" t="inlineStr">
        <is>
          <t>מפיץ</t>
        </is>
      </c>
      <c r="F171"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171" t="inlineStr">
        <is>
          <t>https://www.gamidor.co.il</t>
        </is>
      </c>
      <c r="H171" t="inlineStr">
        <is>
          <t>+972-3-927-7277</t>
        </is>
      </c>
      <c r="I171" t="inlineStr">
        <is>
          <t>info@gamidor.co.il</t>
        </is>
      </c>
      <c r="J171" t="inlineStr">
        <is>
          <t>Shaham 32, Petach Tikva</t>
        </is>
      </c>
      <c r="K171" t="inlineStr"/>
      <c r="L171" t="n">
        <v>2026</v>
      </c>
      <c r="M171" t="inlineStr">
        <is>
          <t>עדכני</t>
        </is>
      </c>
      <c r="N171" t="inlineStr">
        <is>
          <t>prior_research</t>
        </is>
      </c>
      <c r="P171" t="inlineStr">
        <is>
          <t>https://www.tecan.com/contact-us</t>
        </is>
      </c>
    </row>
    <row r="172">
      <c r="A172" t="n">
        <v>1238</v>
      </c>
      <c r="B172" t="inlineStr">
        <is>
          <t>Techne (Cole-Parmer)</t>
        </is>
      </c>
      <c r="C172" t="inlineStr">
        <is>
          <t>Medent Scientific Instruments</t>
        </is>
      </c>
      <c r="D172" t="inlineStr">
        <is>
          <t>מדנט מכשור מדעי</t>
        </is>
      </c>
      <c r="E172" t="inlineStr">
        <is>
          <t>מפיץ</t>
        </is>
      </c>
      <c r="F17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72" t="inlineStr">
        <is>
          <t>https://www.medent.co.il</t>
        </is>
      </c>
      <c r="H172" t="inlineStr">
        <is>
          <t>+972 72-395-0508 (sales); +972 8-683-6306 (service)</t>
        </is>
      </c>
      <c r="I172" t="inlineStr">
        <is>
          <t>info@medent.co.il</t>
        </is>
      </c>
      <c r="J172" t="inlineStr">
        <is>
          <t>110 Mordei HaGetaot St., Beer Sheva 8420643</t>
        </is>
      </c>
      <c r="K172" t="inlineStr">
        <is>
          <t>https://www.medent.co.il/scientific.equipment/%D7%A6%D7%95%D7%A8-%D7%A7%D7%A9%D7%A8/</t>
        </is>
      </c>
      <c r="L172" t="n">
        <v>2026</v>
      </c>
      <c r="M172" t="inlineStr">
        <is>
          <t>עדכני</t>
        </is>
      </c>
      <c r="N172" t="inlineStr">
        <is>
          <t>prior_research</t>
        </is>
      </c>
      <c r="P172" t="inlineStr">
        <is>
          <t>https://medent.co.il/scientific.equipment/product/%D7%A1%D7%A4%D7%A7%D7%98%D7%A8%D7%95%D7%A4%D7%95%D7%98%D7%95%D7%9E%D7%98%D7%A8-uvvis-%D7%9E%D7%A2%D7%91%D7%93%D7%AA%D7%99-%D7%93%D7%92%D7%9D-6305-%D7%AA%D7%95%D7%A6%D7%A8%D7%AA-jenway/</t>
        </is>
      </c>
    </row>
    <row r="173">
      <c r="A173" t="n">
        <v>1255</v>
      </c>
      <c r="B173" t="inlineStr">
        <is>
          <t>Thermo Scientific</t>
        </is>
      </c>
      <c r="C173" t="inlineStr">
        <is>
          <t>Thermo Fisher Integrated Solutions Israel Ltd.</t>
        </is>
      </c>
      <c r="D173" t="inlineStr">
        <is>
          <t>תרמו פישר ישראל (רעננה)</t>
        </is>
      </c>
      <c r="E173" t="inlineStr">
        <is>
          <t>חברה-בת</t>
        </is>
      </c>
      <c r="F173" t="inlineStr">
        <is>
          <t>direct life-science sales &amp; field service organisation being built out 2025-26</t>
        </is>
      </c>
      <c r="G173" t="inlineStr">
        <is>
          <t>https://www.thermofisher.com</t>
        </is>
      </c>
      <c r="H173" t="inlineStr">
        <is>
          <t>+972 8-940-8618</t>
        </is>
      </c>
      <c r="I173" t="inlineStr"/>
      <c r="J173" t="inlineStr">
        <is>
          <t>5 Golda Meir St., Ness Ziona (also Airport City 1, Lod)</t>
        </is>
      </c>
      <c r="K173" t="inlineStr">
        <is>
          <t>https://www.thermofisher.com/il/en/home.html</t>
        </is>
      </c>
      <c r="M173" t="inlineStr"/>
      <c r="N173" t="inlineStr">
        <is>
          <t>prior_research</t>
        </is>
      </c>
      <c r="P173" t="inlineStr">
        <is>
          <t>https://www.thermofisher.com/il/en/home.html</t>
        </is>
      </c>
    </row>
    <row r="174">
      <c r="A174" t="n">
        <v>1255</v>
      </c>
      <c r="B174" t="inlineStr">
        <is>
          <t>Thermo Scientific</t>
        </is>
      </c>
      <c r="C174" t="inlineStr">
        <is>
          <t>Thermo Fisher Scientific Israel Ltd. (Kiryat Shmona)</t>
        </is>
      </c>
      <c r="D174" t="inlineStr">
        <is>
          <t>תרמו פישר קריית שמונה</t>
        </is>
      </c>
      <c r="E174" t="inlineStr">
        <is>
          <t>חברה-בת</t>
        </is>
      </c>
      <c r="F174" t="inlineStr">
        <is>
          <t>manufacturing / engineering site (ISO 9001/13485); not a sales channel</t>
        </is>
      </c>
      <c r="G174" t="inlineStr">
        <is>
          <t>https://www.thermofisher.com</t>
        </is>
      </c>
      <c r="H174" t="inlineStr">
        <is>
          <t>+972 8-940-8618</t>
        </is>
      </c>
      <c r="I174" t="inlineStr"/>
      <c r="J174" t="inlineStr">
        <is>
          <t>5 Golda Meir St., Ness Ziona (also Airport City 1, Lod)</t>
        </is>
      </c>
      <c r="K174" t="inlineStr">
        <is>
          <t>https://www.thermofisher.com/il/en/home.html</t>
        </is>
      </c>
      <c r="M174" t="inlineStr"/>
      <c r="N174" t="inlineStr">
        <is>
          <t>prior_research</t>
        </is>
      </c>
      <c r="P174" t="inlineStr"/>
    </row>
    <row r="175">
      <c r="A175" t="n">
        <v>1255</v>
      </c>
      <c r="B175" t="inlineStr">
        <is>
          <t>Thermo Scientific</t>
        </is>
      </c>
      <c r="C175" t="inlineStr">
        <is>
          <t>Rhenium Ltd.</t>
        </is>
      </c>
      <c r="D175" t="inlineStr">
        <is>
          <t>רניום</t>
        </is>
      </c>
      <c r="E175" t="inlineStr">
        <is>
          <t>מפיץ</t>
        </is>
      </c>
      <c r="F17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75" t="inlineStr">
        <is>
          <t>https://www.rhenium.co.il</t>
        </is>
      </c>
      <c r="H175" t="inlineStr">
        <is>
          <t>+972 8-955-8888</t>
        </is>
      </c>
      <c r="I175" t="inlineStr"/>
      <c r="J175" t="inlineStr">
        <is>
          <t>20 Hasatat St., P.O. Box 180, Modi'in 7171101</t>
        </is>
      </c>
      <c r="K175" t="inlineStr"/>
      <c r="L175" t="n">
        <v>2026</v>
      </c>
      <c r="M175" t="inlineStr">
        <is>
          <t>עדכני</t>
        </is>
      </c>
      <c r="N175" t="inlineStr">
        <is>
          <t>prior_research</t>
        </is>
      </c>
      <c r="P175" t="inlineStr">
        <is>
          <t>https://rhenium.co.il/products/bioproduction</t>
        </is>
      </c>
    </row>
    <row r="176">
      <c r="A176" t="n">
        <v>1255</v>
      </c>
      <c r="B176" t="inlineStr">
        <is>
          <t>Thermo Scientific</t>
        </is>
      </c>
      <c r="C176" t="inlineStr">
        <is>
          <t>Gamidor Diagnostics (1984) Ltd.</t>
        </is>
      </c>
      <c r="D176" t="inlineStr">
        <is>
          <t>גמידור דיאגנוסטיקה</t>
        </is>
      </c>
      <c r="E176" t="inlineStr">
        <is>
          <t>מפיץ</t>
        </is>
      </c>
      <c r="F17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76" t="inlineStr">
        <is>
          <t>https://www.gamidor.co.il</t>
        </is>
      </c>
      <c r="H176" t="inlineStr">
        <is>
          <t>+972-3-927-7277</t>
        </is>
      </c>
      <c r="I176" t="inlineStr">
        <is>
          <t>info@gamidor.co.il</t>
        </is>
      </c>
      <c r="J176" t="inlineStr">
        <is>
          <t>Shaham 32, Petach Tikva</t>
        </is>
      </c>
      <c r="K176" t="inlineStr"/>
      <c r="L176" t="n">
        <v>2026</v>
      </c>
      <c r="M176" t="inlineStr">
        <is>
          <t>עדכני</t>
        </is>
      </c>
      <c r="N176" t="inlineStr">
        <is>
          <t>prior_research</t>
        </is>
      </c>
      <c r="P176" t="inlineStr">
        <is>
          <t>https://gamidor.co.il/en/allergy/</t>
        </is>
      </c>
    </row>
    <row r="177">
      <c r="A177" t="n">
        <v>1255</v>
      </c>
      <c r="B177" t="inlineStr">
        <is>
          <t>Thermo Scientific</t>
        </is>
      </c>
      <c r="C177" t="inlineStr">
        <is>
          <t>Bargal Analytical Instruments Ltd.</t>
        </is>
      </c>
      <c r="D177" t="inlineStr">
        <is>
          <t>ברגל</t>
        </is>
      </c>
      <c r="E177" t="inlineStr">
        <is>
          <t>מפיץ</t>
        </is>
      </c>
      <c r="F17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77" t="inlineStr">
        <is>
          <t>https://www.bargal.co.il</t>
        </is>
      </c>
      <c r="H177" t="inlineStr">
        <is>
          <t>+972-3-979-6533</t>
        </is>
      </c>
      <c r="I177" t="inlineStr">
        <is>
          <t>sales@bargal.co.il</t>
        </is>
      </c>
      <c r="J177" t="inlineStr">
        <is>
          <t>10 Shaked Street, Modi'in Industrial Park, Shoham 6085102</t>
        </is>
      </c>
      <c r="K177" t="inlineStr"/>
      <c r="L177" t="n">
        <v>2026</v>
      </c>
      <c r="M177" t="inlineStr">
        <is>
          <t>עדכני</t>
        </is>
      </c>
      <c r="N177" t="inlineStr">
        <is>
          <t>prior_research</t>
        </is>
      </c>
      <c r="P177" t="inlineStr">
        <is>
          <t>https://bargal.co.il/product/q-exactive-uhmr-hybrid-quadrupole-orbitrap-ms-system/</t>
        </is>
      </c>
    </row>
    <row r="178">
      <c r="A178" t="n">
        <v>1255</v>
      </c>
      <c r="B178" t="inlineStr">
        <is>
          <t>Thermo Scientific</t>
        </is>
      </c>
      <c r="C178" t="inlineStr">
        <is>
          <t>Danyel Biotech Ltd.</t>
        </is>
      </c>
      <c r="D178" t="inlineStr">
        <is>
          <t>דניאל ביוטק</t>
        </is>
      </c>
      <c r="E178" t="inlineStr">
        <is>
          <t>מפיץ</t>
        </is>
      </c>
      <c r="F178" t="inlineStr">
        <is>
          <t>Olink proteomics (a Thermo Fisher business): live Olink brand page on Danyel's site</t>
        </is>
      </c>
      <c r="G178" t="inlineStr">
        <is>
          <t>https://www.danyel.co.il</t>
        </is>
      </c>
      <c r="H178" t="inlineStr">
        <is>
          <t>1-800-711-911 (also +972 8-936-6066)</t>
        </is>
      </c>
      <c r="I178" t="inlineStr"/>
      <c r="J178" t="inlineStr">
        <is>
          <t>8 Hamada St., Science Park, Rehovot 7670308</t>
        </is>
      </c>
      <c r="K178" t="inlineStr">
        <is>
          <t>https://www.danyel.co.il/contact-us/</t>
        </is>
      </c>
      <c r="L178" t="n">
        <v>2026</v>
      </c>
      <c r="M178" t="inlineStr">
        <is>
          <t>עדכני</t>
        </is>
      </c>
      <c r="N178" t="inlineStr">
        <is>
          <t>prior_research</t>
        </is>
      </c>
      <c r="P178" t="inlineStr">
        <is>
          <t>https://www.danyel.co.il/olink/</t>
        </is>
      </c>
    </row>
    <row r="179">
      <c r="A179" t="n">
        <v>1255</v>
      </c>
      <c r="B179" t="inlineStr">
        <is>
          <t>Thermo Scientific</t>
        </is>
      </c>
      <c r="C179" t="inlineStr">
        <is>
          <t>Thermo Fisher Scientific – EM service location, Airport City</t>
        </is>
      </c>
      <c r="D179" t="inlineStr"/>
      <c r="E179" t="inlineStr">
        <is>
          <t>שירות</t>
        </is>
      </c>
      <c r="F179" t="inlineStr">
        <is>
          <t>Thermo Fisher's own Israeli sales/support organisation; thermofisher.com's Phenom desktop-SEM distributor page names 'Thermo Fisher Integrated Solutions' as the Israel contact (live page); a Thermo Fisher careers page lists jobs in Israel</t>
        </is>
      </c>
      <c r="G179" t="inlineStr">
        <is>
          <t>https://www.thermofisher.com</t>
        </is>
      </c>
      <c r="H179" t="inlineStr">
        <is>
          <t>+972 8-940-8618</t>
        </is>
      </c>
      <c r="I179" t="inlineStr"/>
      <c r="J179" t="inlineStr">
        <is>
          <t>5 Golda Meir St., Ness Ziona (also Airport City 1, Lod)</t>
        </is>
      </c>
      <c r="K179" t="inlineStr">
        <is>
          <t>https://www.thermofisher.com/il/en/home.html</t>
        </is>
      </c>
      <c r="L179" t="n">
        <v>2026</v>
      </c>
      <c r="M179" t="inlineStr">
        <is>
          <t>ראיה ישנה</t>
        </is>
      </c>
      <c r="N179" t="inlineStr">
        <is>
          <t>prior_research</t>
        </is>
      </c>
      <c r="P179" t="inlineStr">
        <is>
          <t>https://www.thermofisher.com/us/en/home/electron-microscopy/products/desktop-scanning-electron-microscopes/phenom-distributors.html</t>
        </is>
      </c>
    </row>
    <row r="180">
      <c r="A180" t="n">
        <v>1255</v>
      </c>
      <c r="B180" t="inlineStr">
        <is>
          <t>Thermo Scientific</t>
        </is>
      </c>
      <c r="C180" t="inlineStr">
        <is>
          <t>Iner-Tech Ltd. (Rehovot)</t>
        </is>
      </c>
      <c r="D180" t="inlineStr"/>
      <c r="E180" t="inlineStr">
        <is>
          <t>מפיץ</t>
        </is>
      </c>
      <c r="F180" t="inlineStr">
        <is>
          <t>Thermo Scientific portable pharma QA/QC analysers (handheld Raman/NIR material ID) - listed on thermofisher.com's distributor page for Israel</t>
        </is>
      </c>
      <c r="G180" t="inlineStr"/>
      <c r="H180" t="inlineStr"/>
      <c r="I180" t="inlineStr"/>
      <c r="J180" t="inlineStr"/>
      <c r="K180" t="inlineStr"/>
      <c r="L180" t="n">
        <v>2026</v>
      </c>
      <c r="M180" t="inlineStr">
        <is>
          <t>חדש</t>
        </is>
      </c>
      <c r="N180" t="inlineStr">
        <is>
          <t>prior_research</t>
        </is>
      </c>
      <c r="P180" t="inlineStr">
        <is>
          <t>https://www.thermofisher.com/us/en/home/industrial/spectroscopy-elemental-isotope-analysis/portable-analysis-material-id/portable-pharmaceutical-qa-qc-manufacturing-solutions/portable-pharma-qa-qc-manufacturing-solutions-distributors.html</t>
        </is>
      </c>
    </row>
    <row r="181">
      <c r="A181" t="n">
        <v>1255</v>
      </c>
      <c r="B181" t="inlineStr">
        <is>
          <t>Thermo Scientific</t>
        </is>
      </c>
      <c r="C181" t="inlineStr">
        <is>
          <t>R.B.M. Ltd. Control &amp; Mechanization (Hod Hasharon)</t>
        </is>
      </c>
      <c r="D181" t="inlineStr"/>
      <c r="E181" t="inlineStr">
        <is>
          <t>מפיץ</t>
        </is>
      </c>
      <c r="F181" t="inlineStr">
        <is>
          <t>Thermo Scientific Niton portable XRF / LIBS analysers - listed on thermofisher.com's authorized XRF &amp; LIBS distributor page for Israel</t>
        </is>
      </c>
      <c r="G181" t="inlineStr"/>
      <c r="H181" t="inlineStr"/>
      <c r="I181" t="inlineStr"/>
      <c r="J181" t="inlineStr"/>
      <c r="K181" t="inlineStr"/>
      <c r="L181" t="n">
        <v>2026</v>
      </c>
      <c r="M181" t="inlineStr">
        <is>
          <t>חדש</t>
        </is>
      </c>
      <c r="N181" t="inlineStr">
        <is>
          <t>prior_research</t>
        </is>
      </c>
      <c r="P181" t="inlineStr">
        <is>
          <t>https://www.thermofisher.com/us/en/home/industrial/spectroscopy-elemental-isotope-analysis/portable-analysis-material-id/portable-analysis-for-material-id-distributors.html</t>
        </is>
      </c>
    </row>
    <row r="182">
      <c r="A182" t="n">
        <v>1255</v>
      </c>
      <c r="B182" t="inlineStr">
        <is>
          <t>Thermo Scientific</t>
        </is>
      </c>
      <c r="C182" t="inlineStr">
        <is>
          <t>Madid Industrial Controls Ltd.</t>
        </is>
      </c>
      <c r="D182" t="inlineStr"/>
      <c r="E182" t="inlineStr">
        <is>
          <t>מפיץ</t>
        </is>
      </c>
      <c r="F182" t="inlineStr">
        <is>
          <t>Thermo Scientific dataTaker data loggers (industrial data acquisition) - listed on thermofisher.com's dataTaker distributor page for Israel</t>
        </is>
      </c>
      <c r="G182" t="inlineStr"/>
      <c r="H182" t="inlineStr"/>
      <c r="I182" t="inlineStr"/>
      <c r="J182" t="inlineStr"/>
      <c r="K182" t="inlineStr"/>
      <c r="L182" t="n">
        <v>2026</v>
      </c>
      <c r="M182" t="inlineStr">
        <is>
          <t>חדש</t>
        </is>
      </c>
      <c r="N182" t="inlineStr">
        <is>
          <t>prior_research</t>
        </is>
      </c>
      <c r="P182" t="inlineStr">
        <is>
          <t>https://www.thermofisher.com/us/en/home/industrial/manufacturing-processing/data-acquisition/datataker-distributors.html</t>
        </is>
      </c>
    </row>
    <row r="183">
      <c r="A183" t="n">
        <v>1259</v>
      </c>
      <c r="B183" t="inlineStr">
        <is>
          <t>Thermo Scientific Nalgene</t>
        </is>
      </c>
      <c r="C183" t="inlineStr">
        <is>
          <t>Thermo Fisher Integrated Solutions Israel Ltd.</t>
        </is>
      </c>
      <c r="D183" t="inlineStr">
        <is>
          <t>תרמו פישר ישראל (רעננה)</t>
        </is>
      </c>
      <c r="E183" t="inlineStr">
        <is>
          <t>חברה-בת</t>
        </is>
      </c>
      <c r="F183" t="inlineStr">
        <is>
          <t>direct life-science sales &amp; field service organisation being built out 2025-26</t>
        </is>
      </c>
      <c r="G183" t="inlineStr">
        <is>
          <t>https://www.thermofisher.com</t>
        </is>
      </c>
      <c r="H183" t="inlineStr">
        <is>
          <t>+972 8-940-8618</t>
        </is>
      </c>
      <c r="I183" t="inlineStr"/>
      <c r="J183" t="inlineStr">
        <is>
          <t>5 Golda Meir St., Ness Ziona (also Airport City 1, Lod)</t>
        </is>
      </c>
      <c r="K183" t="inlineStr">
        <is>
          <t>https://www.thermofisher.com/il/en/home.html</t>
        </is>
      </c>
      <c r="M183" t="inlineStr"/>
      <c r="N183" t="inlineStr">
        <is>
          <t>prior_research</t>
        </is>
      </c>
      <c r="P183" t="inlineStr">
        <is>
          <t>https://www.thermofisher.com/il/en/home.html</t>
        </is>
      </c>
    </row>
    <row r="184">
      <c r="A184" t="n">
        <v>1259</v>
      </c>
      <c r="B184" t="inlineStr">
        <is>
          <t>Thermo Scientific Nalgene</t>
        </is>
      </c>
      <c r="C184" t="inlineStr">
        <is>
          <t>Thermo Fisher Scientific Israel Ltd. (Kiryat Shmona)</t>
        </is>
      </c>
      <c r="D184" t="inlineStr">
        <is>
          <t>תרמו פישר קריית שמונה</t>
        </is>
      </c>
      <c r="E184" t="inlineStr">
        <is>
          <t>חברה-בת</t>
        </is>
      </c>
      <c r="F184" t="inlineStr">
        <is>
          <t>manufacturing / engineering site (ISO 9001/13485); not a sales channel</t>
        </is>
      </c>
      <c r="G184" t="inlineStr">
        <is>
          <t>https://www.thermofisher.com</t>
        </is>
      </c>
      <c r="H184" t="inlineStr">
        <is>
          <t>+972 8-940-8618</t>
        </is>
      </c>
      <c r="I184" t="inlineStr"/>
      <c r="J184" t="inlineStr">
        <is>
          <t>5 Golda Meir St., Ness Ziona (also Airport City 1, Lod)</t>
        </is>
      </c>
      <c r="K184" t="inlineStr">
        <is>
          <t>https://www.thermofisher.com/il/en/home.html</t>
        </is>
      </c>
      <c r="M184" t="inlineStr"/>
      <c r="N184" t="inlineStr">
        <is>
          <t>prior_research</t>
        </is>
      </c>
      <c r="P184" t="inlineStr"/>
    </row>
    <row r="185">
      <c r="A185" t="n">
        <v>1259</v>
      </c>
      <c r="B185" t="inlineStr">
        <is>
          <t>Thermo Scientific Nalgene</t>
        </is>
      </c>
      <c r="C185" t="inlineStr">
        <is>
          <t>Rhenium Ltd.</t>
        </is>
      </c>
      <c r="D185" t="inlineStr">
        <is>
          <t>רניום</t>
        </is>
      </c>
      <c r="E185" t="inlineStr">
        <is>
          <t>מפיץ</t>
        </is>
      </c>
      <c r="F18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85" t="inlineStr">
        <is>
          <t>https://www.rhenium.co.il</t>
        </is>
      </c>
      <c r="H185" t="inlineStr">
        <is>
          <t>+972 8-955-8888</t>
        </is>
      </c>
      <c r="I185" t="inlineStr"/>
      <c r="J185" t="inlineStr">
        <is>
          <t>20 Hasatat St., P.O. Box 180, Modi'in 7171101</t>
        </is>
      </c>
      <c r="K185" t="inlineStr"/>
      <c r="L185" t="n">
        <v>2026</v>
      </c>
      <c r="M185" t="inlineStr">
        <is>
          <t>עדכני</t>
        </is>
      </c>
      <c r="N185" t="inlineStr">
        <is>
          <t>prior_research</t>
        </is>
      </c>
      <c r="P185" t="inlineStr">
        <is>
          <t>https://rhenium.co.il/products/bioproduction</t>
        </is>
      </c>
    </row>
    <row r="186">
      <c r="A186" t="n">
        <v>1259</v>
      </c>
      <c r="B186" t="inlineStr">
        <is>
          <t>Thermo Scientific Nalgene</t>
        </is>
      </c>
      <c r="C186" t="inlineStr">
        <is>
          <t>Gamidor Diagnostics (1984) Ltd.</t>
        </is>
      </c>
      <c r="D186" t="inlineStr">
        <is>
          <t>גמידור דיאגנוסטיקה</t>
        </is>
      </c>
      <c r="E186" t="inlineStr">
        <is>
          <t>מפיץ</t>
        </is>
      </c>
      <c r="F18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86" t="inlineStr">
        <is>
          <t>https://www.gamidor.co.il</t>
        </is>
      </c>
      <c r="H186" t="inlineStr">
        <is>
          <t>+972-3-927-7277</t>
        </is>
      </c>
      <c r="I186" t="inlineStr">
        <is>
          <t>info@gamidor.co.il</t>
        </is>
      </c>
      <c r="J186" t="inlineStr">
        <is>
          <t>Shaham 32, Petach Tikva</t>
        </is>
      </c>
      <c r="K186" t="inlineStr"/>
      <c r="L186" t="n">
        <v>2026</v>
      </c>
      <c r="M186" t="inlineStr">
        <is>
          <t>עדכני</t>
        </is>
      </c>
      <c r="N186" t="inlineStr">
        <is>
          <t>prior_research</t>
        </is>
      </c>
      <c r="P186" t="inlineStr">
        <is>
          <t>https://gamidor.co.il/en/allergy/</t>
        </is>
      </c>
    </row>
    <row r="187">
      <c r="A187" t="n">
        <v>1259</v>
      </c>
      <c r="B187" t="inlineStr">
        <is>
          <t>Thermo Scientific Nalgene</t>
        </is>
      </c>
      <c r="C187" t="inlineStr">
        <is>
          <t>Bargal Analytical Instruments Ltd.</t>
        </is>
      </c>
      <c r="D187" t="inlineStr">
        <is>
          <t>ברגל</t>
        </is>
      </c>
      <c r="E187" t="inlineStr">
        <is>
          <t>מפיץ</t>
        </is>
      </c>
      <c r="F18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87" t="inlineStr">
        <is>
          <t>https://www.bargal.co.il</t>
        </is>
      </c>
      <c r="H187" t="inlineStr">
        <is>
          <t>+972-3-979-6533</t>
        </is>
      </c>
      <c r="I187" t="inlineStr">
        <is>
          <t>sales@bargal.co.il</t>
        </is>
      </c>
      <c r="J187" t="inlineStr">
        <is>
          <t>10 Shaked Street, Modi'in Industrial Park, Shoham 6085102</t>
        </is>
      </c>
      <c r="K187" t="inlineStr"/>
      <c r="L187" t="n">
        <v>2026</v>
      </c>
      <c r="M187" t="inlineStr">
        <is>
          <t>עדכני</t>
        </is>
      </c>
      <c r="N187" t="inlineStr">
        <is>
          <t>prior_research</t>
        </is>
      </c>
      <c r="P187" t="inlineStr">
        <is>
          <t>https://bargal.co.il/product/q-exactive-uhmr-hybrid-quadrupole-orbitrap-ms-system/</t>
        </is>
      </c>
    </row>
    <row r="188">
      <c r="A188" t="n">
        <v>1259</v>
      </c>
      <c r="B188" t="inlineStr">
        <is>
          <t>Thermo Scientific Nalgene</t>
        </is>
      </c>
      <c r="C188" t="inlineStr">
        <is>
          <t>Danyel Biotech Ltd.</t>
        </is>
      </c>
      <c r="D188" t="inlineStr">
        <is>
          <t>דניאל ביוטק</t>
        </is>
      </c>
      <c r="E188" t="inlineStr">
        <is>
          <t>מפיץ</t>
        </is>
      </c>
      <c r="F188" t="inlineStr">
        <is>
          <t>Olink proteomics (a Thermo Fisher business): live Olink brand page on Danyel's site</t>
        </is>
      </c>
      <c r="G188" t="inlineStr">
        <is>
          <t>https://www.danyel.co.il</t>
        </is>
      </c>
      <c r="H188" t="inlineStr">
        <is>
          <t>1-800-711-911 (also +972 8-936-6066)</t>
        </is>
      </c>
      <c r="I188" t="inlineStr"/>
      <c r="J188" t="inlineStr">
        <is>
          <t>8 Hamada St., Science Park, Rehovot 7670308</t>
        </is>
      </c>
      <c r="K188" t="inlineStr">
        <is>
          <t>https://www.danyel.co.il/contact-us/</t>
        </is>
      </c>
      <c r="L188" t="n">
        <v>2026</v>
      </c>
      <c r="M188" t="inlineStr">
        <is>
          <t>עדכני</t>
        </is>
      </c>
      <c r="N188" t="inlineStr">
        <is>
          <t>prior_research</t>
        </is>
      </c>
      <c r="P188" t="inlineStr">
        <is>
          <t>https://www.danyel.co.il/olink/</t>
        </is>
      </c>
    </row>
    <row r="189">
      <c r="A189" t="n">
        <v>1259</v>
      </c>
      <c r="B189" t="inlineStr">
        <is>
          <t>Thermo Scientific Nalgene</t>
        </is>
      </c>
      <c r="C189" t="inlineStr">
        <is>
          <t>Thermo Fisher Scientific – EM service location, Airport City</t>
        </is>
      </c>
      <c r="D189" t="inlineStr"/>
      <c r="E189" t="inlineStr">
        <is>
          <t>שירות</t>
        </is>
      </c>
      <c r="F189" t="inlineStr">
        <is>
          <t>Thermo Fisher's own Israeli sales/support organisation; thermofisher.com's Phenom desktop-SEM distributor page names 'Thermo Fisher Integrated Solutions' as the Israel contact (live page); a Thermo Fisher careers page lists jobs in Israel</t>
        </is>
      </c>
      <c r="G189" t="inlineStr">
        <is>
          <t>https://www.thermofisher.com</t>
        </is>
      </c>
      <c r="H189" t="inlineStr">
        <is>
          <t>+972 8-940-8618</t>
        </is>
      </c>
      <c r="I189" t="inlineStr"/>
      <c r="J189" t="inlineStr">
        <is>
          <t>5 Golda Meir St., Ness Ziona (also Airport City 1, Lod)</t>
        </is>
      </c>
      <c r="K189" t="inlineStr">
        <is>
          <t>https://www.thermofisher.com/il/en/home.html</t>
        </is>
      </c>
      <c r="L189" t="n">
        <v>2026</v>
      </c>
      <c r="M189" t="inlineStr">
        <is>
          <t>ראיה ישנה</t>
        </is>
      </c>
      <c r="N189" t="inlineStr">
        <is>
          <t>prior_research</t>
        </is>
      </c>
      <c r="P189" t="inlineStr">
        <is>
          <t>https://www.thermofisher.com/us/en/home/electron-microscopy/products/desktop-scanning-electron-microscopes/phenom-distributors.html</t>
        </is>
      </c>
    </row>
    <row r="190">
      <c r="A190" t="n">
        <v>1259</v>
      </c>
      <c r="B190" t="inlineStr">
        <is>
          <t>Thermo Scientific Nalgene</t>
        </is>
      </c>
      <c r="C190" t="inlineStr">
        <is>
          <t>Iner-Tech Ltd. (Rehovot)</t>
        </is>
      </c>
      <c r="D190" t="inlineStr"/>
      <c r="E190" t="inlineStr">
        <is>
          <t>מפיץ</t>
        </is>
      </c>
      <c r="F190" t="inlineStr">
        <is>
          <t>Thermo Scientific portable pharma QA/QC analysers (handheld Raman/NIR material ID) - listed on thermofisher.com's distributor page for Israel</t>
        </is>
      </c>
      <c r="G190" t="inlineStr"/>
      <c r="H190" t="inlineStr"/>
      <c r="I190" t="inlineStr"/>
      <c r="J190" t="inlineStr"/>
      <c r="K190" t="inlineStr"/>
      <c r="L190" t="n">
        <v>2026</v>
      </c>
      <c r="M190" t="inlineStr">
        <is>
          <t>חדש</t>
        </is>
      </c>
      <c r="N190" t="inlineStr">
        <is>
          <t>prior_research</t>
        </is>
      </c>
      <c r="P190" t="inlineStr">
        <is>
          <t>https://www.thermofisher.com/us/en/home/industrial/spectroscopy-elemental-isotope-analysis/portable-analysis-material-id/portable-pharmaceutical-qa-qc-manufacturing-solutions/portable-pharma-qa-qc-manufacturing-solutions-distributors.html</t>
        </is>
      </c>
    </row>
    <row r="191">
      <c r="A191" t="n">
        <v>1259</v>
      </c>
      <c r="B191" t="inlineStr">
        <is>
          <t>Thermo Scientific Nalgene</t>
        </is>
      </c>
      <c r="C191" t="inlineStr">
        <is>
          <t>R.B.M. Ltd. Control &amp; Mechanization (Hod Hasharon)</t>
        </is>
      </c>
      <c r="D191" t="inlineStr"/>
      <c r="E191" t="inlineStr">
        <is>
          <t>מפיץ</t>
        </is>
      </c>
      <c r="F191" t="inlineStr">
        <is>
          <t>Thermo Scientific Niton portable XRF / LIBS analysers - listed on thermofisher.com's authorized XRF &amp; LIBS distributor page for Israel</t>
        </is>
      </c>
      <c r="G191" t="inlineStr"/>
      <c r="H191" t="inlineStr"/>
      <c r="I191" t="inlineStr"/>
      <c r="J191" t="inlineStr"/>
      <c r="K191" t="inlineStr"/>
      <c r="L191" t="n">
        <v>2026</v>
      </c>
      <c r="M191" t="inlineStr">
        <is>
          <t>חדש</t>
        </is>
      </c>
      <c r="N191" t="inlineStr">
        <is>
          <t>prior_research</t>
        </is>
      </c>
      <c r="P191" t="inlineStr">
        <is>
          <t>https://www.thermofisher.com/us/en/home/industrial/spectroscopy-elemental-isotope-analysis/portable-analysis-material-id/portable-analysis-for-material-id-distributors.html</t>
        </is>
      </c>
    </row>
    <row r="192">
      <c r="A192" t="n">
        <v>1259</v>
      </c>
      <c r="B192" t="inlineStr">
        <is>
          <t>Thermo Scientific Nalgene</t>
        </is>
      </c>
      <c r="C192" t="inlineStr">
        <is>
          <t>Madid Industrial Controls Ltd.</t>
        </is>
      </c>
      <c r="D192" t="inlineStr"/>
      <c r="E192" t="inlineStr">
        <is>
          <t>מפיץ</t>
        </is>
      </c>
      <c r="F192" t="inlineStr">
        <is>
          <t>Thermo Scientific dataTaker data loggers (industrial data acquisition) - listed on thermofisher.com's dataTaker distributor page for Israel</t>
        </is>
      </c>
      <c r="G192" t="inlineStr"/>
      <c r="H192" t="inlineStr"/>
      <c r="I192" t="inlineStr"/>
      <c r="J192" t="inlineStr"/>
      <c r="K192" t="inlineStr"/>
      <c r="L192" t="n">
        <v>2026</v>
      </c>
      <c r="M192" t="inlineStr">
        <is>
          <t>חדש</t>
        </is>
      </c>
      <c r="N192" t="inlineStr">
        <is>
          <t>prior_research</t>
        </is>
      </c>
      <c r="P192" t="inlineStr">
        <is>
          <t>https://www.thermofisher.com/us/en/home/industrial/manufacturing-processing/data-acquisition/datataker-distributors.html</t>
        </is>
      </c>
    </row>
    <row r="193">
      <c r="A193" t="n">
        <v>1261</v>
      </c>
      <c r="B193" t="inlineStr">
        <is>
          <t>Thermo Scientific Orion</t>
        </is>
      </c>
      <c r="C193" t="inlineStr">
        <is>
          <t>Thermo Fisher Integrated Solutions Israel Ltd.</t>
        </is>
      </c>
      <c r="D193" t="inlineStr">
        <is>
          <t>תרמו פישר ישראל (רעננה)</t>
        </is>
      </c>
      <c r="E193" t="inlineStr">
        <is>
          <t>חברה-בת</t>
        </is>
      </c>
      <c r="F193" t="inlineStr">
        <is>
          <t>direct life-science sales &amp; field service organisation being built out 2025-26</t>
        </is>
      </c>
      <c r="G193" t="inlineStr">
        <is>
          <t>https://www.thermofisher.com</t>
        </is>
      </c>
      <c r="H193" t="inlineStr">
        <is>
          <t>+972 8-940-8618</t>
        </is>
      </c>
      <c r="I193" t="inlineStr"/>
      <c r="J193" t="inlineStr">
        <is>
          <t>5 Golda Meir St., Ness Ziona (also Airport City 1, Lod)</t>
        </is>
      </c>
      <c r="K193" t="inlineStr">
        <is>
          <t>https://www.thermofisher.com/il/en/home.html</t>
        </is>
      </c>
      <c r="M193" t="inlineStr"/>
      <c r="N193" t="inlineStr">
        <is>
          <t>prior_research</t>
        </is>
      </c>
      <c r="P193" t="inlineStr">
        <is>
          <t>https://www.thermofisher.com/il/en/home.html</t>
        </is>
      </c>
    </row>
    <row r="194">
      <c r="A194" t="n">
        <v>1261</v>
      </c>
      <c r="B194" t="inlineStr">
        <is>
          <t>Thermo Scientific Orion</t>
        </is>
      </c>
      <c r="C194" t="inlineStr">
        <is>
          <t>Thermo Fisher Scientific Israel Ltd. (Kiryat Shmona)</t>
        </is>
      </c>
      <c r="D194" t="inlineStr">
        <is>
          <t>תרמו פישר קריית שמונה</t>
        </is>
      </c>
      <c r="E194" t="inlineStr">
        <is>
          <t>חברה-בת</t>
        </is>
      </c>
      <c r="F194" t="inlineStr">
        <is>
          <t>manufacturing / engineering site (ISO 9001/13485); not a sales channel</t>
        </is>
      </c>
      <c r="G194" t="inlineStr">
        <is>
          <t>https://www.thermofisher.com</t>
        </is>
      </c>
      <c r="H194" t="inlineStr">
        <is>
          <t>+972 8-940-8618</t>
        </is>
      </c>
      <c r="I194" t="inlineStr"/>
      <c r="J194" t="inlineStr">
        <is>
          <t>5 Golda Meir St., Ness Ziona (also Airport City 1, Lod)</t>
        </is>
      </c>
      <c r="K194" t="inlineStr">
        <is>
          <t>https://www.thermofisher.com/il/en/home.html</t>
        </is>
      </c>
      <c r="M194" t="inlineStr"/>
      <c r="N194" t="inlineStr">
        <is>
          <t>prior_research</t>
        </is>
      </c>
      <c r="P194" t="inlineStr"/>
    </row>
    <row r="195">
      <c r="A195" t="n">
        <v>1261</v>
      </c>
      <c r="B195" t="inlineStr">
        <is>
          <t>Thermo Scientific Orion</t>
        </is>
      </c>
      <c r="C195" t="inlineStr">
        <is>
          <t>Rhenium Ltd.</t>
        </is>
      </c>
      <c r="D195" t="inlineStr">
        <is>
          <t>רניום</t>
        </is>
      </c>
      <c r="E195" t="inlineStr">
        <is>
          <t>מפיץ</t>
        </is>
      </c>
      <c r="F19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95" t="inlineStr">
        <is>
          <t>https://www.rhenium.co.il</t>
        </is>
      </c>
      <c r="H195" t="inlineStr">
        <is>
          <t>+972 8-955-8888</t>
        </is>
      </c>
      <c r="I195" t="inlineStr"/>
      <c r="J195" t="inlineStr">
        <is>
          <t>20 Hasatat St., P.O. Box 180, Modi'in 7171101</t>
        </is>
      </c>
      <c r="K195" t="inlineStr"/>
      <c r="L195" t="n">
        <v>2026</v>
      </c>
      <c r="M195" t="inlineStr">
        <is>
          <t>עדכני</t>
        </is>
      </c>
      <c r="N195" t="inlineStr">
        <is>
          <t>prior_research</t>
        </is>
      </c>
      <c r="P195" t="inlineStr">
        <is>
          <t>https://rhenium.co.il/products/bioproduction</t>
        </is>
      </c>
    </row>
    <row r="196">
      <c r="A196" t="n">
        <v>1261</v>
      </c>
      <c r="B196" t="inlineStr">
        <is>
          <t>Thermo Scientific Orion</t>
        </is>
      </c>
      <c r="C196" t="inlineStr">
        <is>
          <t>Gamidor Diagnostics (1984) Ltd.</t>
        </is>
      </c>
      <c r="D196" t="inlineStr">
        <is>
          <t>גמידור דיאגנוסטיקה</t>
        </is>
      </c>
      <c r="E196" t="inlineStr">
        <is>
          <t>מפיץ</t>
        </is>
      </c>
      <c r="F19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196" t="inlineStr">
        <is>
          <t>https://www.gamidor.co.il</t>
        </is>
      </c>
      <c r="H196" t="inlineStr">
        <is>
          <t>+972-3-927-7277</t>
        </is>
      </c>
      <c r="I196" t="inlineStr">
        <is>
          <t>info@gamidor.co.il</t>
        </is>
      </c>
      <c r="J196" t="inlineStr">
        <is>
          <t>Shaham 32, Petach Tikva</t>
        </is>
      </c>
      <c r="K196" t="inlineStr"/>
      <c r="L196" t="n">
        <v>2026</v>
      </c>
      <c r="M196" t="inlineStr">
        <is>
          <t>עדכני</t>
        </is>
      </c>
      <c r="N196" t="inlineStr">
        <is>
          <t>prior_research</t>
        </is>
      </c>
      <c r="P196" t="inlineStr">
        <is>
          <t>https://gamidor.co.il/en/allergy/</t>
        </is>
      </c>
    </row>
    <row r="197">
      <c r="A197" t="n">
        <v>1261</v>
      </c>
      <c r="B197" t="inlineStr">
        <is>
          <t>Thermo Scientific Orion</t>
        </is>
      </c>
      <c r="C197" t="inlineStr">
        <is>
          <t>Bargal Analytical Instruments Ltd.</t>
        </is>
      </c>
      <c r="D197" t="inlineStr">
        <is>
          <t>ברגל</t>
        </is>
      </c>
      <c r="E197" t="inlineStr">
        <is>
          <t>מפיץ</t>
        </is>
      </c>
      <c r="F19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197" t="inlineStr">
        <is>
          <t>https://www.bargal.co.il</t>
        </is>
      </c>
      <c r="H197" t="inlineStr">
        <is>
          <t>+972-3-979-6533</t>
        </is>
      </c>
      <c r="I197" t="inlineStr">
        <is>
          <t>sales@bargal.co.il</t>
        </is>
      </c>
      <c r="J197" t="inlineStr">
        <is>
          <t>10 Shaked Street, Modi'in Industrial Park, Shoham 6085102</t>
        </is>
      </c>
      <c r="K197" t="inlineStr"/>
      <c r="L197" t="n">
        <v>2026</v>
      </c>
      <c r="M197" t="inlineStr">
        <is>
          <t>עדכני</t>
        </is>
      </c>
      <c r="N197" t="inlineStr">
        <is>
          <t>prior_research</t>
        </is>
      </c>
      <c r="P197" t="inlineStr">
        <is>
          <t>https://bargal.co.il/product/q-exactive-uhmr-hybrid-quadrupole-orbitrap-ms-system/</t>
        </is>
      </c>
    </row>
    <row r="198">
      <c r="A198" t="n">
        <v>1261</v>
      </c>
      <c r="B198" t="inlineStr">
        <is>
          <t>Thermo Scientific Orion</t>
        </is>
      </c>
      <c r="C198" t="inlineStr">
        <is>
          <t>Danyel Biotech Ltd.</t>
        </is>
      </c>
      <c r="D198" t="inlineStr">
        <is>
          <t>דניאל ביוטק</t>
        </is>
      </c>
      <c r="E198" t="inlineStr">
        <is>
          <t>מפיץ</t>
        </is>
      </c>
      <c r="F198" t="inlineStr">
        <is>
          <t>Olink proteomics (a Thermo Fisher business): live Olink brand page on Danyel's site</t>
        </is>
      </c>
      <c r="G198" t="inlineStr">
        <is>
          <t>https://www.danyel.co.il</t>
        </is>
      </c>
      <c r="H198" t="inlineStr">
        <is>
          <t>1-800-711-911 (also +972 8-936-6066)</t>
        </is>
      </c>
      <c r="I198" t="inlineStr"/>
      <c r="J198" t="inlineStr">
        <is>
          <t>8 Hamada St., Science Park, Rehovot 7670308</t>
        </is>
      </c>
      <c r="K198" t="inlineStr">
        <is>
          <t>https://www.danyel.co.il/contact-us/</t>
        </is>
      </c>
      <c r="L198" t="n">
        <v>2026</v>
      </c>
      <c r="M198" t="inlineStr">
        <is>
          <t>עדכני</t>
        </is>
      </c>
      <c r="N198" t="inlineStr">
        <is>
          <t>prior_research</t>
        </is>
      </c>
      <c r="P198" t="inlineStr">
        <is>
          <t>https://www.danyel.co.il/olink/</t>
        </is>
      </c>
    </row>
    <row r="199">
      <c r="A199" t="n">
        <v>1261</v>
      </c>
      <c r="B199" t="inlineStr">
        <is>
          <t>Thermo Scientific Orion</t>
        </is>
      </c>
      <c r="C199" t="inlineStr">
        <is>
          <t>Thermo Fisher Scientific – EM service location, Airport City</t>
        </is>
      </c>
      <c r="D199" t="inlineStr"/>
      <c r="E199" t="inlineStr">
        <is>
          <t>שירות</t>
        </is>
      </c>
      <c r="F199" t="inlineStr">
        <is>
          <t>Thermo Fisher's own Israeli sales/support organisation; thermofisher.com's Phenom desktop-SEM distributor page names 'Thermo Fisher Integrated Solutions' as the Israel contact (live page); a Thermo Fisher careers page lists jobs in Israel</t>
        </is>
      </c>
      <c r="G199" t="inlineStr">
        <is>
          <t>https://www.thermofisher.com</t>
        </is>
      </c>
      <c r="H199" t="inlineStr">
        <is>
          <t>+972 8-940-8618</t>
        </is>
      </c>
      <c r="I199" t="inlineStr"/>
      <c r="J199" t="inlineStr">
        <is>
          <t>5 Golda Meir St., Ness Ziona (also Airport City 1, Lod)</t>
        </is>
      </c>
      <c r="K199" t="inlineStr">
        <is>
          <t>https://www.thermofisher.com/il/en/home.html</t>
        </is>
      </c>
      <c r="L199" t="n">
        <v>2026</v>
      </c>
      <c r="M199" t="inlineStr">
        <is>
          <t>ראיה ישנה</t>
        </is>
      </c>
      <c r="N199" t="inlineStr">
        <is>
          <t>prior_research</t>
        </is>
      </c>
      <c r="P199" t="inlineStr">
        <is>
          <t>https://www.thermofisher.com/us/en/home/electron-microscopy/products/desktop-scanning-electron-microscopes/phenom-distributors.html</t>
        </is>
      </c>
    </row>
    <row r="200">
      <c r="A200" t="n">
        <v>1261</v>
      </c>
      <c r="B200" t="inlineStr">
        <is>
          <t>Thermo Scientific Orion</t>
        </is>
      </c>
      <c r="C200" t="inlineStr">
        <is>
          <t>Iner-Tech Ltd. (Rehovot)</t>
        </is>
      </c>
      <c r="D200" t="inlineStr"/>
      <c r="E200" t="inlineStr">
        <is>
          <t>מפיץ</t>
        </is>
      </c>
      <c r="F200" t="inlineStr">
        <is>
          <t>Thermo Scientific portable pharma QA/QC analysers (handheld Raman/NIR material ID) - listed on thermofisher.com's distributor page for Israel</t>
        </is>
      </c>
      <c r="G200" t="inlineStr"/>
      <c r="H200" t="inlineStr"/>
      <c r="I200" t="inlineStr"/>
      <c r="J200" t="inlineStr"/>
      <c r="K200" t="inlineStr"/>
      <c r="L200" t="n">
        <v>2026</v>
      </c>
      <c r="M200" t="inlineStr">
        <is>
          <t>חדש</t>
        </is>
      </c>
      <c r="N200" t="inlineStr">
        <is>
          <t>prior_research</t>
        </is>
      </c>
      <c r="P200" t="inlineStr">
        <is>
          <t>https://www.thermofisher.com/us/en/home/industrial/spectroscopy-elemental-isotope-analysis/portable-analysis-material-id/portable-pharmaceutical-qa-qc-manufacturing-solutions/portable-pharma-qa-qc-manufacturing-solutions-distributors.html</t>
        </is>
      </c>
    </row>
    <row r="201">
      <c r="A201" t="n">
        <v>1261</v>
      </c>
      <c r="B201" t="inlineStr">
        <is>
          <t>Thermo Scientific Orion</t>
        </is>
      </c>
      <c r="C201" t="inlineStr">
        <is>
          <t>R.B.M. Ltd. Control &amp; Mechanization (Hod Hasharon)</t>
        </is>
      </c>
      <c r="D201" t="inlineStr"/>
      <c r="E201" t="inlineStr">
        <is>
          <t>מפיץ</t>
        </is>
      </c>
      <c r="F201" t="inlineStr">
        <is>
          <t>Thermo Scientific Niton portable XRF / LIBS analysers - listed on thermofisher.com's authorized XRF &amp; LIBS distributor page for Israel</t>
        </is>
      </c>
      <c r="G201" t="inlineStr"/>
      <c r="H201" t="inlineStr"/>
      <c r="I201" t="inlineStr"/>
      <c r="J201" t="inlineStr"/>
      <c r="K201" t="inlineStr"/>
      <c r="L201" t="n">
        <v>2026</v>
      </c>
      <c r="M201" t="inlineStr">
        <is>
          <t>חדש</t>
        </is>
      </c>
      <c r="N201" t="inlineStr">
        <is>
          <t>prior_research</t>
        </is>
      </c>
      <c r="P201" t="inlineStr">
        <is>
          <t>https://www.thermofisher.com/us/en/home/industrial/spectroscopy-elemental-isotope-analysis/portable-analysis-material-id/portable-analysis-for-material-id-distributors.html</t>
        </is>
      </c>
    </row>
    <row r="202">
      <c r="A202" t="n">
        <v>1261</v>
      </c>
      <c r="B202" t="inlineStr">
        <is>
          <t>Thermo Scientific Orion</t>
        </is>
      </c>
      <c r="C202" t="inlineStr">
        <is>
          <t>Madid Industrial Controls Ltd.</t>
        </is>
      </c>
      <c r="D202" t="inlineStr"/>
      <c r="E202" t="inlineStr">
        <is>
          <t>מפיץ</t>
        </is>
      </c>
      <c r="F202" t="inlineStr">
        <is>
          <t>Thermo Scientific dataTaker data loggers (industrial data acquisition) - listed on thermofisher.com's dataTaker distributor page for Israel</t>
        </is>
      </c>
      <c r="G202" t="inlineStr"/>
      <c r="H202" t="inlineStr"/>
      <c r="I202" t="inlineStr"/>
      <c r="J202" t="inlineStr"/>
      <c r="K202" t="inlineStr"/>
      <c r="L202" t="n">
        <v>2026</v>
      </c>
      <c r="M202" t="inlineStr">
        <is>
          <t>חדש</t>
        </is>
      </c>
      <c r="N202" t="inlineStr">
        <is>
          <t>prior_research</t>
        </is>
      </c>
      <c r="P202" t="inlineStr">
        <is>
          <t>https://www.thermofisher.com/us/en/home/industrial/manufacturing-processing/data-acquisition/datataker-distributors.html</t>
        </is>
      </c>
    </row>
    <row r="203">
      <c r="A203" t="n">
        <v>1276</v>
      </c>
      <c r="B203" t="inlineStr">
        <is>
          <t>Tocris</t>
        </is>
      </c>
      <c r="C203" t="inlineStr">
        <is>
          <t>Getter Bio-Med (Getter Group)</t>
        </is>
      </c>
      <c r="D203" t="inlineStr">
        <is>
          <t>גטר ביו-מד</t>
        </is>
      </c>
      <c r="E203" t="inlineStr">
        <is>
          <t>מפיץ</t>
        </is>
      </c>
      <c r="F203" t="inlineStr">
        <is>
          <t>Lunaphore (a Bio-Techne brand) spatial-biology platforms – Getter describes itself as the official Israeli representative (LinkedIn)</t>
        </is>
      </c>
      <c r="G203" t="inlineStr">
        <is>
          <t>https://www.getter.co.il</t>
        </is>
      </c>
      <c r="H203" t="inlineStr">
        <is>
          <t>+972 3-576-1555 (Getter Group switchboard)</t>
        </is>
      </c>
      <c r="I203" t="inlineStr"/>
      <c r="J203" t="inlineStr">
        <is>
          <t>7 Shimshon St., Petah Tikva 4912502</t>
        </is>
      </c>
      <c r="K203" t="inlineStr"/>
      <c r="M203" t="inlineStr">
        <is>
          <t>ראיה ישנה</t>
        </is>
      </c>
      <c r="N203" t="inlineStr">
        <is>
          <t>prior_research</t>
        </is>
      </c>
      <c r="P203" t="inlineStr">
        <is>
          <t>https://www.getter.co.il/about-en/</t>
        </is>
      </c>
    </row>
    <row r="204">
      <c r="A204" t="n">
        <v>1276</v>
      </c>
      <c r="B204" t="inlineStr">
        <is>
          <t>Tocris</t>
        </is>
      </c>
      <c r="C204" t="inlineStr">
        <is>
          <t>Biotest</t>
        </is>
      </c>
      <c r="D204" t="inlineStr"/>
      <c r="E204" t="inlineStr">
        <is>
          <t>מפיץ</t>
        </is>
      </c>
      <c r="F204" t="inlineStr">
        <is>
          <t>Israeli distributor listed on Bio-Techne's Novus Biologicals distributor directory: 6 Hasadna St., P.O. Box 8006, Kfar Saba 4442405 (phone/e-mail on page); coverage of other Bio-Techne brands (R&amp;D Systems, Tocris, ProteinSimple) not confirmed</t>
        </is>
      </c>
      <c r="G204" t="inlineStr"/>
      <c r="H204" t="inlineStr"/>
      <c r="I204" t="inlineStr"/>
      <c r="J204" t="inlineStr"/>
      <c r="K204" t="inlineStr"/>
      <c r="L204" t="n">
        <v>2026</v>
      </c>
      <c r="M204" t="inlineStr">
        <is>
          <t>חדש</t>
        </is>
      </c>
      <c r="N204" t="inlineStr">
        <is>
          <t>prior_research</t>
        </is>
      </c>
      <c r="P204" t="inlineStr">
        <is>
          <t>https://www.bio-techne.com/distributors/novus</t>
        </is>
      </c>
    </row>
    <row r="205">
      <c r="A205" t="n">
        <v>1291</v>
      </c>
      <c r="B205" t="inlineStr">
        <is>
          <t>TrippNT</t>
        </is>
      </c>
      <c r="C205" t="inlineStr">
        <is>
          <t>Yair Technologies</t>
        </is>
      </c>
      <c r="D205" t="inlineStr">
        <is>
          <t>יאיר טכנולוגיות</t>
        </is>
      </c>
      <c r="E205" t="inlineStr">
        <is>
          <t>מפיץ</t>
        </is>
      </c>
      <c r="F205" t="inlineStr">
        <is>
          <t>listed as a brand on the distributor's site</t>
        </is>
      </c>
      <c r="G205" t="inlineStr">
        <is>
          <t>https://www.yairtech.co.il/</t>
        </is>
      </c>
      <c r="H205" t="inlineStr">
        <is>
          <t>+97288544856</t>
        </is>
      </c>
      <c r="I205" t="inlineStr">
        <is>
          <t>contact@yairtech.co.il</t>
        </is>
      </c>
      <c r="L205" t="n">
        <v>2026</v>
      </c>
      <c r="M205" t="inlineStr">
        <is>
          <t>עדכני</t>
        </is>
      </c>
      <c r="N205" t="inlineStr">
        <is>
          <t>distributor_site_sweep</t>
        </is>
      </c>
      <c r="O205" t="inlineStr">
        <is>
          <t>exact</t>
        </is>
      </c>
      <c r="P205" t="inlineStr">
        <is>
          <t>https://www.yairtech.co.il/partners/</t>
        </is>
      </c>
    </row>
    <row r="206">
      <c r="A206" t="n">
        <v>1299</v>
      </c>
      <c r="B206" t="inlineStr">
        <is>
          <t>Tuttnauer Ltd.</t>
        </is>
      </c>
      <c r="C206" t="inlineStr">
        <is>
          <t>Tuttnauer Ltd.</t>
        </is>
      </c>
      <c r="D206" t="inlineStr">
        <is>
          <t>טוטנאור</t>
        </is>
      </c>
      <c r="E206" t="inlineStr">
        <is>
          <t>חברה-בת</t>
        </is>
      </c>
      <c r="F206" t="inlineStr">
        <is>
          <t>Tuttnauer's Israeli legal entity, headquarters and manufacturing base: Har Tuv B Industrial Zone, P.O. Box 170, Beit Shemesh 9910101, Israel (founded 1925; described as the central base for worldwide operations and product development; US HQ in Hauppauge, NY).</t>
        </is>
      </c>
      <c r="G206" t="inlineStr">
        <is>
          <t>https://tuttnauer.com</t>
        </is>
      </c>
      <c r="L206" t="n">
        <v>2026</v>
      </c>
      <c r="M206" t="inlineStr">
        <is>
          <t>עדכני</t>
        </is>
      </c>
      <c r="N206" t="inlineStr">
        <is>
          <t>manufacturer_or_press</t>
        </is>
      </c>
      <c r="O206" t="inlineStr">
        <is>
          <t>search</t>
        </is>
      </c>
      <c r="P206" t="inlineStr">
        <is>
          <t>https://pharmchoices.com/list-of-medical-device-companies-in-israel-2/7/</t>
        </is>
      </c>
    </row>
    <row r="207">
      <c r="A207" t="n">
        <v>1327</v>
      </c>
      <c r="B207" t="inlineStr">
        <is>
          <t>Velp</t>
        </is>
      </c>
      <c r="C207" t="inlineStr">
        <is>
          <t>Labotal</t>
        </is>
      </c>
      <c r="D207" t="inlineStr">
        <is>
          <t>לבוטל ציוד מדעי</t>
        </is>
      </c>
      <c r="E207" t="inlineStr">
        <is>
          <t>מפיץ</t>
        </is>
      </c>
      <c r="F207"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207" t="inlineStr">
        <is>
          <t>https://labotal.co.il</t>
        </is>
      </c>
      <c r="H207" t="inlineStr">
        <is>
          <t>+972 2-579-9222</t>
        </is>
      </c>
      <c r="I207" t="inlineStr">
        <is>
          <t>Sales@labotal.co.il</t>
        </is>
      </c>
      <c r="J207" t="inlineStr">
        <is>
          <t>Hashalom Rd., Abu Ghosh 9084500 (mail: Mevaseret Zion)</t>
        </is>
      </c>
      <c r="K207" t="inlineStr">
        <is>
          <t>https://labotal.co.il/contact/</t>
        </is>
      </c>
      <c r="L207" t="n">
        <v>2026</v>
      </c>
      <c r="M207" t="inlineStr">
        <is>
          <t>עדכני</t>
        </is>
      </c>
      <c r="N207" t="inlineStr">
        <is>
          <t>prior_research</t>
        </is>
      </c>
      <c r="P207" t="inlineStr">
        <is>
          <t>https://labotal.co.il/firms/?lang=en</t>
        </is>
      </c>
    </row>
    <row r="208">
      <c r="A208" t="n">
        <v>1328</v>
      </c>
      <c r="B208" t="inlineStr">
        <is>
          <t>Velp Scientifica</t>
        </is>
      </c>
      <c r="C208" t="inlineStr">
        <is>
          <t>Labotal</t>
        </is>
      </c>
      <c r="D208" t="inlineStr">
        <is>
          <t>לבוטל ציוד מדעי</t>
        </is>
      </c>
      <c r="E208" t="inlineStr">
        <is>
          <t>מפיץ</t>
        </is>
      </c>
      <c r="F208"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208" t="inlineStr">
        <is>
          <t>https://labotal.co.il</t>
        </is>
      </c>
      <c r="H208" t="inlineStr">
        <is>
          <t>+972 2-579-9222</t>
        </is>
      </c>
      <c r="I208" t="inlineStr">
        <is>
          <t>Sales@labotal.co.il</t>
        </is>
      </c>
      <c r="J208" t="inlineStr">
        <is>
          <t>Hashalom Rd., Abu Ghosh 9084500 (mail: Mevaseret Zion)</t>
        </is>
      </c>
      <c r="K208" t="inlineStr">
        <is>
          <t>https://labotal.co.il/contact/</t>
        </is>
      </c>
      <c r="L208" t="n">
        <v>2026</v>
      </c>
      <c r="M208" t="inlineStr">
        <is>
          <t>עדכני</t>
        </is>
      </c>
      <c r="N208" t="inlineStr">
        <is>
          <t>prior_research</t>
        </is>
      </c>
      <c r="P208" t="inlineStr">
        <is>
          <t>https://labotal.co.il/firms/?lang=en</t>
        </is>
      </c>
    </row>
    <row r="209">
      <c r="A209" t="n">
        <v>1345</v>
      </c>
      <c r="B209" t="inlineStr">
        <is>
          <t>Waters</t>
        </is>
      </c>
      <c r="C209" t="inlineStr">
        <is>
          <t>Waters (TC) Israel Ltd.</t>
        </is>
      </c>
      <c r="D209" t="inlineStr"/>
      <c r="E209" t="inlineStr">
        <is>
          <t>חברה-בת</t>
        </is>
      </c>
      <c r="F209"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209" t="inlineStr">
        <is>
          <t>https://www.waters.com</t>
        </is>
      </c>
      <c r="H209" t="inlineStr"/>
      <c r="I209" t="inlineStr"/>
      <c r="J209" t="inlineStr"/>
      <c r="K209" t="inlineStr"/>
      <c r="L209" t="n">
        <v>2024</v>
      </c>
      <c r="M209" t="inlineStr">
        <is>
          <t>עדכני</t>
        </is>
      </c>
      <c r="N209" t="inlineStr">
        <is>
          <t>prior_research</t>
        </is>
      </c>
      <c r="P209" t="inlineStr">
        <is>
          <t>https://www.sec.gov/Archives/edgar/data/1000697/000119312524047491/d691142dex211.htm</t>
        </is>
      </c>
    </row>
    <row r="210">
      <c r="A210" t="n">
        <v>1345</v>
      </c>
      <c r="B210" t="inlineStr">
        <is>
          <t>Waters</t>
        </is>
      </c>
      <c r="C210" t="inlineStr">
        <is>
          <t>Bargal Analytical Instruments Ltd.</t>
        </is>
      </c>
      <c r="D210" t="inlineStr">
        <is>
          <t>ברגל</t>
        </is>
      </c>
      <c r="E210" t="inlineStr">
        <is>
          <t>מפיץ</t>
        </is>
      </c>
      <c r="F210" t="inlineStr">
        <is>
          <t>TA Instruments (a Waters division) thermal analysis, rheology and microcalorimetry – listed in TA Instruments' Middle East directory</t>
        </is>
      </c>
      <c r="G210" t="inlineStr">
        <is>
          <t>https://www.bargal.co.il</t>
        </is>
      </c>
      <c r="H210" t="inlineStr">
        <is>
          <t>+972-3-979-6533</t>
        </is>
      </c>
      <c r="I210" t="inlineStr">
        <is>
          <t>sales@bargal.co.il</t>
        </is>
      </c>
      <c r="J210" t="inlineStr">
        <is>
          <t>10 Shaked Street, Modi'in Industrial Park, Shoham 6085102</t>
        </is>
      </c>
      <c r="K210" t="inlineStr"/>
      <c r="M210" t="inlineStr">
        <is>
          <t>ראיה ישנה</t>
        </is>
      </c>
      <c r="N210" t="inlineStr">
        <is>
          <t>prior_research</t>
        </is>
      </c>
      <c r="P210" t="inlineStr">
        <is>
          <t>https://www.tainstruments.com/events/middleeast-directory.html</t>
        </is>
      </c>
    </row>
    <row r="211">
      <c r="A211" t="n">
        <v>1355</v>
      </c>
      <c r="B211" t="inlineStr">
        <is>
          <t>Wheaton</t>
        </is>
      </c>
      <c r="C211" t="inlineStr">
        <is>
          <t>Danyel Biotech Ltd. (Gamida for Life group)</t>
        </is>
      </c>
      <c r="D211" t="inlineStr">
        <is>
          <t>דניאל ביוטק</t>
        </is>
      </c>
      <c r="E211" t="inlineStr">
        <is>
          <t>מפיץ</t>
        </is>
      </c>
      <c r="F21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211" t="inlineStr">
        <is>
          <t>https://www.danyel.co.il</t>
        </is>
      </c>
      <c r="H211" t="inlineStr">
        <is>
          <t>1-800-711-911 (also +972 8-936-6066)</t>
        </is>
      </c>
      <c r="I211" t="inlineStr"/>
      <c r="J211" t="inlineStr">
        <is>
          <t>8 Hamada St., Science Park, Rehovot 7670308</t>
        </is>
      </c>
      <c r="K211" t="inlineStr">
        <is>
          <t>https://www.danyel.co.il/contact-us/</t>
        </is>
      </c>
      <c r="L211" t="n">
        <v>2026</v>
      </c>
      <c r="M211" t="inlineStr">
        <is>
          <t>עדכני</t>
        </is>
      </c>
      <c r="N211" t="inlineStr">
        <is>
          <t>prior_research</t>
        </is>
      </c>
      <c r="P211" t="inlineStr">
        <is>
          <t>https://www.danyel.co.il/scilabware/</t>
        </is>
      </c>
    </row>
    <row r="212">
      <c r="A212" t="n">
        <v>1363</v>
      </c>
      <c r="B212" t="inlineStr">
        <is>
          <t>Worthington Biochemical</t>
        </is>
      </c>
      <c r="C212" t="inlineStr">
        <is>
          <t>Enco Scientific Services Ltd. (Enco Diagnostics)</t>
        </is>
      </c>
      <c r="D212" t="inlineStr">
        <is>
          <t>אנקו</t>
        </is>
      </c>
      <c r="E212" t="inlineStr">
        <is>
          <t>מפיץ</t>
        </is>
      </c>
      <c r="F212" t="inlineStr">
        <is>
          <t>Enco's About page lists the brand among the international companies it distributes in Israel (antibodies/biochemicals)</t>
        </is>
      </c>
      <c r="G212" t="inlineStr">
        <is>
          <t>https://www.enco.co.il</t>
        </is>
      </c>
      <c r="L212" t="n">
        <v>2026</v>
      </c>
      <c r="M212" t="inlineStr">
        <is>
          <t>עדכני</t>
        </is>
      </c>
      <c r="N212" t="inlineStr">
        <is>
          <t>manufacturer_or_press</t>
        </is>
      </c>
      <c r="P212" t="inlineStr">
        <is>
          <t>https://www.enco.co.il/about.php</t>
        </is>
      </c>
    </row>
    <row r="213">
      <c r="A213" t="n">
        <v>1364</v>
      </c>
      <c r="B213" t="inlineStr">
        <is>
          <t>WPI</t>
        </is>
      </c>
      <c r="C213" t="inlineStr">
        <is>
          <t>NBT</t>
        </is>
      </c>
      <c r="D213" t="inlineStr">
        <is>
          <t>ניו ביוטכנולוגי (NBT)</t>
        </is>
      </c>
      <c r="E213" t="inlineStr">
        <is>
          <t>מפיץ</t>
        </is>
      </c>
      <c r="F213" t="inlineStr">
        <is>
          <t>listed as a brand on the distributor's site</t>
        </is>
      </c>
      <c r="G213" t="inlineStr">
        <is>
          <t>https://www.nbtltd.com/</t>
        </is>
      </c>
      <c r="L213" t="n">
        <v>2026</v>
      </c>
      <c r="M213" t="inlineStr">
        <is>
          <t>עדכני</t>
        </is>
      </c>
      <c r="N213" t="inlineStr">
        <is>
          <t>distributor_site_sweep</t>
        </is>
      </c>
      <c r="O213" t="inlineStr">
        <is>
          <t>exact</t>
        </is>
      </c>
      <c r="P213" t="inlineStr">
        <is>
          <t>https://nbtltd.com/products-page</t>
        </is>
      </c>
    </row>
    <row r="214">
      <c r="A214" t="n">
        <v>1371</v>
      </c>
      <c r="B214" t="inlineStr">
        <is>
          <t>Yamato</t>
        </is>
      </c>
      <c r="C214" t="inlineStr">
        <is>
          <t>S.L. Moran Ltd.</t>
        </is>
      </c>
      <c r="D214" t="inlineStr">
        <is>
          <t>ש.ל מורן</t>
        </is>
      </c>
      <c r="E214" t="inlineStr">
        <is>
          <t>מפיץ</t>
        </is>
      </c>
      <c r="F214" t="inlineStr">
        <is>
          <t>listed as Yamato Scientific's sales representative for Israel on Yamato's global partners page (Shatner Center bldg 7, Givat Shaul, Jerusalem, +972-74-7029898); no Yamato products seen on S.L. Moran's own site</t>
        </is>
      </c>
      <c r="G214" t="inlineStr">
        <is>
          <t>https://slmoran.co.il</t>
        </is>
      </c>
      <c r="H214" t="inlineStr">
        <is>
          <t>+972 74-702-9898</t>
        </is>
      </c>
      <c r="I214" t="inlineStr"/>
      <c r="J214" t="inlineStr">
        <is>
          <t>Shatner Center 7, Givat Shaul, Jerusalem</t>
        </is>
      </c>
      <c r="K214" t="inlineStr"/>
      <c r="L214" t="n">
        <v>2018</v>
      </c>
      <c r="M214" t="inlineStr">
        <is>
          <t>ראיה ישנה</t>
        </is>
      </c>
      <c r="N214" t="inlineStr">
        <is>
          <t>prior_research</t>
        </is>
      </c>
      <c r="P214" t="inlineStr">
        <is>
          <t>https://www.yamato-scientific.com/global/</t>
        </is>
      </c>
    </row>
    <row r="215">
      <c r="A215" t="n">
        <v>1372</v>
      </c>
      <c r="B215" t="inlineStr">
        <is>
          <t>Yamato Scientific America</t>
        </is>
      </c>
      <c r="C215" t="inlineStr">
        <is>
          <t>S.L. Moran Ltd.</t>
        </is>
      </c>
      <c r="D215" t="inlineStr">
        <is>
          <t>ש.ל מורן</t>
        </is>
      </c>
      <c r="E215" t="inlineStr">
        <is>
          <t>מפיץ</t>
        </is>
      </c>
      <c r="F215" t="inlineStr">
        <is>
          <t>listed as Yamato Scientific's sales representative for Israel on Yamato's global partners page (Shatner Center bldg 7, Givat Shaul, Jerusalem, +972-74-7029898); no Yamato products seen on S.L. Moran's own site</t>
        </is>
      </c>
      <c r="G215" t="inlineStr">
        <is>
          <t>https://slmoran.co.il</t>
        </is>
      </c>
      <c r="H215" t="inlineStr">
        <is>
          <t>+972 74-702-9898</t>
        </is>
      </c>
      <c r="I215" t="inlineStr"/>
      <c r="J215" t="inlineStr">
        <is>
          <t>Shatner Center 7, Givat Shaul, Jerusalem</t>
        </is>
      </c>
      <c r="K215" t="inlineStr"/>
      <c r="L215" t="n">
        <v>2018</v>
      </c>
      <c r="M215" t="inlineStr">
        <is>
          <t>ראיה ישנה</t>
        </is>
      </c>
      <c r="N215" t="inlineStr">
        <is>
          <t>prior_research</t>
        </is>
      </c>
      <c r="P215" t="inlineStr">
        <is>
          <t>https://www.yamato-scientific.com/global/</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8"/>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3</v>
      </c>
      <c r="B2" t="inlineStr">
        <is>
          <t>3M</t>
        </is>
      </c>
      <c r="C2" t="inlineStr">
        <is>
          <t>3M HEAD HARNESS ASSEMBLY FOR 6000 SERIES</t>
        </is>
      </c>
      <c r="E2" t="inlineStr">
        <is>
          <t>thomassci</t>
        </is>
      </c>
      <c r="F2" t="inlineStr">
        <is>
          <t>https://www.thomassci.com/p/3m-head-harness-assembly-for-6000-series</t>
        </is>
      </c>
    </row>
    <row r="3">
      <c r="A3" t="n">
        <v>3</v>
      </c>
      <c r="B3" t="inlineStr">
        <is>
          <t>3M</t>
        </is>
      </c>
      <c r="C3" t="inlineStr">
        <is>
          <t>Comply™ Lead Free Steam Indicator Tape</t>
        </is>
      </c>
      <c r="E3" t="inlineStr">
        <is>
          <t>thomassci</t>
        </is>
      </c>
      <c r="F3" t="inlineStr">
        <is>
          <t>https://www.thomassci.com/p/comply-lead-free-steam-indicator-tape</t>
        </is>
      </c>
    </row>
    <row r="4">
      <c r="A4" t="n">
        <v>3</v>
      </c>
      <c r="B4" t="inlineStr">
        <is>
          <t>3M</t>
        </is>
      </c>
      <c r="C4" t="inlineStr">
        <is>
          <t>3M™ SecureFit™, Protective Eyewear, SF201AF, Clear Lens</t>
        </is>
      </c>
      <c r="E4" t="inlineStr">
        <is>
          <t>thomassci</t>
        </is>
      </c>
      <c r="F4" t="inlineStr">
        <is>
          <t>https://www.thomassci.com/p/3m-securefit-protective-eyewear-sf201af-clear-lens</t>
        </is>
      </c>
    </row>
    <row r="5">
      <c r="A5" t="n">
        <v>3</v>
      </c>
      <c r="B5" t="inlineStr">
        <is>
          <t>3M</t>
        </is>
      </c>
      <c r="C5" t="inlineStr">
        <is>
          <t>Scotch® Magic™ Tape</t>
        </is>
      </c>
      <c r="E5" t="inlineStr">
        <is>
          <t>thomassci</t>
        </is>
      </c>
      <c r="F5" t="inlineStr">
        <is>
          <t>https://www.thomassci.com/p/scotch-magic-tape</t>
        </is>
      </c>
    </row>
    <row r="6">
      <c r="A6" t="n">
        <v>3</v>
      </c>
      <c r="B6" t="inlineStr">
        <is>
          <t>3M</t>
        </is>
      </c>
      <c r="C6" t="inlineStr">
        <is>
          <t>Particulate Respirator 8200/07023(AAD), N95</t>
        </is>
      </c>
      <c r="E6" t="inlineStr">
        <is>
          <t>thomassci</t>
        </is>
      </c>
      <c r="F6" t="inlineStr">
        <is>
          <t>https://www.thomassci.com/p/particulate-respirator-8200/07023aad-n95</t>
        </is>
      </c>
    </row>
    <row r="7">
      <c r="A7" t="n">
        <v>7</v>
      </c>
      <c r="B7" t="inlineStr">
        <is>
          <t>A&amp;D Company</t>
        </is>
      </c>
      <c r="C7" t="inlineStr">
        <is>
          <t>Apollo GX-A / GF-A series</t>
        </is>
      </c>
      <c r="D7" t="inlineStr">
        <is>
          <t>precision balances with impact-shock detection</t>
        </is>
      </c>
      <c r="E7" t="inlineStr">
        <is>
          <t>prior</t>
        </is>
      </c>
    </row>
    <row r="8">
      <c r="A8" t="n">
        <v>7</v>
      </c>
      <c r="B8" t="inlineStr">
        <is>
          <t>A&amp;D Company</t>
        </is>
      </c>
      <c r="C8" t="inlineStr">
        <is>
          <t>HR-A / HR-AZ series</t>
        </is>
      </c>
      <c r="D8" t="inlineStr">
        <is>
          <t>0.1 mg analytical balances</t>
        </is>
      </c>
      <c r="E8" t="inlineStr">
        <is>
          <t>prior</t>
        </is>
      </c>
    </row>
    <row r="9">
      <c r="A9" t="n">
        <v>7</v>
      </c>
      <c r="B9" t="inlineStr">
        <is>
          <t>A&amp;D Company</t>
        </is>
      </c>
      <c r="C9" t="inlineStr">
        <is>
          <t>MX-50 / MS-70 moisture analyzers</t>
        </is>
      </c>
      <c r="D9" t="inlineStr">
        <is>
          <t>halogen-lamp moisture balances</t>
        </is>
      </c>
      <c r="E9" t="inlineStr">
        <is>
          <t>prior</t>
        </is>
      </c>
    </row>
    <row r="10">
      <c r="A10" t="n">
        <v>8</v>
      </c>
      <c r="B10" t="inlineStr">
        <is>
          <t>A&amp;D Engineering</t>
        </is>
      </c>
      <c r="C10" t="inlineStr">
        <is>
          <t>Apollo GX-A / GF-A series</t>
        </is>
      </c>
      <c r="D10" t="inlineStr">
        <is>
          <t>precision balances with impact-shock detection</t>
        </is>
      </c>
      <c r="E10" t="inlineStr">
        <is>
          <t>prior</t>
        </is>
      </c>
    </row>
    <row r="11">
      <c r="A11" t="n">
        <v>8</v>
      </c>
      <c r="B11" t="inlineStr">
        <is>
          <t>A&amp;D Engineering</t>
        </is>
      </c>
      <c r="C11" t="inlineStr">
        <is>
          <t>HR-A / HR-AZ series</t>
        </is>
      </c>
      <c r="D11" t="inlineStr">
        <is>
          <t>0.1 mg analytical balances</t>
        </is>
      </c>
      <c r="E11" t="inlineStr">
        <is>
          <t>prior</t>
        </is>
      </c>
    </row>
    <row r="12">
      <c r="A12" t="n">
        <v>8</v>
      </c>
      <c r="B12" t="inlineStr">
        <is>
          <t>A&amp;D Engineering</t>
        </is>
      </c>
      <c r="C12" t="inlineStr">
        <is>
          <t>MX-50 / MS-70 moisture analyzers</t>
        </is>
      </c>
      <c r="D12" t="inlineStr">
        <is>
          <t>halogen-lamp moisture balances</t>
        </is>
      </c>
      <c r="E12" t="inlineStr">
        <is>
          <t>prior</t>
        </is>
      </c>
    </row>
    <row r="13">
      <c r="A13" t="n">
        <v>9</v>
      </c>
      <c r="B13" t="inlineStr">
        <is>
          <t>A&amp;D instruments</t>
        </is>
      </c>
      <c r="C13" t="inlineStr">
        <is>
          <t>Apollo GX-A / GF-A series</t>
        </is>
      </c>
      <c r="D13" t="inlineStr">
        <is>
          <t>precision balances with impact-shock detection</t>
        </is>
      </c>
      <c r="E13" t="inlineStr">
        <is>
          <t>prior</t>
        </is>
      </c>
    </row>
    <row r="14">
      <c r="A14" t="n">
        <v>9</v>
      </c>
      <c r="B14" t="inlineStr">
        <is>
          <t>A&amp;D instruments</t>
        </is>
      </c>
      <c r="C14" t="inlineStr">
        <is>
          <t>HR-A / HR-AZ series</t>
        </is>
      </c>
      <c r="D14" t="inlineStr">
        <is>
          <t>0.1 mg analytical balances</t>
        </is>
      </c>
      <c r="E14" t="inlineStr">
        <is>
          <t>prior</t>
        </is>
      </c>
    </row>
    <row r="15">
      <c r="A15" t="n">
        <v>9</v>
      </c>
      <c r="B15" t="inlineStr">
        <is>
          <t>A&amp;D instruments</t>
        </is>
      </c>
      <c r="C15" t="inlineStr">
        <is>
          <t>MX-50 / MS-70 moisture analyzers</t>
        </is>
      </c>
      <c r="D15" t="inlineStr">
        <is>
          <t>halogen-lamp moisture balances</t>
        </is>
      </c>
      <c r="E15" t="inlineStr">
        <is>
          <t>prior</t>
        </is>
      </c>
    </row>
    <row r="16">
      <c r="A16" t="n">
        <v>10</v>
      </c>
      <c r="B16" t="inlineStr">
        <is>
          <t>A&amp;D Weighing</t>
        </is>
      </c>
      <c r="C16" t="inlineStr">
        <is>
          <t>Apollo GX-A / GF-A series</t>
        </is>
      </c>
      <c r="D16" t="inlineStr">
        <is>
          <t>precision balances with impact-shock detection</t>
        </is>
      </c>
      <c r="E16" t="inlineStr">
        <is>
          <t>prior</t>
        </is>
      </c>
    </row>
    <row r="17">
      <c r="A17" t="n">
        <v>10</v>
      </c>
      <c r="B17" t="inlineStr">
        <is>
          <t>A&amp;D Weighing</t>
        </is>
      </c>
      <c r="C17" t="inlineStr">
        <is>
          <t>HR-A / HR-AZ series</t>
        </is>
      </c>
      <c r="D17" t="inlineStr">
        <is>
          <t>0.1 mg analytical balances</t>
        </is>
      </c>
      <c r="E17" t="inlineStr">
        <is>
          <t>prior</t>
        </is>
      </c>
    </row>
    <row r="18">
      <c r="A18" t="n">
        <v>10</v>
      </c>
      <c r="B18" t="inlineStr">
        <is>
          <t>A&amp;D Weighing</t>
        </is>
      </c>
      <c r="C18" t="inlineStr">
        <is>
          <t>MX-50 / MS-70 moisture analyzers</t>
        </is>
      </c>
      <c r="D18" t="inlineStr">
        <is>
          <t>halogen-lamp moisture balances</t>
        </is>
      </c>
      <c r="E18" t="inlineStr">
        <is>
          <t>prior</t>
        </is>
      </c>
    </row>
    <row r="19">
      <c r="A19" t="n">
        <v>29</v>
      </c>
      <c r="B19" t="inlineStr">
        <is>
          <t>Ace Glass</t>
        </is>
      </c>
      <c r="C19" t="inlineStr">
        <is>
          <t>Adapter, Rotary Evaporator Vial Adapter</t>
        </is>
      </c>
      <c r="E19" t="inlineStr">
        <is>
          <t>thomassci</t>
        </is>
      </c>
      <c r="F19" t="inlineStr">
        <is>
          <t>https://www.thomassci.com/p/adapter-rotary-evaporator-vial-adapter</t>
        </is>
      </c>
    </row>
    <row r="20">
      <c r="A20" t="n">
        <v>29</v>
      </c>
      <c r="B20" t="inlineStr">
        <is>
          <t>Ace Glass</t>
        </is>
      </c>
      <c r="C20" t="inlineStr">
        <is>
          <t>1mL Tissue Grinder, Dounce Type, Glass</t>
        </is>
      </c>
      <c r="E20" t="inlineStr">
        <is>
          <t>thomassci</t>
        </is>
      </c>
      <c r="F20" t="inlineStr">
        <is>
          <t>https://www.thomassci.com/p/1ml-tissue-grinder-dounce-type</t>
        </is>
      </c>
    </row>
    <row r="21">
      <c r="A21" t="n">
        <v>29</v>
      </c>
      <c r="B21" t="inlineStr">
        <is>
          <t>Ace Glass</t>
        </is>
      </c>
      <c r="C21" t="inlineStr">
        <is>
          <t>Adapter, Gas Inlet</t>
        </is>
      </c>
      <c r="E21" t="inlineStr">
        <is>
          <t>thomassci</t>
        </is>
      </c>
      <c r="F21" t="inlineStr">
        <is>
          <t>https://www.thomassci.com/p/adapter-gas-inlet2</t>
        </is>
      </c>
    </row>
    <row r="22">
      <c r="A22" t="n">
        <v>29</v>
      </c>
      <c r="B22" t="inlineStr">
        <is>
          <t>Ace Glass</t>
        </is>
      </c>
      <c r="C22" t="inlineStr">
        <is>
          <t>Flask, Pressure, Round Bottom</t>
        </is>
      </c>
      <c r="E22" t="inlineStr">
        <is>
          <t>thomassci</t>
        </is>
      </c>
      <c r="F22" t="inlineStr">
        <is>
          <t>https://www.thomassci.com/p/flask-pressure-round-bottom1</t>
        </is>
      </c>
    </row>
    <row r="23">
      <c r="A23" t="n">
        <v>29</v>
      </c>
      <c r="B23" t="inlineStr">
        <is>
          <t>Ace Glass</t>
        </is>
      </c>
      <c r="C23" t="inlineStr">
        <is>
          <t>Sublimation Apparatus, Vacuum</t>
        </is>
      </c>
      <c r="E23" t="inlineStr">
        <is>
          <t>thomassci</t>
        </is>
      </c>
      <c r="F23" t="inlineStr">
        <is>
          <t>https://www.thomassci.com/p/sublimation-apparatus-vacuum</t>
        </is>
      </c>
    </row>
    <row r="24">
      <c r="A24" t="n">
        <v>53</v>
      </c>
      <c r="B24" t="inlineStr">
        <is>
          <t>Agilent</t>
        </is>
      </c>
      <c r="C24" t="inlineStr">
        <is>
          <t>Agilent 1290 Infinity III LC</t>
        </is>
      </c>
      <c r="D24" t="inlineStr">
        <is>
          <t>flagship UHPLC liquid chromatography system</t>
        </is>
      </c>
      <c r="E24" t="inlineStr">
        <is>
          <t>prior</t>
        </is>
      </c>
    </row>
    <row r="25">
      <c r="A25" t="n">
        <v>53</v>
      </c>
      <c r="B25" t="inlineStr">
        <is>
          <t>Agilent</t>
        </is>
      </c>
      <c r="C25" t="inlineStr">
        <is>
          <t>Agilent 8890 GC / 7010 Triple Quad GC/MS</t>
        </is>
      </c>
      <c r="D25" t="inlineStr">
        <is>
          <t>gas chromatograph and GC-MS/MS systems</t>
        </is>
      </c>
      <c r="E25" t="inlineStr">
        <is>
          <t>prior</t>
        </is>
      </c>
    </row>
    <row r="26">
      <c r="A26" t="n">
        <v>53</v>
      </c>
      <c r="B26" t="inlineStr">
        <is>
          <t>Agilent</t>
        </is>
      </c>
      <c r="C26" t="inlineStr">
        <is>
          <t>Agilent BioTek Cytation</t>
        </is>
      </c>
      <c r="D26" t="inlineStr">
        <is>
          <t>cell imaging multimode microplate reader</t>
        </is>
      </c>
      <c r="E26" t="inlineStr">
        <is>
          <t>prior</t>
        </is>
      </c>
    </row>
    <row r="27">
      <c r="A27" t="n">
        <v>56</v>
      </c>
      <c r="B27" t="inlineStr">
        <is>
          <t>Agilent Technologies</t>
        </is>
      </c>
      <c r="C27" t="inlineStr">
        <is>
          <t>Agilent 1290 Infinity III LC</t>
        </is>
      </c>
      <c r="D27" t="inlineStr">
        <is>
          <t>flagship UHPLC liquid chromatography system</t>
        </is>
      </c>
      <c r="E27" t="inlineStr">
        <is>
          <t>prior</t>
        </is>
      </c>
    </row>
    <row r="28">
      <c r="A28" t="n">
        <v>56</v>
      </c>
      <c r="B28" t="inlineStr">
        <is>
          <t>Agilent Technologies</t>
        </is>
      </c>
      <c r="C28" t="inlineStr">
        <is>
          <t>Agilent 8890 GC / 7010 Triple Quad GC/MS</t>
        </is>
      </c>
      <c r="D28" t="inlineStr">
        <is>
          <t>gas chromatograph and GC-MS/MS systems</t>
        </is>
      </c>
      <c r="E28" t="inlineStr">
        <is>
          <t>prior</t>
        </is>
      </c>
    </row>
    <row r="29">
      <c r="A29" t="n">
        <v>56</v>
      </c>
      <c r="B29" t="inlineStr">
        <is>
          <t>Agilent Technologies</t>
        </is>
      </c>
      <c r="C29" t="inlineStr">
        <is>
          <t>Agilent BioTek Cytation</t>
        </is>
      </c>
      <c r="D29" t="inlineStr">
        <is>
          <t>cell imaging multimode microplate reader</t>
        </is>
      </c>
      <c r="E29" t="inlineStr">
        <is>
          <t>prior</t>
        </is>
      </c>
    </row>
    <row r="30">
      <c r="A30" t="n">
        <v>99</v>
      </c>
      <c r="B30" t="inlineStr">
        <is>
          <t>Analytik Jena</t>
        </is>
      </c>
      <c r="C30" t="inlineStr">
        <is>
          <t>PlasmaQuant 9100 / PlasmaQuant MS</t>
        </is>
      </c>
      <c r="D30" t="inlineStr">
        <is>
          <t>ICP-OES and ICP-MS spectrometers</t>
        </is>
      </c>
      <c r="E30" t="inlineStr">
        <is>
          <t>prior</t>
        </is>
      </c>
    </row>
    <row r="31">
      <c r="A31" t="n">
        <v>99</v>
      </c>
      <c r="B31" t="inlineStr">
        <is>
          <t>Analytik Jena</t>
        </is>
      </c>
      <c r="C31" t="inlineStr">
        <is>
          <t>contrAA 800</t>
        </is>
      </c>
      <c r="D31" t="inlineStr">
        <is>
          <t>high-resolution continuum-source AAS</t>
        </is>
      </c>
      <c r="E31" t="inlineStr">
        <is>
          <t>prior</t>
        </is>
      </c>
    </row>
    <row r="32">
      <c r="A32" t="n">
        <v>99</v>
      </c>
      <c r="B32" t="inlineStr">
        <is>
          <t>Analytik Jena</t>
        </is>
      </c>
      <c r="C32" t="inlineStr">
        <is>
          <t>multi N/C series</t>
        </is>
      </c>
      <c r="D32" t="inlineStr">
        <is>
          <t>TOC/TNb analyzers</t>
        </is>
      </c>
      <c r="E32" t="inlineStr">
        <is>
          <t>prior</t>
        </is>
      </c>
    </row>
    <row r="33">
      <c r="A33" t="n">
        <v>108</v>
      </c>
      <c r="B33" t="inlineStr">
        <is>
          <t>Anton Paar</t>
        </is>
      </c>
      <c r="C33" t="inlineStr">
        <is>
          <t>DMA density meters (e.g. DMA 5000 M)</t>
        </is>
      </c>
      <c r="D33" t="inlineStr">
        <is>
          <t>laboratory density &amp; concentration measurement</t>
        </is>
      </c>
      <c r="E33" t="inlineStr">
        <is>
          <t>prior</t>
        </is>
      </c>
    </row>
    <row r="34">
      <c r="A34" t="n">
        <v>108</v>
      </c>
      <c r="B34" t="inlineStr">
        <is>
          <t>Anton Paar</t>
        </is>
      </c>
      <c r="C34" t="inlineStr">
        <is>
          <t>MCR rheometer series (e.g. MCR 702e)</t>
        </is>
      </c>
      <c r="D34" t="inlineStr">
        <is>
          <t>rotational &amp; oscillatory rheometers</t>
        </is>
      </c>
      <c r="E34" t="inlineStr">
        <is>
          <t>prior</t>
        </is>
      </c>
    </row>
    <row r="35">
      <c r="A35" t="n">
        <v>108</v>
      </c>
      <c r="B35" t="inlineStr">
        <is>
          <t>Anton Paar</t>
        </is>
      </c>
      <c r="C35" t="inlineStr">
        <is>
          <t>Multiwave 5000 / 7000</t>
        </is>
      </c>
      <c r="D35" t="inlineStr">
        <is>
          <t>microwave sample digestion systems</t>
        </is>
      </c>
      <c r="E35" t="inlineStr">
        <is>
          <t>prior</t>
        </is>
      </c>
    </row>
    <row r="36">
      <c r="A36" t="n">
        <v>145</v>
      </c>
      <c r="B36" t="inlineStr">
        <is>
          <t>Avantor - J.T.Baker®</t>
        </is>
      </c>
      <c r="C36" t="inlineStr">
        <is>
          <t>VWR-brand consumables and lab supplies</t>
        </is>
      </c>
      <c r="D36" t="inlineStr">
        <is>
          <t>lab products sold through the VWR distribution channel</t>
        </is>
      </c>
      <c r="E36" t="inlineStr">
        <is>
          <t>prior</t>
        </is>
      </c>
    </row>
    <row r="37">
      <c r="A37" t="n">
        <v>145</v>
      </c>
      <c r="B37" t="inlineStr">
        <is>
          <t>Avantor - J.T.Baker®</t>
        </is>
      </c>
      <c r="C37" t="inlineStr">
        <is>
          <t>J.T.Baker chemicals</t>
        </is>
      </c>
      <c r="D37" t="inlineStr">
        <is>
          <t>high-purity lab chemicals and solvents</t>
        </is>
      </c>
      <c r="E37" t="inlineStr">
        <is>
          <t>prior</t>
        </is>
      </c>
    </row>
    <row r="38">
      <c r="A38" t="n">
        <v>145</v>
      </c>
      <c r="B38" t="inlineStr">
        <is>
          <t>Avantor - J.T.Baker®</t>
        </is>
      </c>
      <c r="C38" t="inlineStr">
        <is>
          <t>NuSil silicones</t>
        </is>
      </c>
      <c r="D38" t="inlineStr">
        <is>
          <t>medical- and implant-grade silicone materials</t>
        </is>
      </c>
      <c r="E38" t="inlineStr">
        <is>
          <t>prior</t>
        </is>
      </c>
    </row>
    <row r="39">
      <c r="A39" t="n">
        <v>146</v>
      </c>
      <c r="B39" t="inlineStr">
        <is>
          <t>Avantor - Macron Fine Chemicals™</t>
        </is>
      </c>
      <c r="C39" t="inlineStr">
        <is>
          <t>VWR-brand consumables and lab supplies</t>
        </is>
      </c>
      <c r="D39" t="inlineStr">
        <is>
          <t>lab products sold through the VWR distribution channel</t>
        </is>
      </c>
      <c r="E39" t="inlineStr">
        <is>
          <t>prior</t>
        </is>
      </c>
    </row>
    <row r="40">
      <c r="A40" t="n">
        <v>146</v>
      </c>
      <c r="B40" t="inlineStr">
        <is>
          <t>Avantor - Macron Fine Chemicals™</t>
        </is>
      </c>
      <c r="C40" t="inlineStr">
        <is>
          <t>J.T.Baker chemicals</t>
        </is>
      </c>
      <c r="D40" t="inlineStr">
        <is>
          <t>high-purity lab chemicals and solvents</t>
        </is>
      </c>
      <c r="E40" t="inlineStr">
        <is>
          <t>prior</t>
        </is>
      </c>
    </row>
    <row r="41">
      <c r="A41" t="n">
        <v>146</v>
      </c>
      <c r="B41" t="inlineStr">
        <is>
          <t>Avantor - Macron Fine Chemicals™</t>
        </is>
      </c>
      <c r="C41" t="inlineStr">
        <is>
          <t>NuSil silicones</t>
        </is>
      </c>
      <c r="D41" t="inlineStr">
        <is>
          <t>medical- and implant-grade silicone materials</t>
        </is>
      </c>
      <c r="E41" t="inlineStr">
        <is>
          <t>prior</t>
        </is>
      </c>
    </row>
    <row r="42">
      <c r="A42" t="n">
        <v>149</v>
      </c>
      <c r="B42" t="inlineStr">
        <is>
          <t>Azenta</t>
        </is>
      </c>
      <c r="C42" t="inlineStr">
        <is>
          <t>BioStore III Cryo</t>
        </is>
      </c>
      <c r="D42" t="inlineStr">
        <is>
          <t>automated LN2 cryogenic sample storage system</t>
        </is>
      </c>
      <c r="E42" t="inlineStr">
        <is>
          <t>prior</t>
        </is>
      </c>
    </row>
    <row r="43">
      <c r="A43" t="n">
        <v>149</v>
      </c>
      <c r="B43" t="inlineStr">
        <is>
          <t>Azenta</t>
        </is>
      </c>
      <c r="C43" t="inlineStr">
        <is>
          <t>FluidX / Ziath tubes and readers</t>
        </is>
      </c>
      <c r="D43" t="inlineStr">
        <is>
          <t>2D-barcoded sample tubes and rack scanners</t>
        </is>
      </c>
      <c r="E43" t="inlineStr">
        <is>
          <t>prior</t>
        </is>
      </c>
    </row>
    <row r="44">
      <c r="A44" t="n">
        <v>149</v>
      </c>
      <c r="B44" t="inlineStr">
        <is>
          <t>Azenta</t>
        </is>
      </c>
      <c r="C44" t="inlineStr">
        <is>
          <t>GENEWIZ services</t>
        </is>
      </c>
      <c r="D44" t="inlineStr">
        <is>
          <t>Sanger/NGS sequencing and gene synthesis services</t>
        </is>
      </c>
      <c r="E44" t="inlineStr">
        <is>
          <t>prior</t>
        </is>
      </c>
    </row>
    <row r="45">
      <c r="A45" t="n">
        <v>150</v>
      </c>
      <c r="B45" t="inlineStr">
        <is>
          <t>Azenta Life Sciences (formerly 4titude)</t>
        </is>
      </c>
      <c r="C45" t="inlineStr">
        <is>
          <t>BioStore III Cryo</t>
        </is>
      </c>
      <c r="D45" t="inlineStr">
        <is>
          <t>automated LN2 cryogenic sample storage system</t>
        </is>
      </c>
      <c r="E45" t="inlineStr">
        <is>
          <t>prior</t>
        </is>
      </c>
    </row>
    <row r="46">
      <c r="A46" t="n">
        <v>150</v>
      </c>
      <c r="B46" t="inlineStr">
        <is>
          <t>Azenta Life Sciences (formerly 4titude)</t>
        </is>
      </c>
      <c r="C46" t="inlineStr">
        <is>
          <t>FluidX / Ziath tubes and readers</t>
        </is>
      </c>
      <c r="D46" t="inlineStr">
        <is>
          <t>2D-barcoded sample tubes and rack scanners</t>
        </is>
      </c>
      <c r="E46" t="inlineStr">
        <is>
          <t>prior</t>
        </is>
      </c>
    </row>
    <row r="47">
      <c r="A47" t="n">
        <v>150</v>
      </c>
      <c r="B47" t="inlineStr">
        <is>
          <t>Azenta Life Sciences (formerly 4titude)</t>
        </is>
      </c>
      <c r="C47" t="inlineStr">
        <is>
          <t>GENEWIZ services</t>
        </is>
      </c>
      <c r="D47" t="inlineStr">
        <is>
          <t>Sanger/NGS sequencing and gene synthesis services</t>
        </is>
      </c>
      <c r="E47" t="inlineStr">
        <is>
          <t>prior</t>
        </is>
      </c>
    </row>
    <row r="48">
      <c r="A48" t="n">
        <v>165</v>
      </c>
      <c r="B48" t="inlineStr">
        <is>
          <t>BD Biosciences</t>
        </is>
      </c>
      <c r="C48" t="inlineStr">
        <is>
          <t>BD FACSDiscover S8</t>
        </is>
      </c>
      <c r="D48" t="inlineStr">
        <is>
          <t>spectral cell sorter with real-time cell imaging</t>
        </is>
      </c>
      <c r="E48" t="inlineStr">
        <is>
          <t>prior</t>
        </is>
      </c>
    </row>
    <row r="49">
      <c r="A49" t="n">
        <v>165</v>
      </c>
      <c r="B49" t="inlineStr">
        <is>
          <t>BD Biosciences</t>
        </is>
      </c>
      <c r="C49" t="inlineStr">
        <is>
          <t>BD FACSymphony A5 SE / A1</t>
        </is>
      </c>
      <c r="D49" t="inlineStr">
        <is>
          <t>high-parameter spectral flow cytometry analyzers</t>
        </is>
      </c>
      <c r="E49" t="inlineStr">
        <is>
          <t>prior</t>
        </is>
      </c>
    </row>
    <row r="50">
      <c r="A50" t="n">
        <v>165</v>
      </c>
      <c r="B50" t="inlineStr">
        <is>
          <t>BD Biosciences</t>
        </is>
      </c>
      <c r="C50" t="inlineStr">
        <is>
          <t>BD BACTEC FX, BD MAX, BD Phoenix</t>
        </is>
      </c>
      <c r="D50" t="inlineStr">
        <is>
          <t>blood-culture, molecular IVD and ID/AST systems</t>
        </is>
      </c>
      <c r="E50" t="inlineStr">
        <is>
          <t>prior</t>
        </is>
      </c>
    </row>
    <row r="51">
      <c r="A51" t="n">
        <v>168</v>
      </c>
      <c r="B51" t="inlineStr">
        <is>
          <t>Beckman Coulter</t>
        </is>
      </c>
      <c r="C51" t="inlineStr">
        <is>
          <t>DxH 900</t>
        </is>
      </c>
      <c r="D51" t="inlineStr">
        <is>
          <t>hematology analyzer (Diagnostics)</t>
        </is>
      </c>
      <c r="E51" t="inlineStr">
        <is>
          <t>prior</t>
        </is>
      </c>
    </row>
    <row r="52">
      <c r="A52" t="n">
        <v>168</v>
      </c>
      <c r="B52" t="inlineStr">
        <is>
          <t>Beckman Coulter</t>
        </is>
      </c>
      <c r="C52" t="inlineStr">
        <is>
          <t>DxI 9000 Access</t>
        </is>
      </c>
      <c r="D52" t="inlineStr">
        <is>
          <t>immunoassay analyzer (Diagnostics)</t>
        </is>
      </c>
      <c r="E52" t="inlineStr">
        <is>
          <t>prior</t>
        </is>
      </c>
    </row>
    <row r="53">
      <c r="A53" t="n">
        <v>168</v>
      </c>
      <c r="B53" t="inlineStr">
        <is>
          <t>Beckman Coulter</t>
        </is>
      </c>
      <c r="C53" t="inlineStr">
        <is>
          <t>CytoFLEX</t>
        </is>
      </c>
      <c r="D53" t="inlineStr">
        <is>
          <t>benchtop flow cytometers (Life Sciences)</t>
        </is>
      </c>
      <c r="E53" t="inlineStr">
        <is>
          <t>prior</t>
        </is>
      </c>
    </row>
    <row r="54">
      <c r="A54" t="n">
        <v>189</v>
      </c>
      <c r="B54" t="inlineStr">
        <is>
          <t>Binder</t>
        </is>
      </c>
      <c r="C54" t="inlineStr">
        <is>
          <t>KBF / KBF P series</t>
        </is>
      </c>
      <c r="D54" t="inlineStr">
        <is>
          <t>constant climate chambers for ICH stability testing</t>
        </is>
      </c>
      <c r="E54" t="inlineStr">
        <is>
          <t>prior</t>
        </is>
      </c>
    </row>
    <row r="55">
      <c r="A55" t="n">
        <v>189</v>
      </c>
      <c r="B55" t="inlineStr">
        <is>
          <t>Binder</t>
        </is>
      </c>
      <c r="C55" t="inlineStr">
        <is>
          <t>CB / CB-S series</t>
        </is>
      </c>
      <c r="D55" t="inlineStr">
        <is>
          <t>CO2 incubators with hot-air sterilisation</t>
        </is>
      </c>
      <c r="E55" t="inlineStr">
        <is>
          <t>prior</t>
        </is>
      </c>
    </row>
    <row r="56">
      <c r="A56" t="n">
        <v>189</v>
      </c>
      <c r="B56" t="inlineStr">
        <is>
          <t>Binder</t>
        </is>
      </c>
      <c r="C56" t="inlineStr">
        <is>
          <t>FD / FED / FP series</t>
        </is>
      </c>
      <c r="D56" t="inlineStr">
        <is>
          <t>drying and heating chambers (lab ovens)</t>
        </is>
      </c>
      <c r="E56" t="inlineStr">
        <is>
          <t>prior</t>
        </is>
      </c>
    </row>
    <row r="57">
      <c r="A57" t="n">
        <v>192</v>
      </c>
      <c r="B57" t="inlineStr">
        <is>
          <t>Bio-Rad</t>
        </is>
      </c>
      <c r="C57" t="inlineStr">
        <is>
          <t>QX600 Droplet Digital PCR</t>
        </is>
      </c>
      <c r="D57" t="inlineStr">
        <is>
          <t>ddPCR absolute nucleic-acid quantification system</t>
        </is>
      </c>
      <c r="E57" t="inlineStr">
        <is>
          <t>prior</t>
        </is>
      </c>
    </row>
    <row r="58">
      <c r="A58" t="n">
        <v>192</v>
      </c>
      <c r="B58" t="inlineStr">
        <is>
          <t>Bio-Rad</t>
        </is>
      </c>
      <c r="C58" t="inlineStr">
        <is>
          <t>CFX Opus Real-Time PCR</t>
        </is>
      </c>
      <c r="D58" t="inlineStr">
        <is>
          <t>qPCR detection systems</t>
        </is>
      </c>
      <c r="E58" t="inlineStr">
        <is>
          <t>prior</t>
        </is>
      </c>
    </row>
    <row r="59">
      <c r="A59" t="n">
        <v>192</v>
      </c>
      <c r="B59" t="inlineStr">
        <is>
          <t>Bio-Rad</t>
        </is>
      </c>
      <c r="C59" t="inlineStr">
        <is>
          <t>ChemiDoc MP</t>
        </is>
      </c>
      <c r="D59" t="inlineStr">
        <is>
          <t>gel and western-blot imaging system</t>
        </is>
      </c>
      <c r="E59" t="inlineStr">
        <is>
          <t>prior</t>
        </is>
      </c>
    </row>
    <row r="60">
      <c r="A60" t="n">
        <v>217</v>
      </c>
      <c r="B60" t="inlineStr">
        <is>
          <t>Biotage</t>
        </is>
      </c>
      <c r="C60" t="inlineStr">
        <is>
          <t>Biotage Selekt (with Sfär columns)</t>
        </is>
      </c>
      <c r="D60" t="inlineStr">
        <is>
          <t>flash chromatography purification system and columns</t>
        </is>
      </c>
      <c r="E60" t="inlineStr">
        <is>
          <t>prior</t>
        </is>
      </c>
    </row>
    <row r="61">
      <c r="A61" t="n">
        <v>217</v>
      </c>
      <c r="B61" t="inlineStr">
        <is>
          <t>Biotage</t>
        </is>
      </c>
      <c r="C61" t="inlineStr">
        <is>
          <t>Biotage Extrahera</t>
        </is>
      </c>
      <c r="D61" t="inlineStr">
        <is>
          <t>automated SPE/SLE sample-preparation workstation</t>
        </is>
      </c>
      <c r="E61" t="inlineStr">
        <is>
          <t>prior</t>
        </is>
      </c>
    </row>
    <row r="62">
      <c r="A62" t="n">
        <v>217</v>
      </c>
      <c r="B62" t="inlineStr">
        <is>
          <t>Biotage</t>
        </is>
      </c>
      <c r="C62" t="inlineStr">
        <is>
          <t>Biotage Initiator+ / Alstra+</t>
        </is>
      </c>
      <c r="D62" t="inlineStr">
        <is>
          <t>microwave organic and peptide synthesizers</t>
        </is>
      </c>
      <c r="E62" t="inlineStr">
        <is>
          <t>prior</t>
        </is>
      </c>
    </row>
    <row r="63">
      <c r="A63" t="n">
        <v>246</v>
      </c>
      <c r="B63" t="inlineStr">
        <is>
          <t>Brand</t>
        </is>
      </c>
      <c r="C63" t="inlineStr">
        <is>
          <t>Transferpette S / electronic</t>
        </is>
      </c>
      <c r="D63" t="inlineStr">
        <is>
          <t>single- and multichannel air-displacement pipettes</t>
        </is>
      </c>
      <c r="E63" t="inlineStr">
        <is>
          <t>prior</t>
        </is>
      </c>
    </row>
    <row r="64">
      <c r="A64" t="n">
        <v>246</v>
      </c>
      <c r="B64" t="inlineStr">
        <is>
          <t>Brand</t>
        </is>
      </c>
      <c r="C64" t="inlineStr">
        <is>
          <t>Dispensette S &amp; HandyStep</t>
        </is>
      </c>
      <c r="D64" t="inlineStr">
        <is>
          <t>bottle-top dispensers and repetitive pipettes</t>
        </is>
      </c>
      <c r="E64" t="inlineStr">
        <is>
          <t>prior</t>
        </is>
      </c>
    </row>
    <row r="65">
      <c r="A65" t="n">
        <v>246</v>
      </c>
      <c r="B65" t="inlineStr">
        <is>
          <t>Brand</t>
        </is>
      </c>
      <c r="C65" t="inlineStr">
        <is>
          <t>BLAUBRAND volumetric glassware</t>
        </is>
      </c>
      <c r="D65" t="inlineStr">
        <is>
          <t>Class A flasks, pipettes, burettes</t>
        </is>
      </c>
      <c r="E65" t="inlineStr">
        <is>
          <t>prior</t>
        </is>
      </c>
    </row>
    <row r="66">
      <c r="A66" t="n">
        <v>247</v>
      </c>
      <c r="B66" t="inlineStr">
        <is>
          <t>BrandTech®</t>
        </is>
      </c>
      <c r="C66" t="inlineStr">
        <is>
          <t>Transferpette S / electronic</t>
        </is>
      </c>
      <c r="D66" t="inlineStr">
        <is>
          <t>single- and multichannel air-displacement pipettes</t>
        </is>
      </c>
      <c r="E66" t="inlineStr">
        <is>
          <t>prior</t>
        </is>
      </c>
    </row>
    <row r="67">
      <c r="A67" t="n">
        <v>247</v>
      </c>
      <c r="B67" t="inlineStr">
        <is>
          <t>BrandTech®</t>
        </is>
      </c>
      <c r="C67" t="inlineStr">
        <is>
          <t>Dispensette S &amp; HandyStep</t>
        </is>
      </c>
      <c r="D67" t="inlineStr">
        <is>
          <t>bottle-top dispensers and repetitive pipettes</t>
        </is>
      </c>
      <c r="E67" t="inlineStr">
        <is>
          <t>prior</t>
        </is>
      </c>
    </row>
    <row r="68">
      <c r="A68" t="n">
        <v>247</v>
      </c>
      <c r="B68" t="inlineStr">
        <is>
          <t>BrandTech®</t>
        </is>
      </c>
      <c r="C68" t="inlineStr">
        <is>
          <t>BLAUBRAND volumetric glassware</t>
        </is>
      </c>
      <c r="D68" t="inlineStr">
        <is>
          <t>Class A flasks, pipettes, burettes</t>
        </is>
      </c>
      <c r="E68" t="inlineStr">
        <is>
          <t>prior</t>
        </is>
      </c>
    </row>
    <row r="69">
      <c r="A69" t="n">
        <v>257</v>
      </c>
      <c r="B69" t="inlineStr">
        <is>
          <t>Buchi</t>
        </is>
      </c>
      <c r="C69" t="inlineStr">
        <is>
          <t>Rotavapor R-300</t>
        </is>
      </c>
      <c r="D69" t="inlineStr">
        <is>
          <t>modular rotary evaporator system</t>
        </is>
      </c>
      <c r="E69" t="inlineStr">
        <is>
          <t>prior</t>
        </is>
      </c>
    </row>
    <row r="70">
      <c r="A70" t="n">
        <v>257</v>
      </c>
      <c r="B70" t="inlineStr">
        <is>
          <t>Buchi</t>
        </is>
      </c>
      <c r="C70" t="inlineStr">
        <is>
          <t>Mini Spray Dryer S-300 / B-290</t>
        </is>
      </c>
      <c r="D70" t="inlineStr">
        <is>
          <t>laboratory spray dryers</t>
        </is>
      </c>
      <c r="E70" t="inlineStr">
        <is>
          <t>prior</t>
        </is>
      </c>
    </row>
    <row r="71">
      <c r="A71" t="n">
        <v>257</v>
      </c>
      <c r="B71" t="inlineStr">
        <is>
          <t>Buchi</t>
        </is>
      </c>
      <c r="C71" t="inlineStr">
        <is>
          <t>KjelMaster K-375 / Kjeldahl line</t>
        </is>
      </c>
      <c r="D71" t="inlineStr">
        <is>
          <t>nitrogen and protein determination systems</t>
        </is>
      </c>
      <c r="E71" t="inlineStr">
        <is>
          <t>prior</t>
        </is>
      </c>
    </row>
    <row r="72">
      <c r="A72" t="n">
        <v>345</v>
      </c>
      <c r="B72" t="inlineStr">
        <is>
          <t>Cole parmer</t>
        </is>
      </c>
      <c r="C72" t="inlineStr">
        <is>
          <t>Jenway spectrophotometers</t>
        </is>
      </c>
      <c r="D72" t="inlineStr">
        <is>
          <t>UV/Vis and visible benchtop spectrophotometers</t>
        </is>
      </c>
      <c r="E72" t="inlineStr">
        <is>
          <t>prior</t>
        </is>
      </c>
    </row>
    <row r="73">
      <c r="A73" t="n">
        <v>345</v>
      </c>
      <c r="B73" t="inlineStr">
        <is>
          <t>Cole parmer</t>
        </is>
      </c>
      <c r="C73" t="inlineStr">
        <is>
          <t>Environmental Express HotBlock</t>
        </is>
      </c>
      <c r="D73" t="inlineStr">
        <is>
          <t>sample digestion and prep for environmental testing</t>
        </is>
      </c>
      <c r="E73" t="inlineStr">
        <is>
          <t>prior</t>
        </is>
      </c>
    </row>
    <row r="74">
      <c r="A74" t="n">
        <v>345</v>
      </c>
      <c r="B74" t="inlineStr">
        <is>
          <t>Cole parmer</t>
        </is>
      </c>
      <c r="C74" t="inlineStr">
        <is>
          <t>Stuart / Techne benchtop equipment</t>
        </is>
      </c>
      <c r="D74" t="inlineStr">
        <is>
          <t>stirrers, shakers, hotplates, dry blocks, thermal cyclers</t>
        </is>
      </c>
      <c r="E74" t="inlineStr">
        <is>
          <t>prior</t>
        </is>
      </c>
    </row>
    <row r="75">
      <c r="A75" t="n">
        <v>362</v>
      </c>
      <c r="B75" t="inlineStr">
        <is>
          <t>Corning</t>
        </is>
      </c>
      <c r="C75" t="inlineStr">
        <is>
          <t>Falcon</t>
        </is>
      </c>
      <c r="D75" t="inlineStr">
        <is>
          <t>conical tubes, cell-culture plasticware, serological pipets</t>
        </is>
      </c>
      <c r="E75" t="inlineStr">
        <is>
          <t>prior</t>
        </is>
      </c>
    </row>
    <row r="76">
      <c r="A76" t="n">
        <v>362</v>
      </c>
      <c r="B76" t="inlineStr">
        <is>
          <t>Corning</t>
        </is>
      </c>
      <c r="C76" t="inlineStr">
        <is>
          <t>Corning Matrigel Matrix</t>
        </is>
      </c>
      <c r="D76" t="inlineStr">
        <is>
          <t>basement-membrane extract for 3D cell culture</t>
        </is>
      </c>
      <c r="E76" t="inlineStr">
        <is>
          <t>prior</t>
        </is>
      </c>
    </row>
    <row r="77">
      <c r="A77" t="n">
        <v>362</v>
      </c>
      <c r="B77" t="inlineStr">
        <is>
          <t>Corning</t>
        </is>
      </c>
      <c r="C77" t="inlineStr">
        <is>
          <t>Axygen</t>
        </is>
      </c>
      <c r="D77" t="inlineStr">
        <is>
          <t>pipette tips, PCR tubes/plates, genomics consumables</t>
        </is>
      </c>
      <c r="E77" t="inlineStr">
        <is>
          <t>prior</t>
        </is>
      </c>
    </row>
    <row r="78">
      <c r="A78" t="n">
        <v>388</v>
      </c>
      <c r="B78" t="inlineStr">
        <is>
          <t>Cytiva</t>
        </is>
      </c>
      <c r="C78" t="inlineStr">
        <is>
          <t>AKTA</t>
        </is>
      </c>
      <c r="D78" t="inlineStr">
        <is>
          <t>protein purification chromatography systems</t>
        </is>
      </c>
      <c r="E78" t="inlineStr">
        <is>
          <t>prior</t>
        </is>
      </c>
    </row>
    <row r="79">
      <c r="A79" t="n">
        <v>388</v>
      </c>
      <c r="B79" t="inlineStr">
        <is>
          <t>Cytiva</t>
        </is>
      </c>
      <c r="C79" t="inlineStr">
        <is>
          <t>MabSelect / Capto resins</t>
        </is>
      </c>
      <c r="D79" t="inlineStr">
        <is>
          <t>chromatography resins for biologics manufacturing</t>
        </is>
      </c>
      <c r="E79" t="inlineStr">
        <is>
          <t>prior</t>
        </is>
      </c>
    </row>
    <row r="80">
      <c r="A80" t="n">
        <v>388</v>
      </c>
      <c r="B80" t="inlineStr">
        <is>
          <t>Cytiva</t>
        </is>
      </c>
      <c r="C80" t="inlineStr">
        <is>
          <t>Biacore</t>
        </is>
      </c>
      <c r="D80" t="inlineStr">
        <is>
          <t>surface plasmon resonance interaction analysis</t>
        </is>
      </c>
      <c r="E80" t="inlineStr">
        <is>
          <t>prior</t>
        </is>
      </c>
    </row>
    <row r="81">
      <c r="A81" t="n">
        <v>418</v>
      </c>
      <c r="B81" t="inlineStr">
        <is>
          <t>Duran</t>
        </is>
      </c>
      <c r="C81" t="inlineStr">
        <is>
          <t>DURAN laboratory glass bottles</t>
        </is>
      </c>
      <c r="D81" t="inlineStr">
        <is>
          <t>GL 45 borosilicate 3.3 bottles &amp; lab glassware</t>
        </is>
      </c>
      <c r="E81" t="inlineStr">
        <is>
          <t>prior</t>
        </is>
      </c>
    </row>
    <row r="82">
      <c r="A82" t="n">
        <v>418</v>
      </c>
      <c r="B82" t="inlineStr">
        <is>
          <t>Duran</t>
        </is>
      </c>
      <c r="C82" t="inlineStr">
        <is>
          <t>WHEATON vials &amp; serum bottles</t>
        </is>
      </c>
      <c r="D82" t="inlineStr">
        <is>
          <t>glass vials, serum bottles, packaging</t>
        </is>
      </c>
      <c r="E82" t="inlineStr">
        <is>
          <t>prior</t>
        </is>
      </c>
    </row>
    <row r="83">
      <c r="A83" t="n">
        <v>418</v>
      </c>
      <c r="B83" t="inlineStr">
        <is>
          <t>Duran</t>
        </is>
      </c>
      <c r="C83" t="inlineStr">
        <is>
          <t>KIMBLE KIMAX glassware</t>
        </is>
      </c>
      <c r="D83" t="inlineStr">
        <is>
          <t>volumetric &amp; general laboratory glassware</t>
        </is>
      </c>
      <c r="E83" t="inlineStr">
        <is>
          <t>prior</t>
        </is>
      </c>
    </row>
    <row r="84">
      <c r="A84" t="n">
        <v>422</v>
      </c>
      <c r="B84" t="inlineStr">
        <is>
          <t>DWK Life Sciences (Wheaton)</t>
        </is>
      </c>
      <c r="C84" t="inlineStr">
        <is>
          <t>DURAN laboratory glass bottles</t>
        </is>
      </c>
      <c r="D84" t="inlineStr">
        <is>
          <t>GL 45 borosilicate 3.3 bottles &amp; lab glassware</t>
        </is>
      </c>
      <c r="E84" t="inlineStr">
        <is>
          <t>prior</t>
        </is>
      </c>
    </row>
    <row r="85">
      <c r="A85" t="n">
        <v>422</v>
      </c>
      <c r="B85" t="inlineStr">
        <is>
          <t>DWK Life Sciences (Wheaton)</t>
        </is>
      </c>
      <c r="C85" t="inlineStr">
        <is>
          <t>WHEATON vials &amp; serum bottles</t>
        </is>
      </c>
      <c r="D85" t="inlineStr">
        <is>
          <t>glass vials, serum bottles, packaging</t>
        </is>
      </c>
      <c r="E85" t="inlineStr">
        <is>
          <t>prior</t>
        </is>
      </c>
    </row>
    <row r="86">
      <c r="A86" t="n">
        <v>422</v>
      </c>
      <c r="B86" t="inlineStr">
        <is>
          <t>DWK Life Sciences (Wheaton)</t>
        </is>
      </c>
      <c r="C86" t="inlineStr">
        <is>
          <t>KIMBLE KIMAX glassware</t>
        </is>
      </c>
      <c r="D86" t="inlineStr">
        <is>
          <t>volumetric &amp; general laboratory glassware</t>
        </is>
      </c>
      <c r="E86" t="inlineStr">
        <is>
          <t>prior</t>
        </is>
      </c>
    </row>
    <row r="87">
      <c r="A87" t="n">
        <v>451</v>
      </c>
      <c r="B87" t="inlineStr">
        <is>
          <t>Electrothermal (Cole-Parmer)</t>
        </is>
      </c>
      <c r="C87" t="inlineStr">
        <is>
          <t>Jenway spectrophotometers</t>
        </is>
      </c>
      <c r="D87" t="inlineStr">
        <is>
          <t>UV/Vis and visible benchtop spectrophotometers</t>
        </is>
      </c>
      <c r="E87" t="inlineStr">
        <is>
          <t>prior</t>
        </is>
      </c>
    </row>
    <row r="88">
      <c r="A88" t="n">
        <v>451</v>
      </c>
      <c r="B88" t="inlineStr">
        <is>
          <t>Electrothermal (Cole-Parmer)</t>
        </is>
      </c>
      <c r="C88" t="inlineStr">
        <is>
          <t>Environmental Express HotBlock</t>
        </is>
      </c>
      <c r="D88" t="inlineStr">
        <is>
          <t>sample digestion and prep for environmental testing</t>
        </is>
      </c>
      <c r="E88" t="inlineStr">
        <is>
          <t>prior</t>
        </is>
      </c>
    </row>
    <row r="89">
      <c r="A89" t="n">
        <v>451</v>
      </c>
      <c r="B89" t="inlineStr">
        <is>
          <t>Electrothermal (Cole-Parmer)</t>
        </is>
      </c>
      <c r="C89" t="inlineStr">
        <is>
          <t>Stuart / Techne benchtop equipment</t>
        </is>
      </c>
      <c r="D89" t="inlineStr">
        <is>
          <t>stirrers, shakers, hotplates, dry blocks, thermal cyclers</t>
        </is>
      </c>
      <c r="E89" t="inlineStr">
        <is>
          <t>prior</t>
        </is>
      </c>
    </row>
    <row r="90">
      <c r="A90" t="n">
        <v>470</v>
      </c>
      <c r="B90" t="inlineStr">
        <is>
          <t>Eppendorf</t>
        </is>
      </c>
      <c r="C90" t="inlineStr">
        <is>
          <t>Eppendorf Research plus</t>
        </is>
      </c>
      <c r="D90" t="inlineStr">
        <is>
          <t>manual mechanical pipettes</t>
        </is>
      </c>
      <c r="E90" t="inlineStr">
        <is>
          <t>prior</t>
        </is>
      </c>
    </row>
    <row r="91">
      <c r="A91" t="n">
        <v>470</v>
      </c>
      <c r="B91" t="inlineStr">
        <is>
          <t>Eppendorf</t>
        </is>
      </c>
      <c r="C91" t="inlineStr">
        <is>
          <t>Centrifuge 5430 / 5910 Ri</t>
        </is>
      </c>
      <c r="D91" t="inlineStr">
        <is>
          <t>benchtop refrigerated centrifuges</t>
        </is>
      </c>
      <c r="E91" t="inlineStr">
        <is>
          <t>prior</t>
        </is>
      </c>
    </row>
    <row r="92">
      <c r="A92" t="n">
        <v>470</v>
      </c>
      <c r="B92" t="inlineStr">
        <is>
          <t>Eppendorf</t>
        </is>
      </c>
      <c r="C92" t="inlineStr">
        <is>
          <t>epMotion</t>
        </is>
      </c>
      <c r="D92" t="inlineStr">
        <is>
          <t>automated liquid-handling workstations</t>
        </is>
      </c>
      <c r="E92" t="inlineStr">
        <is>
          <t>prior</t>
        </is>
      </c>
    </row>
    <row r="93">
      <c r="A93" t="n">
        <v>477</v>
      </c>
      <c r="B93" t="inlineStr">
        <is>
          <t>Esco</t>
        </is>
      </c>
      <c r="C93" t="inlineStr">
        <is>
          <t>Airstream Class II (Gen 3)</t>
        </is>
      </c>
      <c r="D93" t="inlineStr">
        <is>
          <t>biological safety cabinets</t>
        </is>
      </c>
      <c r="E93" t="inlineStr">
        <is>
          <t>prior</t>
        </is>
      </c>
    </row>
    <row r="94">
      <c r="A94" t="n">
        <v>477</v>
      </c>
      <c r="B94" t="inlineStr">
        <is>
          <t>Esco</t>
        </is>
      </c>
      <c r="C94" t="inlineStr">
        <is>
          <t>CelCulture</t>
        </is>
      </c>
      <c r="D94" t="inlineStr">
        <is>
          <t>CO2 incubators</t>
        </is>
      </c>
      <c r="E94" t="inlineStr">
        <is>
          <t>prior</t>
        </is>
      </c>
    </row>
    <row r="95">
      <c r="A95" t="n">
        <v>477</v>
      </c>
      <c r="B95" t="inlineStr">
        <is>
          <t>Esco</t>
        </is>
      </c>
      <c r="C95" t="inlineStr">
        <is>
          <t>Isoclean / Streamline isolators</t>
        </is>
      </c>
      <c r="D95" t="inlineStr">
        <is>
          <t>aseptic and containment isolators</t>
        </is>
      </c>
      <c r="E95" t="inlineStr">
        <is>
          <t>prior</t>
        </is>
      </c>
    </row>
    <row r="96">
      <c r="A96" t="n">
        <v>552</v>
      </c>
      <c r="B96" t="inlineStr">
        <is>
          <t>Gilson Co. Inc.</t>
        </is>
      </c>
      <c r="C96" t="inlineStr">
        <is>
          <t>PIPETMAN L / G / P</t>
        </is>
      </c>
      <c r="D96" t="inlineStr">
        <is>
          <t>manual air-displacement micropipettes</t>
        </is>
      </c>
      <c r="E96" t="inlineStr">
        <is>
          <t>prior</t>
        </is>
      </c>
    </row>
    <row r="97">
      <c r="A97" t="n">
        <v>552</v>
      </c>
      <c r="B97" t="inlineStr">
        <is>
          <t>Gilson Co. Inc.</t>
        </is>
      </c>
      <c r="C97" t="inlineStr">
        <is>
          <t>PLC 2050 / 2250 purification systems</t>
        </is>
      </c>
      <c r="D97" t="inlineStr">
        <is>
          <t>preparative HPLC / flash purification</t>
        </is>
      </c>
      <c r="E97" t="inlineStr">
        <is>
          <t>prior</t>
        </is>
      </c>
    </row>
    <row r="98">
      <c r="A98" t="n">
        <v>552</v>
      </c>
      <c r="B98" t="inlineStr">
        <is>
          <t>Gilson Co. Inc.</t>
        </is>
      </c>
      <c r="C98" t="inlineStr">
        <is>
          <t>GX-271 / GX-274 ASPEC</t>
        </is>
      </c>
      <c r="D98" t="inlineStr">
        <is>
          <t>liquid-handling and SPE automation platforms</t>
        </is>
      </c>
      <c r="E98" t="inlineStr">
        <is>
          <t>prior</t>
        </is>
      </c>
    </row>
    <row r="99">
      <c r="A99" t="n">
        <v>573</v>
      </c>
      <c r="B99" t="inlineStr">
        <is>
          <t>Greiner Bio-One</t>
        </is>
      </c>
      <c r="C99" t="inlineStr">
        <is>
          <t>VACUETTE</t>
        </is>
      </c>
      <c r="D99" t="inlineStr">
        <is>
          <t>evacuated blood collection tubes &amp; safety needles</t>
        </is>
      </c>
      <c r="E99" t="inlineStr">
        <is>
          <t>prior</t>
        </is>
      </c>
    </row>
    <row r="100">
      <c r="A100" t="n">
        <v>573</v>
      </c>
      <c r="B100" t="inlineStr">
        <is>
          <t>Greiner Bio-One</t>
        </is>
      </c>
      <c r="C100" t="inlineStr">
        <is>
          <t>CELLSTAR</t>
        </is>
      </c>
      <c r="D100" t="inlineStr">
        <is>
          <t>cell culture flasks, dishes &amp; plates</t>
        </is>
      </c>
      <c r="E100" t="inlineStr">
        <is>
          <t>prior</t>
        </is>
      </c>
    </row>
    <row r="101">
      <c r="A101" t="n">
        <v>573</v>
      </c>
      <c r="B101" t="inlineStr">
        <is>
          <t>Greiner Bio-One</t>
        </is>
      </c>
      <c r="C101" t="inlineStr">
        <is>
          <t>Sapphire tips &amp; µClear microplates</t>
        </is>
      </c>
      <c r="D101" t="inlineStr">
        <is>
          <t>pipette tips, PCR &amp; assay microplates</t>
        </is>
      </c>
      <c r="E101" t="inlineStr">
        <is>
          <t>prior</t>
        </is>
      </c>
    </row>
    <row r="102">
      <c r="A102" t="n">
        <v>584</v>
      </c>
      <c r="B102" t="inlineStr">
        <is>
          <t>Hach</t>
        </is>
      </c>
      <c r="C102" t="inlineStr">
        <is>
          <t>DR3900 / DR6000</t>
        </is>
      </c>
      <c r="D102" t="inlineStr">
        <is>
          <t>benchtop VIS / UV-VIS spectrophotometers for water analysis</t>
        </is>
      </c>
      <c r="E102" t="inlineStr">
        <is>
          <t>prior</t>
        </is>
      </c>
    </row>
    <row r="103">
      <c r="A103" t="n">
        <v>584</v>
      </c>
      <c r="B103" t="inlineStr">
        <is>
          <t>Hach</t>
        </is>
      </c>
      <c r="C103" t="inlineStr">
        <is>
          <t>TNTplus</t>
        </is>
      </c>
      <c r="D103" t="inlineStr">
        <is>
          <t>barcoded reagent-vial test chemistries</t>
        </is>
      </c>
      <c r="E103" t="inlineStr">
        <is>
          <t>prior</t>
        </is>
      </c>
    </row>
    <row r="104">
      <c r="A104" t="n">
        <v>584</v>
      </c>
      <c r="B104" t="inlineStr">
        <is>
          <t>Hach</t>
        </is>
      </c>
      <c r="C104" t="inlineStr">
        <is>
          <t>HQ series (HQ1100/HQ4300) with Intellical probes</t>
        </is>
      </c>
      <c r="D104" t="inlineStr">
        <is>
          <t>portable and benchtop pH / DO / conductivity meters</t>
        </is>
      </c>
      <c r="E104" t="inlineStr">
        <is>
          <t>prior</t>
        </is>
      </c>
    </row>
    <row r="105">
      <c r="A105" t="n">
        <v>585</v>
      </c>
      <c r="B105" t="inlineStr">
        <is>
          <t>Haier</t>
        </is>
      </c>
      <c r="C105" t="inlineStr">
        <is>
          <t>DW-86L series</t>
        </is>
      </c>
      <c r="D105" t="inlineStr">
        <is>
          <t>-86C ultra-low temperature freezers</t>
        </is>
      </c>
      <c r="E105" t="inlineStr">
        <is>
          <t>prior</t>
        </is>
      </c>
    </row>
    <row r="106">
      <c r="A106" t="n">
        <v>585</v>
      </c>
      <c r="B106" t="inlineStr">
        <is>
          <t>Haier</t>
        </is>
      </c>
      <c r="C106" t="inlineStr">
        <is>
          <t>Automated Biobank</t>
        </is>
      </c>
      <c r="D106" t="inlineStr">
        <is>
          <t>automated -80C / LN2 sample storage systems</t>
        </is>
      </c>
      <c r="E106" t="inlineStr">
        <is>
          <t>prior</t>
        </is>
      </c>
    </row>
    <row r="107">
      <c r="A107" t="n">
        <v>585</v>
      </c>
      <c r="B107" t="inlineStr">
        <is>
          <t>Haier</t>
        </is>
      </c>
      <c r="C107" t="inlineStr">
        <is>
          <t>HXC / HYC series</t>
        </is>
      </c>
      <c r="D107" t="inlineStr">
        <is>
          <t>blood bank and pharmacy/vaccine refrigerators</t>
        </is>
      </c>
      <c r="E107" t="inlineStr">
        <is>
          <t>prior</t>
        </is>
      </c>
    </row>
    <row r="108">
      <c r="A108" t="n">
        <v>587</v>
      </c>
      <c r="B108" t="inlineStr">
        <is>
          <t>Hamilton</t>
        </is>
      </c>
      <c r="C108" t="inlineStr">
        <is>
          <t>Microlab STAR / STARlet / Vantage</t>
        </is>
      </c>
      <c r="D108" t="inlineStr">
        <is>
          <t>automated liquid-handling workstations with CO-RE pipetting</t>
        </is>
      </c>
      <c r="E108" t="inlineStr">
        <is>
          <t>prior</t>
        </is>
      </c>
    </row>
    <row r="109">
      <c r="A109" t="n">
        <v>587</v>
      </c>
      <c r="B109" t="inlineStr">
        <is>
          <t>Hamilton</t>
        </is>
      </c>
      <c r="C109" t="inlineStr">
        <is>
          <t>Hamilton precision syringes (Microliter / Gastight)</t>
        </is>
      </c>
      <c r="D109" t="inlineStr">
        <is>
          <t>glass microliter syringes for GC/HPLC autosamplers</t>
        </is>
      </c>
      <c r="E109" t="inlineStr">
        <is>
          <t>prior</t>
        </is>
      </c>
    </row>
    <row r="110">
      <c r="A110" t="n">
        <v>587</v>
      </c>
      <c r="B110" t="inlineStr">
        <is>
          <t>Hamilton</t>
        </is>
      </c>
      <c r="C110" t="inlineStr">
        <is>
          <t>Hamilton Storage BiOS / SAM</t>
        </is>
      </c>
      <c r="D110" t="inlineStr">
        <is>
          <t>automated ultra-low-temperature sample storage systems</t>
        </is>
      </c>
      <c r="E110" t="inlineStr">
        <is>
          <t>prior</t>
        </is>
      </c>
    </row>
    <row r="111">
      <c r="A111" t="n">
        <v>590</v>
      </c>
      <c r="B111" t="inlineStr">
        <is>
          <t>Hanna Instruments</t>
        </is>
      </c>
      <c r="C111" t="inlineStr">
        <is>
          <t>HI931 / HI932</t>
        </is>
      </c>
      <c r="D111" t="inlineStr">
        <is>
          <t>automatic potentiometric titrators</t>
        </is>
      </c>
      <c r="E111" t="inlineStr">
        <is>
          <t>prior</t>
        </is>
      </c>
    </row>
    <row r="112">
      <c r="A112" t="n">
        <v>590</v>
      </c>
      <c r="B112" t="inlineStr">
        <is>
          <t>Hanna Instruments</t>
        </is>
      </c>
      <c r="C112" t="inlineStr">
        <is>
          <t>edge (HI2020)</t>
        </is>
      </c>
      <c r="D112" t="inlineStr">
        <is>
          <t>benchtop/portable pH, EC and DO meter</t>
        </is>
      </c>
      <c r="E112" t="inlineStr">
        <is>
          <t>prior</t>
        </is>
      </c>
    </row>
    <row r="113">
      <c r="A113" t="n">
        <v>590</v>
      </c>
      <c r="B113" t="inlineStr">
        <is>
          <t>Hanna Instruments</t>
        </is>
      </c>
      <c r="C113" t="inlineStr">
        <is>
          <t>HI83300 series &amp; Checker HC</t>
        </is>
      </c>
      <c r="D113" t="inlineStr">
        <is>
          <t>multiparameter photometers and handheld colorimeters</t>
        </is>
      </c>
      <c r="E113" t="inlineStr">
        <is>
          <t>prior</t>
        </is>
      </c>
    </row>
    <row r="114">
      <c r="A114" t="n">
        <v>596</v>
      </c>
      <c r="B114" t="inlineStr">
        <is>
          <t>Heathrow Scientific</t>
        </is>
      </c>
      <c r="C114" t="inlineStr">
        <is>
          <t>OneRack® Full-Size Delrin® POM Test Tube Racks</t>
        </is>
      </c>
      <c r="E114" t="inlineStr">
        <is>
          <t>thomassci</t>
        </is>
      </c>
      <c r="F114" t="inlineStr">
        <is>
          <t>https://www.thomassci.com/p/onerack-full-size-delrin-pom-test-tube-racks</t>
        </is>
      </c>
    </row>
    <row r="115">
      <c r="A115" t="n">
        <v>596</v>
      </c>
      <c r="B115" t="inlineStr">
        <is>
          <t>Heathrow Scientific</t>
        </is>
      </c>
      <c r="C115" t="inlineStr">
        <is>
          <t>Disposable Transfer Pipets</t>
        </is>
      </c>
      <c r="E115" t="inlineStr">
        <is>
          <t>thomassci</t>
        </is>
      </c>
      <c r="F115" t="inlineStr">
        <is>
          <t>https://www.thomassci.com/p/disposable-transfer-pipets</t>
        </is>
      </c>
    </row>
    <row r="116">
      <c r="A116" t="n">
        <v>596</v>
      </c>
      <c r="B116" t="inlineStr">
        <is>
          <t>Heathrow Scientific</t>
        </is>
      </c>
      <c r="C116" t="inlineStr">
        <is>
          <t>Cube Rack</t>
        </is>
      </c>
      <c r="E116" t="inlineStr">
        <is>
          <t>thomassci</t>
        </is>
      </c>
      <c r="F116" t="inlineStr">
        <is>
          <t>https://www.thomassci.com/p/cube-rack</t>
        </is>
      </c>
    </row>
    <row r="117">
      <c r="A117" t="n">
        <v>596</v>
      </c>
      <c r="B117" t="inlineStr">
        <is>
          <t>Heathrow Scientific</t>
        </is>
      </c>
      <c r="C117" t="inlineStr">
        <is>
          <t>Spatulas</t>
        </is>
      </c>
      <c r="E117" t="inlineStr">
        <is>
          <t>thomassci</t>
        </is>
      </c>
      <c r="F117" t="inlineStr">
        <is>
          <t>https://www.thomassci.com/p/spatulas1</t>
        </is>
      </c>
    </row>
    <row r="118">
      <c r="A118" t="n">
        <v>596</v>
      </c>
      <c r="B118" t="inlineStr">
        <is>
          <t>Heathrow Scientific</t>
        </is>
      </c>
      <c r="C118" t="inlineStr">
        <is>
          <t>Sprout® Plus Mini Centrifuge</t>
        </is>
      </c>
      <c r="E118" t="inlineStr">
        <is>
          <t>thomassci</t>
        </is>
      </c>
      <c r="F118" t="inlineStr">
        <is>
          <t>https://www.thomassci.com/p/sprout-plus-mini-centrifuge</t>
        </is>
      </c>
    </row>
    <row r="119">
      <c r="A119" t="n">
        <v>597</v>
      </c>
      <c r="B119" t="inlineStr">
        <is>
          <t>Heidolph</t>
        </is>
      </c>
      <c r="C119" t="inlineStr">
        <is>
          <t>Hei-VAP series</t>
        </is>
      </c>
      <c r="D119" t="inlineStr">
        <is>
          <t>rotary evaporators (Core, Expert, Ultimate)</t>
        </is>
      </c>
      <c r="E119" t="inlineStr">
        <is>
          <t>prior</t>
        </is>
      </c>
    </row>
    <row r="120">
      <c r="A120" t="n">
        <v>597</v>
      </c>
      <c r="B120" t="inlineStr">
        <is>
          <t>Heidolph</t>
        </is>
      </c>
      <c r="C120" t="inlineStr">
        <is>
          <t>Hei-TORQUE series</t>
        </is>
      </c>
      <c r="D120" t="inlineStr">
        <is>
          <t>overhead stirrers</t>
        </is>
      </c>
      <c r="E120" t="inlineStr">
        <is>
          <t>prior</t>
        </is>
      </c>
    </row>
    <row r="121">
      <c r="A121" t="n">
        <v>597</v>
      </c>
      <c r="B121" t="inlineStr">
        <is>
          <t>Heidolph</t>
        </is>
      </c>
      <c r="C121" t="inlineStr">
        <is>
          <t>Hei-PLATE / Hei-Tec</t>
        </is>
      </c>
      <c r="D121" t="inlineStr">
        <is>
          <t>magnetic hotplate stirrers</t>
        </is>
      </c>
      <c r="E121" t="inlineStr">
        <is>
          <t>prior</t>
        </is>
      </c>
    </row>
    <row r="122">
      <c r="A122" t="n">
        <v>603</v>
      </c>
      <c r="B122" t="inlineStr">
        <is>
          <t>Hettich</t>
        </is>
      </c>
      <c r="C122" t="inlineStr">
        <is>
          <t>UNIVERSAL 320 / 320 R</t>
        </is>
      </c>
      <c r="D122" t="inlineStr">
        <is>
          <t>benchtop laboratory centrifuge</t>
        </is>
      </c>
      <c r="E122" t="inlineStr">
        <is>
          <t>prior</t>
        </is>
      </c>
    </row>
    <row r="123">
      <c r="A123" t="n">
        <v>603</v>
      </c>
      <c r="B123" t="inlineStr">
        <is>
          <t>Hettich</t>
        </is>
      </c>
      <c r="C123" t="inlineStr">
        <is>
          <t>ROTINA 380 / 420 (R)</t>
        </is>
      </c>
      <c r="D123" t="inlineStr">
        <is>
          <t>high-capacity benchtop centrifuges</t>
        </is>
      </c>
      <c r="E123" t="inlineStr">
        <is>
          <t>prior</t>
        </is>
      </c>
    </row>
    <row r="124">
      <c r="A124" t="n">
        <v>603</v>
      </c>
      <c r="B124" t="inlineStr">
        <is>
          <t>Hettich</t>
        </is>
      </c>
      <c r="C124" t="inlineStr">
        <is>
          <t>HettCube</t>
        </is>
      </c>
      <c r="D124" t="inlineStr">
        <is>
          <t>microbiological incubators</t>
        </is>
      </c>
      <c r="E124" t="inlineStr">
        <is>
          <t>prior</t>
        </is>
      </c>
    </row>
    <row r="125">
      <c r="A125" t="n">
        <v>604</v>
      </c>
      <c r="B125" t="inlineStr">
        <is>
          <t>Hettich Instruments</t>
        </is>
      </c>
      <c r="C125" t="inlineStr">
        <is>
          <t>UNIVERSAL 320 / 320 R</t>
        </is>
      </c>
      <c r="D125" t="inlineStr">
        <is>
          <t>benchtop laboratory centrifuge</t>
        </is>
      </c>
      <c r="E125" t="inlineStr">
        <is>
          <t>prior</t>
        </is>
      </c>
    </row>
    <row r="126">
      <c r="A126" t="n">
        <v>604</v>
      </c>
      <c r="B126" t="inlineStr">
        <is>
          <t>Hettich Instruments</t>
        </is>
      </c>
      <c r="C126" t="inlineStr">
        <is>
          <t>ROTINA 380 / 420 (R)</t>
        </is>
      </c>
      <c r="D126" t="inlineStr">
        <is>
          <t>high-capacity benchtop centrifuges</t>
        </is>
      </c>
      <c r="E126" t="inlineStr">
        <is>
          <t>prior</t>
        </is>
      </c>
    </row>
    <row r="127">
      <c r="A127" t="n">
        <v>604</v>
      </c>
      <c r="B127" t="inlineStr">
        <is>
          <t>Hettich Instruments</t>
        </is>
      </c>
      <c r="C127" t="inlineStr">
        <is>
          <t>HettCube</t>
        </is>
      </c>
      <c r="D127" t="inlineStr">
        <is>
          <t>microbiological incubators</t>
        </is>
      </c>
      <c r="E127" t="inlineStr">
        <is>
          <t>prior</t>
        </is>
      </c>
    </row>
    <row r="128">
      <c r="A128" t="n">
        <v>626</v>
      </c>
      <c r="B128" t="inlineStr">
        <is>
          <t>Huber USA</t>
        </is>
      </c>
      <c r="C128" t="inlineStr">
        <is>
          <t>Unistat</t>
        </is>
      </c>
      <c r="D128" t="inlineStr">
        <is>
          <t>highly dynamic temperature control systems (-125 to +425 C)</t>
        </is>
      </c>
      <c r="E128" t="inlineStr">
        <is>
          <t>prior</t>
        </is>
      </c>
    </row>
    <row r="129">
      <c r="A129" t="n">
        <v>626</v>
      </c>
      <c r="B129" t="inlineStr">
        <is>
          <t>Huber USA</t>
        </is>
      </c>
      <c r="C129" t="inlineStr">
        <is>
          <t>Unichiller</t>
        </is>
      </c>
      <c r="D129" t="inlineStr">
        <is>
          <t>recirculating chillers</t>
        </is>
      </c>
      <c r="E129" t="inlineStr">
        <is>
          <t>prior</t>
        </is>
      </c>
    </row>
    <row r="130">
      <c r="A130" t="n">
        <v>626</v>
      </c>
      <c r="B130" t="inlineStr">
        <is>
          <t>Huber USA</t>
        </is>
      </c>
      <c r="C130" t="inlineStr">
        <is>
          <t>Ministat / Petite Fleur / CC series</t>
        </is>
      </c>
      <c r="D130" t="inlineStr">
        <is>
          <t>compact bath and circulation thermostats</t>
        </is>
      </c>
      <c r="E130" t="inlineStr">
        <is>
          <t>prior</t>
        </is>
      </c>
    </row>
    <row r="131">
      <c r="A131" t="n">
        <v>647</v>
      </c>
      <c r="B131" t="inlineStr">
        <is>
          <t>Ika</t>
        </is>
      </c>
      <c r="C131" t="inlineStr">
        <is>
          <t>RCT basic / C-MAG HS</t>
        </is>
      </c>
      <c r="D131" t="inlineStr">
        <is>
          <t>magnetic hotplate stirrers</t>
        </is>
      </c>
      <c r="E131" t="inlineStr">
        <is>
          <t>prior</t>
        </is>
      </c>
    </row>
    <row r="132">
      <c r="A132" t="n">
        <v>647</v>
      </c>
      <c r="B132" t="inlineStr">
        <is>
          <t>Ika</t>
        </is>
      </c>
      <c r="C132" t="inlineStr">
        <is>
          <t>ULTRA-TURRAX T 25 / T 50</t>
        </is>
      </c>
      <c r="D132" t="inlineStr">
        <is>
          <t>high-shear dispersers / homogenisers</t>
        </is>
      </c>
      <c r="E132" t="inlineStr">
        <is>
          <t>prior</t>
        </is>
      </c>
    </row>
    <row r="133">
      <c r="A133" t="n">
        <v>647</v>
      </c>
      <c r="B133" t="inlineStr">
        <is>
          <t>Ika</t>
        </is>
      </c>
      <c r="C133" t="inlineStr">
        <is>
          <t>EUROSTAR / MICROSTAR</t>
        </is>
      </c>
      <c r="D133" t="inlineStr">
        <is>
          <t>overhead laboratory stirrers</t>
        </is>
      </c>
      <c r="E133" t="inlineStr">
        <is>
          <t>prior</t>
        </is>
      </c>
    </row>
    <row r="134">
      <c r="A134" t="n">
        <v>648</v>
      </c>
      <c r="B134" t="inlineStr">
        <is>
          <t>IKA Works</t>
        </is>
      </c>
      <c r="C134" t="inlineStr">
        <is>
          <t>RCT basic / C-MAG HS</t>
        </is>
      </c>
      <c r="D134" t="inlineStr">
        <is>
          <t>magnetic hotplate stirrers</t>
        </is>
      </c>
      <c r="E134" t="inlineStr">
        <is>
          <t>prior</t>
        </is>
      </c>
    </row>
    <row r="135">
      <c r="A135" t="n">
        <v>648</v>
      </c>
      <c r="B135" t="inlineStr">
        <is>
          <t>IKA Works</t>
        </is>
      </c>
      <c r="C135" t="inlineStr">
        <is>
          <t>ULTRA-TURRAX T 25 / T 50</t>
        </is>
      </c>
      <c r="D135" t="inlineStr">
        <is>
          <t>high-shear dispersers / homogenisers</t>
        </is>
      </c>
      <c r="E135" t="inlineStr">
        <is>
          <t>prior</t>
        </is>
      </c>
    </row>
    <row r="136">
      <c r="A136" t="n">
        <v>648</v>
      </c>
      <c r="B136" t="inlineStr">
        <is>
          <t>IKA Works</t>
        </is>
      </c>
      <c r="C136" t="inlineStr">
        <is>
          <t>EUROSTAR / MICROSTAR</t>
        </is>
      </c>
      <c r="D136" t="inlineStr">
        <is>
          <t>overhead laboratory stirrers</t>
        </is>
      </c>
      <c r="E136" t="inlineStr">
        <is>
          <t>prior</t>
        </is>
      </c>
    </row>
    <row r="137">
      <c r="A137" t="n">
        <v>669</v>
      </c>
      <c r="B137" t="inlineStr">
        <is>
          <t>Integra</t>
        </is>
      </c>
      <c r="C137" t="inlineStr">
        <is>
          <t>VIAFLO / VOYAGER</t>
        </is>
      </c>
      <c r="D137" t="inlineStr">
        <is>
          <t>electronic single- and multichannel pipettes</t>
        </is>
      </c>
      <c r="E137" t="inlineStr">
        <is>
          <t>prior</t>
        </is>
      </c>
    </row>
    <row r="138">
      <c r="A138" t="n">
        <v>669</v>
      </c>
      <c r="B138" t="inlineStr">
        <is>
          <t>Integra</t>
        </is>
      </c>
      <c r="C138" t="inlineStr">
        <is>
          <t>ASSIST PLUS</t>
        </is>
      </c>
      <c r="D138" t="inlineStr">
        <is>
          <t>benchtop pipetting robot for electronic pipettes</t>
        </is>
      </c>
      <c r="E138" t="inlineStr">
        <is>
          <t>prior</t>
        </is>
      </c>
    </row>
    <row r="139">
      <c r="A139" t="n">
        <v>669</v>
      </c>
      <c r="B139" t="inlineStr">
        <is>
          <t>Integra</t>
        </is>
      </c>
      <c r="C139" t="inlineStr">
        <is>
          <t>VACUSAFE / MEDIACLAVE</t>
        </is>
      </c>
      <c r="D139" t="inlineStr">
        <is>
          <t>aspiration system and media sterilizer/preparator</t>
        </is>
      </c>
      <c r="E139" t="inlineStr">
        <is>
          <t>prior</t>
        </is>
      </c>
    </row>
    <row r="140">
      <c r="A140" t="n">
        <v>670</v>
      </c>
      <c r="B140" t="inlineStr">
        <is>
          <t>INTEGRA Biosciences</t>
        </is>
      </c>
      <c r="C140" t="inlineStr">
        <is>
          <t>VIAFLO / VOYAGER</t>
        </is>
      </c>
      <c r="D140" t="inlineStr">
        <is>
          <t>electronic single- and multichannel pipettes</t>
        </is>
      </c>
      <c r="E140" t="inlineStr">
        <is>
          <t>prior</t>
        </is>
      </c>
    </row>
    <row r="141">
      <c r="A141" t="n">
        <v>670</v>
      </c>
      <c r="B141" t="inlineStr">
        <is>
          <t>INTEGRA Biosciences</t>
        </is>
      </c>
      <c r="C141" t="inlineStr">
        <is>
          <t>ASSIST PLUS</t>
        </is>
      </c>
      <c r="D141" t="inlineStr">
        <is>
          <t>benchtop pipetting robot for electronic pipettes</t>
        </is>
      </c>
      <c r="E141" t="inlineStr">
        <is>
          <t>prior</t>
        </is>
      </c>
    </row>
    <row r="142">
      <c r="A142" t="n">
        <v>670</v>
      </c>
      <c r="B142" t="inlineStr">
        <is>
          <t>INTEGRA Biosciences</t>
        </is>
      </c>
      <c r="C142" t="inlineStr">
        <is>
          <t>VACUSAFE / MEDIACLAVE</t>
        </is>
      </c>
      <c r="D142" t="inlineStr">
        <is>
          <t>aspiration system and media sterilizer/preparator</t>
        </is>
      </c>
      <c r="E142" t="inlineStr">
        <is>
          <t>prior</t>
        </is>
      </c>
    </row>
    <row r="143">
      <c r="A143" t="n">
        <v>692</v>
      </c>
      <c r="B143" t="inlineStr">
        <is>
          <t>Jasco</t>
        </is>
      </c>
      <c r="C143" t="inlineStr">
        <is>
          <t>J-1500</t>
        </is>
      </c>
      <c r="D143" t="inlineStr">
        <is>
          <t>circular dichroism (CD) spectrometer</t>
        </is>
      </c>
      <c r="E143" t="inlineStr">
        <is>
          <t>prior</t>
        </is>
      </c>
    </row>
    <row r="144">
      <c r="A144" t="n">
        <v>692</v>
      </c>
      <c r="B144" t="inlineStr">
        <is>
          <t>Jasco</t>
        </is>
      </c>
      <c r="C144" t="inlineStr">
        <is>
          <t>FT/IR-4X / FT/IR-6X</t>
        </is>
      </c>
      <c r="D144" t="inlineStr">
        <is>
          <t>FTIR spectrometers</t>
        </is>
      </c>
      <c r="E144" t="inlineStr">
        <is>
          <t>prior</t>
        </is>
      </c>
    </row>
    <row r="145">
      <c r="A145" t="n">
        <v>692</v>
      </c>
      <c r="B145" t="inlineStr">
        <is>
          <t>Jasco</t>
        </is>
      </c>
      <c r="C145" t="inlineStr">
        <is>
          <t>V-700 series (V-780)</t>
        </is>
      </c>
      <c r="D145" t="inlineStr">
        <is>
          <t>UV-Vis/NIR spectrophotometers</t>
        </is>
      </c>
      <c r="E145" t="inlineStr">
        <is>
          <t>prior</t>
        </is>
      </c>
    </row>
    <row r="146">
      <c r="A146" t="n">
        <v>695</v>
      </c>
      <c r="B146" t="inlineStr">
        <is>
          <t>Jenway (Cole-Parmer)</t>
        </is>
      </c>
      <c r="C146" t="inlineStr">
        <is>
          <t>Jenway spectrophotometers</t>
        </is>
      </c>
      <c r="D146" t="inlineStr">
        <is>
          <t>UV/Vis and visible benchtop spectrophotometers</t>
        </is>
      </c>
      <c r="E146" t="inlineStr">
        <is>
          <t>prior</t>
        </is>
      </c>
    </row>
    <row r="147">
      <c r="A147" t="n">
        <v>695</v>
      </c>
      <c r="B147" t="inlineStr">
        <is>
          <t>Jenway (Cole-Parmer)</t>
        </is>
      </c>
      <c r="C147" t="inlineStr">
        <is>
          <t>Environmental Express HotBlock</t>
        </is>
      </c>
      <c r="D147" t="inlineStr">
        <is>
          <t>sample digestion and prep for environmental testing</t>
        </is>
      </c>
      <c r="E147" t="inlineStr">
        <is>
          <t>prior</t>
        </is>
      </c>
    </row>
    <row r="148">
      <c r="A148" t="n">
        <v>695</v>
      </c>
      <c r="B148" t="inlineStr">
        <is>
          <t>Jenway (Cole-Parmer)</t>
        </is>
      </c>
      <c r="C148" t="inlineStr">
        <is>
          <t>Stuart / Techne benchtop equipment</t>
        </is>
      </c>
      <c r="D148" t="inlineStr">
        <is>
          <t>stirrers, shakers, hotplates, dry blocks, thermal cyclers</t>
        </is>
      </c>
      <c r="E148" t="inlineStr">
        <is>
          <t>prior</t>
        </is>
      </c>
    </row>
    <row r="149">
      <c r="A149" t="n">
        <v>696</v>
      </c>
      <c r="B149" t="inlineStr">
        <is>
          <t>JEOL USA</t>
        </is>
      </c>
      <c r="C149" t="inlineStr">
        <is>
          <t>JEM-ARM300F2 GRAND ARM2</t>
        </is>
      </c>
      <c r="D149" t="inlineStr">
        <is>
          <t>atomic-resolution aberration-corrected TEM/STEM</t>
        </is>
      </c>
      <c r="E149" t="inlineStr">
        <is>
          <t>prior</t>
        </is>
      </c>
    </row>
    <row r="150">
      <c r="A150" t="n">
        <v>696</v>
      </c>
      <c r="B150" t="inlineStr">
        <is>
          <t>JEOL USA</t>
        </is>
      </c>
      <c r="C150" t="inlineStr">
        <is>
          <t>JSM-IT800 / JSM-7900F</t>
        </is>
      </c>
      <c r="D150" t="inlineStr">
        <is>
          <t>field-emission scanning electron microscopes</t>
        </is>
      </c>
      <c r="E150" t="inlineStr">
        <is>
          <t>prior</t>
        </is>
      </c>
    </row>
    <row r="151">
      <c r="A151" t="n">
        <v>696</v>
      </c>
      <c r="B151" t="inlineStr">
        <is>
          <t>JEOL USA</t>
        </is>
      </c>
      <c r="C151" t="inlineStr">
        <is>
          <t>JNM-ECZ Luminous (ECZL)</t>
        </is>
      </c>
      <c r="D151" t="inlineStr">
        <is>
          <t>NMR spectrometer series</t>
        </is>
      </c>
      <c r="E151" t="inlineStr">
        <is>
          <t>prior</t>
        </is>
      </c>
    </row>
    <row r="152">
      <c r="A152" t="n">
        <v>700</v>
      </c>
      <c r="B152" t="inlineStr">
        <is>
          <t>Julabo</t>
        </is>
      </c>
      <c r="C152" t="inlineStr">
        <is>
          <t>PRESTO</t>
        </is>
      </c>
      <c r="D152" t="inlineStr">
        <is>
          <t>highly dynamic process temperature control systems</t>
        </is>
      </c>
      <c r="E152" t="inlineStr">
        <is>
          <t>prior</t>
        </is>
      </c>
    </row>
    <row r="153">
      <c r="A153" t="n">
        <v>700</v>
      </c>
      <c r="B153" t="inlineStr">
        <is>
          <t>Julabo</t>
        </is>
      </c>
      <c r="C153" t="inlineStr">
        <is>
          <t>CORIO / DYNEO / MAGIO</t>
        </is>
      </c>
      <c r="D153" t="inlineStr">
        <is>
          <t>refrigerated and heating circulators</t>
        </is>
      </c>
      <c r="E153" t="inlineStr">
        <is>
          <t>prior</t>
        </is>
      </c>
    </row>
    <row r="154">
      <c r="A154" t="n">
        <v>700</v>
      </c>
      <c r="B154" t="inlineStr">
        <is>
          <t>Julabo</t>
        </is>
      </c>
      <c r="C154" t="inlineStr">
        <is>
          <t>FL / FC series</t>
        </is>
      </c>
      <c r="D154" t="inlineStr">
        <is>
          <t>recirculating coolers (chillers)</t>
        </is>
      </c>
      <c r="E154" t="inlineStr">
        <is>
          <t>prior</t>
        </is>
      </c>
    </row>
    <row r="155">
      <c r="A155" t="n">
        <v>702</v>
      </c>
      <c r="B155" t="inlineStr">
        <is>
          <t>Justrite</t>
        </is>
      </c>
      <c r="C155" t="inlineStr">
        <is>
          <t>JUSTRITE Sure-Grip Yellow EX Flammable Safety Cabinet</t>
        </is>
      </c>
      <c r="E155" t="inlineStr">
        <is>
          <t>thomassci</t>
        </is>
      </c>
      <c r="F155" t="inlineStr">
        <is>
          <t>https://www.thomassci.com/p/justrite-sure-grip-yellow-ex-flammable-safety-cabinet-90-gallons-w/-2-shelves-and-2-self-close-doors-18-ga-cr-steel</t>
        </is>
      </c>
    </row>
    <row r="156">
      <c r="A156" t="n">
        <v>702</v>
      </c>
      <c r="B156" t="inlineStr">
        <is>
          <t>Justrite</t>
        </is>
      </c>
      <c r="C156" t="inlineStr">
        <is>
          <t>Sure-Grip® EX Countertop and Compac Cabinets for Corrosives</t>
        </is>
      </c>
      <c r="E156" t="inlineStr">
        <is>
          <t>thomassci</t>
        </is>
      </c>
      <c r="F156" t="inlineStr">
        <is>
          <t>https://www.thomassci.com/p/sure-grip-ex-countertop-and-compac-cabinets-for-corrosives</t>
        </is>
      </c>
    </row>
    <row r="157">
      <c r="A157" t="n">
        <v>702</v>
      </c>
      <c r="B157" t="inlineStr">
        <is>
          <t>Justrite</t>
        </is>
      </c>
      <c r="C157" t="inlineStr">
        <is>
          <t>Sure-Grip® EX Corrosives/Acid Steel Safety Cabinets</t>
        </is>
      </c>
      <c r="E157" t="inlineStr">
        <is>
          <t>thomassci</t>
        </is>
      </c>
      <c r="F157" t="inlineStr">
        <is>
          <t>https://www.thomassci.com/p/steel-acid-storage-cabinets</t>
        </is>
      </c>
    </row>
    <row r="158">
      <c r="A158" t="n">
        <v>702</v>
      </c>
      <c r="B158" t="inlineStr">
        <is>
          <t>Justrite</t>
        </is>
      </c>
      <c r="C158" t="inlineStr">
        <is>
          <t>Flammable Liquid Storage Cabinets, Compac</t>
        </is>
      </c>
      <c r="E158" t="inlineStr">
        <is>
          <t>thomassci</t>
        </is>
      </c>
      <c r="F158" t="inlineStr">
        <is>
          <t>https://www.thomassci.com/p/flammable-liquid-storage-cabinets-compac</t>
        </is>
      </c>
    </row>
    <row r="159">
      <c r="A159" t="n">
        <v>702</v>
      </c>
      <c r="B159" t="inlineStr">
        <is>
          <t>Justrite</t>
        </is>
      </c>
      <c r="C159" t="inlineStr">
        <is>
          <t>Safety Drum Funnel</t>
        </is>
      </c>
      <c r="E159" t="inlineStr">
        <is>
          <t>thomassci</t>
        </is>
      </c>
      <c r="F159" t="inlineStr">
        <is>
          <t>https://www.thomassci.com/p/safety-drum-funnel-large-steel-funnel-with-self-closing-cover-and-6-inch-flame-arrester-for-use-with-flammables</t>
        </is>
      </c>
    </row>
    <row r="160">
      <c r="A160" t="n">
        <v>720</v>
      </c>
      <c r="B160" t="inlineStr">
        <is>
          <t>Kimble</t>
        </is>
      </c>
      <c r="C160" t="inlineStr">
        <is>
          <t>DURAN laboratory glass bottles</t>
        </is>
      </c>
      <c r="D160" t="inlineStr">
        <is>
          <t>GL 45 borosilicate 3.3 bottles &amp; lab glassware</t>
        </is>
      </c>
      <c r="E160" t="inlineStr">
        <is>
          <t>prior</t>
        </is>
      </c>
    </row>
    <row r="161">
      <c r="A161" t="n">
        <v>720</v>
      </c>
      <c r="B161" t="inlineStr">
        <is>
          <t>Kimble</t>
        </is>
      </c>
      <c r="C161" t="inlineStr">
        <is>
          <t>WHEATON vials &amp; serum bottles</t>
        </is>
      </c>
      <c r="D161" t="inlineStr">
        <is>
          <t>glass vials, serum bottles, packaging</t>
        </is>
      </c>
      <c r="E161" t="inlineStr">
        <is>
          <t>prior</t>
        </is>
      </c>
    </row>
    <row r="162">
      <c r="A162" t="n">
        <v>720</v>
      </c>
      <c r="B162" t="inlineStr">
        <is>
          <t>Kimble</t>
        </is>
      </c>
      <c r="C162" t="inlineStr">
        <is>
          <t>KIMBLE KIMAX glassware</t>
        </is>
      </c>
      <c r="D162" t="inlineStr">
        <is>
          <t>volumetric &amp; general laboratory glassware</t>
        </is>
      </c>
      <c r="E162" t="inlineStr">
        <is>
          <t>prior</t>
        </is>
      </c>
    </row>
    <row r="163">
      <c r="A163" t="n">
        <v>738</v>
      </c>
      <c r="B163" t="inlineStr">
        <is>
          <t>Labcon</t>
        </is>
      </c>
      <c r="C163" t="inlineStr">
        <is>
          <t>Eclipse™ Macro 10mL Pipet Tips for Popular Pipettors</t>
        </is>
      </c>
      <c r="E163" t="inlineStr">
        <is>
          <t>thomassci</t>
        </is>
      </c>
      <c r="F163" t="inlineStr">
        <is>
          <t>https://www.thomassci.com/p/eclipse-macro-10ml-pipet-tips-for-popular-pipettors</t>
        </is>
      </c>
    </row>
    <row r="164">
      <c r="A164" t="n">
        <v>738</v>
      </c>
      <c r="B164" t="inlineStr">
        <is>
          <t>Labcon</t>
        </is>
      </c>
      <c r="C164" t="inlineStr">
        <is>
          <t>Microtube Storage Racks</t>
        </is>
      </c>
      <c r="E164" t="inlineStr">
        <is>
          <t>thomassci</t>
        </is>
      </c>
      <c r="F164" t="inlineStr">
        <is>
          <t>https://www.thomassci.com/p/microtube-storage-racks</t>
        </is>
      </c>
    </row>
    <row r="165">
      <c r="A165" t="n">
        <v>738</v>
      </c>
      <c r="B165" t="inlineStr">
        <is>
          <t>Labcon</t>
        </is>
      </c>
      <c r="C165" t="inlineStr">
        <is>
          <t>Eclipse™ 200µL Graduated Pipet Tips</t>
        </is>
      </c>
      <c r="E165" t="inlineStr">
        <is>
          <t>thomassci</t>
        </is>
      </c>
      <c r="F165" t="inlineStr">
        <is>
          <t>https://www.thomassci.com/p/eclipse-200l-graduated-pipet-tips</t>
        </is>
      </c>
    </row>
    <row r="166">
      <c r="A166" t="n">
        <v>738</v>
      </c>
      <c r="B166" t="inlineStr">
        <is>
          <t>Labcon</t>
        </is>
      </c>
      <c r="C166" t="inlineStr">
        <is>
          <t>2.0mL SuperClear® Microcentrifuge Tubes with Attached Caps</t>
        </is>
      </c>
      <c r="E166" t="inlineStr">
        <is>
          <t>thomassci</t>
        </is>
      </c>
      <c r="F166" t="inlineStr">
        <is>
          <t>https://www.thomassci.com/p/20ml-superclear-microcentrifuge-tubes-with-attached-caps</t>
        </is>
      </c>
    </row>
    <row r="167">
      <c r="A167" t="n">
        <v>738</v>
      </c>
      <c r="B167" t="inlineStr">
        <is>
          <t>Labcon</t>
        </is>
      </c>
      <c r="C167" t="inlineStr">
        <is>
          <t>ZAP™ SLIK 1000µL Low Retention Aerosol Filter Pipet Tips with Wide Orifice</t>
        </is>
      </c>
      <c r="E167" t="inlineStr">
        <is>
          <t>thomassci</t>
        </is>
      </c>
      <c r="F167" t="inlineStr">
        <is>
          <t>https://www.thomassci.com/p/zap-slik-1000l-low-retention-aerosol-filter-pipet-tips-with-wide-orifice</t>
        </is>
      </c>
    </row>
    <row r="168">
      <c r="A168" t="n">
        <v>739</v>
      </c>
      <c r="B168" t="inlineStr">
        <is>
          <t>Labconco</t>
        </is>
      </c>
      <c r="C168" t="inlineStr">
        <is>
          <t>Protector fume hoods (XStream / Premier)</t>
        </is>
      </c>
      <c r="D168" t="inlineStr">
        <is>
          <t>ducted and ductless chemical fume hoods</t>
        </is>
      </c>
      <c r="E168" t="inlineStr">
        <is>
          <t>prior</t>
        </is>
      </c>
    </row>
    <row r="169">
      <c r="A169" t="n">
        <v>739</v>
      </c>
      <c r="B169" t="inlineStr">
        <is>
          <t>Labconco</t>
        </is>
      </c>
      <c r="C169" t="inlineStr">
        <is>
          <t>FreeZone freeze dryers</t>
        </is>
      </c>
      <c r="D169" t="inlineStr">
        <is>
          <t>benchtop and console laboratory lyophilizers</t>
        </is>
      </c>
      <c r="E169" t="inlineStr">
        <is>
          <t>prior</t>
        </is>
      </c>
    </row>
    <row r="170">
      <c r="A170" t="n">
        <v>739</v>
      </c>
      <c r="B170" t="inlineStr">
        <is>
          <t>Labconco</t>
        </is>
      </c>
      <c r="C170" t="inlineStr">
        <is>
          <t>Purifier Logic+ biosafety cabinets</t>
        </is>
      </c>
      <c r="D170" t="inlineStr">
        <is>
          <t>Class II A2/B2/C1 biological safety cabinets</t>
        </is>
      </c>
      <c r="E170" t="inlineStr">
        <is>
          <t>prior</t>
        </is>
      </c>
    </row>
    <row r="171">
      <c r="A171" t="n">
        <v>751</v>
      </c>
      <c r="B171" t="inlineStr">
        <is>
          <t>Lauda</t>
        </is>
      </c>
      <c r="C171" t="inlineStr">
        <is>
          <t>Integral</t>
        </is>
      </c>
      <c r="D171" t="inlineStr">
        <is>
          <t>process thermostats for heating and cooling</t>
        </is>
      </c>
      <c r="E171" t="inlineStr">
        <is>
          <t>prior</t>
        </is>
      </c>
    </row>
    <row r="172">
      <c r="A172" t="n">
        <v>751</v>
      </c>
      <c r="B172" t="inlineStr">
        <is>
          <t>Lauda</t>
        </is>
      </c>
      <c r="C172" t="inlineStr">
        <is>
          <t>PRO / ECO / Alpha</t>
        </is>
      </c>
      <c r="D172" t="inlineStr">
        <is>
          <t>laboratory heating and cooling thermostats</t>
        </is>
      </c>
      <c r="E172" t="inlineStr">
        <is>
          <t>prior</t>
        </is>
      </c>
    </row>
    <row r="173">
      <c r="A173" t="n">
        <v>751</v>
      </c>
      <c r="B173" t="inlineStr">
        <is>
          <t>Lauda</t>
        </is>
      </c>
      <c r="C173" t="inlineStr">
        <is>
          <t>Ultracool / Variocool</t>
        </is>
      </c>
      <c r="D173" t="inlineStr">
        <is>
          <t>process circulation chillers</t>
        </is>
      </c>
      <c r="E173" t="inlineStr">
        <is>
          <t>prior</t>
        </is>
      </c>
    </row>
    <row r="174">
      <c r="A174" t="n">
        <v>757</v>
      </c>
      <c r="B174" t="inlineStr">
        <is>
          <t>Leica</t>
        </is>
      </c>
      <c r="C174" t="inlineStr">
        <is>
          <t>STELLARIS</t>
        </is>
      </c>
      <c r="D174" t="inlineStr">
        <is>
          <t>confocal microscopy platform</t>
        </is>
      </c>
      <c r="E174" t="inlineStr">
        <is>
          <t>prior</t>
        </is>
      </c>
    </row>
    <row r="175">
      <c r="A175" t="n">
        <v>757</v>
      </c>
      <c r="B175" t="inlineStr">
        <is>
          <t>Leica</t>
        </is>
      </c>
      <c r="C175" t="inlineStr">
        <is>
          <t>Mica</t>
        </is>
      </c>
      <c r="D175" t="inlineStr">
        <is>
          <t>automated widefield/confocal imaging microhub</t>
        </is>
      </c>
      <c r="E175" t="inlineStr">
        <is>
          <t>prior</t>
        </is>
      </c>
    </row>
    <row r="176">
      <c r="A176" t="n">
        <v>757</v>
      </c>
      <c r="B176" t="inlineStr">
        <is>
          <t>Leica</t>
        </is>
      </c>
      <c r="C176" t="inlineStr">
        <is>
          <t>THUNDER Imagers</t>
        </is>
      </c>
      <c r="D176" t="inlineStr">
        <is>
          <t>computational-clearing widefield imaging systems</t>
        </is>
      </c>
      <c r="E176" t="inlineStr">
        <is>
          <t>prior</t>
        </is>
      </c>
    </row>
    <row r="177">
      <c r="A177" t="n">
        <v>793</v>
      </c>
      <c r="B177" t="inlineStr">
        <is>
          <t>Luxor</t>
        </is>
      </c>
      <c r="C177" t="inlineStr">
        <is>
          <t>Utility Cart / Utility Bins</t>
        </is>
      </c>
      <c r="E177" t="inlineStr">
        <is>
          <t>thomassci</t>
        </is>
      </c>
      <c r="F177" t="inlineStr">
        <is>
          <t>https://www.thomassci.com/p/utility-cart-/-utility-bins</t>
        </is>
      </c>
    </row>
    <row r="178">
      <c r="A178" t="n">
        <v>793</v>
      </c>
      <c r="B178" t="inlineStr">
        <is>
          <t>Luxor</t>
        </is>
      </c>
      <c r="C178" t="inlineStr">
        <is>
          <t>Pneumatic Adjustable Height Flip-Top Student Desk/Nesting Desk</t>
        </is>
      </c>
      <c r="E178" t="inlineStr">
        <is>
          <t>thomassci</t>
        </is>
      </c>
      <c r="F178" t="inlineStr">
        <is>
          <t>https://www.thomassci.com/p/pneumatic-adjustable-height-flip-top-student-desk/nesting-desk</t>
        </is>
      </c>
    </row>
    <row r="179">
      <c r="A179" t="n">
        <v>793</v>
      </c>
      <c r="B179" t="inlineStr">
        <is>
          <t>Luxor</t>
        </is>
      </c>
      <c r="C179" t="inlineStr">
        <is>
          <t>Reversable Double Sided Whiteboard</t>
        </is>
      </c>
      <c r="E179" t="inlineStr">
        <is>
          <t>thomassci</t>
        </is>
      </c>
      <c r="F179" t="inlineStr">
        <is>
          <t>https://www.thomassci.com/p/reversable-double-sided-whiteboard</t>
        </is>
      </c>
    </row>
    <row r="180">
      <c r="A180" t="n">
        <v>793</v>
      </c>
      <c r="B180" t="inlineStr">
        <is>
          <t>Luxor</t>
        </is>
      </c>
      <c r="C180" t="inlineStr">
        <is>
          <t>SideTrak® Portable Freestanding and Attachable Monitors</t>
        </is>
      </c>
      <c r="E180" t="inlineStr">
        <is>
          <t>thomassci</t>
        </is>
      </c>
      <c r="F180" t="inlineStr">
        <is>
          <t>https://www.thomassci.com/p/sidetrak-portable-freestanding-and-attachable-monitors</t>
        </is>
      </c>
    </row>
    <row r="181">
      <c r="A181" t="n">
        <v>793</v>
      </c>
      <c r="B181" t="inlineStr">
        <is>
          <t>Luxor</t>
        </is>
      </c>
      <c r="C181" t="inlineStr">
        <is>
          <t>Three Shelf Tub Cart</t>
        </is>
      </c>
      <c r="E181" t="inlineStr">
        <is>
          <t>thomassci</t>
        </is>
      </c>
      <c r="F181" t="inlineStr">
        <is>
          <t>https://www.thomassci.com/p/three-shelf-tub-cart</t>
        </is>
      </c>
    </row>
    <row r="182">
      <c r="A182" t="n">
        <v>832</v>
      </c>
      <c r="B182" t="inlineStr">
        <is>
          <t>Memmert</t>
        </is>
      </c>
      <c r="C182" t="inlineStr">
        <is>
          <t>UN / UF series</t>
        </is>
      </c>
      <c r="D182" t="inlineStr">
        <is>
          <t>universal heating and drying ovens</t>
        </is>
      </c>
      <c r="E182" t="inlineStr">
        <is>
          <t>prior</t>
        </is>
      </c>
    </row>
    <row r="183">
      <c r="A183" t="n">
        <v>832</v>
      </c>
      <c r="B183" t="inlineStr">
        <is>
          <t>Memmert</t>
        </is>
      </c>
      <c r="C183" t="inlineStr">
        <is>
          <t>IN / IF / ICO series</t>
        </is>
      </c>
      <c r="D183" t="inlineStr">
        <is>
          <t>incubators, cooled and CO2 incubators</t>
        </is>
      </c>
      <c r="E183" t="inlineStr">
        <is>
          <t>prior</t>
        </is>
      </c>
    </row>
    <row r="184">
      <c r="A184" t="n">
        <v>832</v>
      </c>
      <c r="B184" t="inlineStr">
        <is>
          <t>Memmert</t>
        </is>
      </c>
      <c r="C184" t="inlineStr">
        <is>
          <t>HPP / ICH series</t>
        </is>
      </c>
      <c r="D184" t="inlineStr">
        <is>
          <t>constant climate and stability test chambers</t>
        </is>
      </c>
      <c r="E184" t="inlineStr">
        <is>
          <t>prior</t>
        </is>
      </c>
    </row>
    <row r="185">
      <c r="A185" t="n">
        <v>835</v>
      </c>
      <c r="B185" t="inlineStr">
        <is>
          <t>Merck</t>
        </is>
      </c>
      <c r="C185" t="inlineStr">
        <is>
          <t>Milli-Q</t>
        </is>
      </c>
      <c r="D185" t="inlineStr">
        <is>
          <t>laboratory ultrapure / pure water purification systems</t>
        </is>
      </c>
      <c r="E185" t="inlineStr">
        <is>
          <t>prior</t>
        </is>
      </c>
    </row>
    <row r="186">
      <c r="A186" t="n">
        <v>835</v>
      </c>
      <c r="B186" t="inlineStr">
        <is>
          <t>Merck</t>
        </is>
      </c>
      <c r="C186" t="inlineStr">
        <is>
          <t>Millipore filtration (Millex, Stericup, Mobius)</t>
        </is>
      </c>
      <c r="D186" t="inlineStr">
        <is>
          <t>lab filtration and single-use bioprocess products</t>
        </is>
      </c>
      <c r="E186" t="inlineStr">
        <is>
          <t>prior</t>
        </is>
      </c>
    </row>
    <row r="187">
      <c r="A187" t="n">
        <v>835</v>
      </c>
      <c r="B187" t="inlineStr">
        <is>
          <t>Merck</t>
        </is>
      </c>
      <c r="C187" t="inlineStr">
        <is>
          <t>Sigma-Aldrich research chemicals</t>
        </is>
      </c>
      <c r="D187" t="inlineStr">
        <is>
          <t>reagents, biochemicals and analytical standards</t>
        </is>
      </c>
      <c r="E187" t="inlineStr">
        <is>
          <t>prior</t>
        </is>
      </c>
    </row>
    <row r="188">
      <c r="A188" t="n">
        <v>846</v>
      </c>
      <c r="B188" t="inlineStr">
        <is>
          <t>Metrohm</t>
        </is>
      </c>
      <c r="C188" t="inlineStr">
        <is>
          <t>OMNIS</t>
        </is>
      </c>
      <c r="D188" t="inlineStr">
        <is>
          <t>modular automated titration platform</t>
        </is>
      </c>
      <c r="E188" t="inlineStr">
        <is>
          <t>prior</t>
        </is>
      </c>
    </row>
    <row r="189">
      <c r="A189" t="n">
        <v>846</v>
      </c>
      <c r="B189" t="inlineStr">
        <is>
          <t>Metrohm</t>
        </is>
      </c>
      <c r="C189" t="inlineStr">
        <is>
          <t>940 Professional IC Vario / Eco IC</t>
        </is>
      </c>
      <c r="D189" t="inlineStr">
        <is>
          <t>ion chromatography systems</t>
        </is>
      </c>
      <c r="E189" t="inlineStr">
        <is>
          <t>prior</t>
        </is>
      </c>
    </row>
    <row r="190">
      <c r="A190" t="n">
        <v>846</v>
      </c>
      <c r="B190" t="inlineStr">
        <is>
          <t>Metrohm</t>
        </is>
      </c>
      <c r="C190" t="inlineStr">
        <is>
          <t>Autolab PGSTAT204 / PGSTAT302N</t>
        </is>
      </c>
      <c r="D190" t="inlineStr">
        <is>
          <t>potentiostat/galvanostat electrochemistry workstations</t>
        </is>
      </c>
      <c r="E190" t="inlineStr">
        <is>
          <t>prior</t>
        </is>
      </c>
    </row>
    <row r="191">
      <c r="A191" t="n">
        <v>847</v>
      </c>
      <c r="B191" t="inlineStr">
        <is>
          <t>Mettler-Toledo</t>
        </is>
      </c>
      <c r="C191" t="inlineStr">
        <is>
          <t>XPR analytical &amp; micro balances</t>
        </is>
      </c>
      <c r="D191" t="inlineStr">
        <is>
          <t>high-precision laboratory balances</t>
        </is>
      </c>
      <c r="E191" t="inlineStr">
        <is>
          <t>prior</t>
        </is>
      </c>
    </row>
    <row r="192">
      <c r="A192" t="n">
        <v>847</v>
      </c>
      <c r="B192" t="inlineStr">
        <is>
          <t>Mettler-Toledo</t>
        </is>
      </c>
      <c r="C192" t="inlineStr">
        <is>
          <t>Rainin Pipet-Lite XLS / E4 XLS</t>
        </is>
      </c>
      <c r="D192" t="inlineStr">
        <is>
          <t>manual and electronic pipettes</t>
        </is>
      </c>
      <c r="E192" t="inlineStr">
        <is>
          <t>prior</t>
        </is>
      </c>
    </row>
    <row r="193">
      <c r="A193" t="n">
        <v>847</v>
      </c>
      <c r="B193" t="inlineStr">
        <is>
          <t>Mettler-Toledo</t>
        </is>
      </c>
      <c r="C193" t="inlineStr">
        <is>
          <t>Excellence Titrators &amp; SevenExcellence meters</t>
        </is>
      </c>
      <c r="D193" t="inlineStr">
        <is>
          <t>titration and pH/ion analysis</t>
        </is>
      </c>
      <c r="E193" t="inlineStr">
        <is>
          <t>prior</t>
        </is>
      </c>
    </row>
    <row r="194">
      <c r="A194" t="n">
        <v>865</v>
      </c>
      <c r="B194" t="inlineStr">
        <is>
          <t>MilliporeSigma</t>
        </is>
      </c>
      <c r="C194" t="inlineStr">
        <is>
          <t>Milli-Q</t>
        </is>
      </c>
      <c r="D194" t="inlineStr">
        <is>
          <t>laboratory ultrapure / pure water purification systems</t>
        </is>
      </c>
      <c r="E194" t="inlineStr">
        <is>
          <t>prior</t>
        </is>
      </c>
    </row>
    <row r="195">
      <c r="A195" t="n">
        <v>865</v>
      </c>
      <c r="B195" t="inlineStr">
        <is>
          <t>MilliporeSigma</t>
        </is>
      </c>
      <c r="C195" t="inlineStr">
        <is>
          <t>Millipore filtration (Millex, Stericup, Mobius)</t>
        </is>
      </c>
      <c r="D195" t="inlineStr">
        <is>
          <t>lab filtration and single-use bioprocess products</t>
        </is>
      </c>
      <c r="E195" t="inlineStr">
        <is>
          <t>prior</t>
        </is>
      </c>
    </row>
    <row r="196">
      <c r="A196" t="n">
        <v>865</v>
      </c>
      <c r="B196" t="inlineStr">
        <is>
          <t>MilliporeSigma</t>
        </is>
      </c>
      <c r="C196" t="inlineStr">
        <is>
          <t>Sigma-Aldrich research chemicals</t>
        </is>
      </c>
      <c r="D196" t="inlineStr">
        <is>
          <t>reagents, biochemicals and analytical standards</t>
        </is>
      </c>
      <c r="E196" t="inlineStr">
        <is>
          <t>prior</t>
        </is>
      </c>
    </row>
    <row r="197">
      <c r="A197" t="n">
        <v>898</v>
      </c>
      <c r="B197" t="inlineStr">
        <is>
          <t>Nabertherm</t>
        </is>
      </c>
      <c r="C197" t="inlineStr">
        <is>
          <t>L / LE / LT muffle furnaces</t>
        </is>
      </c>
      <c r="D197" t="inlineStr">
        <is>
          <t>laboratory muffle furnaces up to 1,300 °C</t>
        </is>
      </c>
      <c r="E197" t="inlineStr">
        <is>
          <t>prior</t>
        </is>
      </c>
    </row>
    <row r="198">
      <c r="A198" t="n">
        <v>898</v>
      </c>
      <c r="B198" t="inlineStr">
        <is>
          <t>Nabertherm</t>
        </is>
      </c>
      <c r="C198" t="inlineStr">
        <is>
          <t>RT / RS tube furnaces</t>
        </is>
      </c>
      <c r="D198" t="inlineStr">
        <is>
          <t>compact and rotary tube furnaces</t>
        </is>
      </c>
      <c r="E198" t="inlineStr">
        <is>
          <t>prior</t>
        </is>
      </c>
    </row>
    <row r="199">
      <c r="A199" t="n">
        <v>898</v>
      </c>
      <c r="B199" t="inlineStr">
        <is>
          <t>Nabertherm</t>
        </is>
      </c>
      <c r="C199" t="inlineStr">
        <is>
          <t>LHT / HTC high-temperature furnaces</t>
        </is>
      </c>
      <c r="D199" t="inlineStr">
        <is>
          <t>chamber furnaces up to 1,800 °C</t>
        </is>
      </c>
      <c r="E199" t="inlineStr">
        <is>
          <t>prior</t>
        </is>
      </c>
    </row>
    <row r="200">
      <c r="A200" t="n">
        <v>900</v>
      </c>
      <c r="B200" t="inlineStr">
        <is>
          <t>Nalgene</t>
        </is>
      </c>
      <c r="C200" t="inlineStr">
        <is>
          <t>Thermo Scientific Orbitrap Astral</t>
        </is>
      </c>
      <c r="D200" t="inlineStr">
        <is>
          <t>high-resolution Orbitrap LC-MS mass spectrometer</t>
        </is>
      </c>
      <c r="E200" t="inlineStr">
        <is>
          <t>prior</t>
        </is>
      </c>
    </row>
    <row r="201">
      <c r="A201" t="n">
        <v>900</v>
      </c>
      <c r="B201" t="inlineStr">
        <is>
          <t>Nalgene</t>
        </is>
      </c>
      <c r="C201" t="inlineStr">
        <is>
          <t>Applied Biosystems QuantStudio</t>
        </is>
      </c>
      <c r="D201" t="inlineStr">
        <is>
          <t>real-time PCR (qPCR/dPCR) instrument family</t>
        </is>
      </c>
      <c r="E201" t="inlineStr">
        <is>
          <t>prior</t>
        </is>
      </c>
    </row>
    <row r="202">
      <c r="A202" t="n">
        <v>900</v>
      </c>
      <c r="B202" t="inlineStr">
        <is>
          <t>Nalgene</t>
        </is>
      </c>
      <c r="C202" t="inlineStr">
        <is>
          <t>Thermo Scientific Krios cryo-TEM</t>
        </is>
      </c>
      <c r="D202" t="inlineStr">
        <is>
          <t>cryo-electron microscope for structural biology</t>
        </is>
      </c>
      <c r="E202" t="inlineStr">
        <is>
          <t>prior</t>
        </is>
      </c>
    </row>
    <row r="203">
      <c r="A203" t="n">
        <v>908</v>
      </c>
      <c r="B203" t="inlineStr">
        <is>
          <t>NEL Scientific</t>
        </is>
      </c>
      <c r="C203" t="inlineStr">
        <is>
          <t>Fluid Thioglycollate Medium (USP Formulation)</t>
        </is>
      </c>
      <c r="E203" t="inlineStr">
        <is>
          <t>thomassci</t>
        </is>
      </c>
      <c r="F203" t="inlineStr">
        <is>
          <t>https://www.thomassci.com/p/fluid-thioglycollate-medium-usp-formulation</t>
        </is>
      </c>
    </row>
    <row r="204">
      <c r="A204" t="n">
        <v>908</v>
      </c>
      <c r="B204" t="inlineStr">
        <is>
          <t>NEL Scientific</t>
        </is>
      </c>
      <c r="C204" t="inlineStr">
        <is>
          <t>MR-VP Broth</t>
        </is>
      </c>
      <c r="E204" t="inlineStr">
        <is>
          <t>thomassci</t>
        </is>
      </c>
      <c r="F204" t="inlineStr">
        <is>
          <t>https://www.thomassci.com/p/mr-vp-broth</t>
        </is>
      </c>
    </row>
    <row r="205">
      <c r="A205" t="n">
        <v>908</v>
      </c>
      <c r="B205" t="inlineStr">
        <is>
          <t>NEL Scientific</t>
        </is>
      </c>
      <c r="C205" t="inlineStr">
        <is>
          <t>Campy-Blaser</t>
        </is>
      </c>
      <c r="E205" t="inlineStr">
        <is>
          <t>thomassci</t>
        </is>
      </c>
      <c r="F205" t="inlineStr">
        <is>
          <t>https://www.thomassci.com/p/campy-blaser</t>
        </is>
      </c>
    </row>
    <row r="206">
      <c r="A206" t="n">
        <v>908</v>
      </c>
      <c r="B206" t="inlineStr">
        <is>
          <t>NEL Scientific</t>
        </is>
      </c>
      <c r="C206" t="inlineStr">
        <is>
          <t>Ureaplasma Broth</t>
        </is>
      </c>
      <c r="E206" t="inlineStr">
        <is>
          <t>thomassci</t>
        </is>
      </c>
      <c r="F206" t="inlineStr">
        <is>
          <t>https://www.thomassci.com/p/ureaplasma-broth</t>
        </is>
      </c>
    </row>
    <row r="207">
      <c r="A207" t="n">
        <v>908</v>
      </c>
      <c r="B207" t="inlineStr">
        <is>
          <t>NEL Scientific</t>
        </is>
      </c>
      <c r="C207" t="inlineStr">
        <is>
          <t>Urea Agar</t>
        </is>
      </c>
      <c r="E207" t="inlineStr">
        <is>
          <t>thomassci</t>
        </is>
      </c>
      <c r="F207" t="inlineStr">
        <is>
          <t>https://www.thomassci.com/p/urea-agar-1</t>
        </is>
      </c>
    </row>
    <row r="208">
      <c r="A208" t="n">
        <v>915</v>
      </c>
      <c r="B208" t="inlineStr">
        <is>
          <t>New England Biolabs (NEB)</t>
        </is>
      </c>
      <c r="C208" t="inlineStr">
        <is>
          <t>Q5 High-Fidelity DNA Polymerase</t>
        </is>
      </c>
      <c r="D208" t="inlineStr">
        <is>
          <t>high-fidelity PCR enzyme and master mixes</t>
        </is>
      </c>
      <c r="E208" t="inlineStr">
        <is>
          <t>prior</t>
        </is>
      </c>
    </row>
    <row r="209">
      <c r="A209" t="n">
        <v>915</v>
      </c>
      <c r="B209" t="inlineStr">
        <is>
          <t>New England Biolabs (NEB)</t>
        </is>
      </c>
      <c r="C209" t="inlineStr">
        <is>
          <t>NEBNext</t>
        </is>
      </c>
      <c r="D209" t="inlineStr">
        <is>
          <t>NGS library-preparation kits</t>
        </is>
      </c>
      <c r="E209" t="inlineStr">
        <is>
          <t>prior</t>
        </is>
      </c>
    </row>
    <row r="210">
      <c r="A210" t="n">
        <v>915</v>
      </c>
      <c r="B210" t="inlineStr">
        <is>
          <t>New England Biolabs (NEB)</t>
        </is>
      </c>
      <c r="C210" t="inlineStr">
        <is>
          <t>Monarch</t>
        </is>
      </c>
      <c r="D210" t="inlineStr">
        <is>
          <t>nucleic acid purification kits</t>
        </is>
      </c>
      <c r="E210" t="inlineStr">
        <is>
          <t>prior</t>
        </is>
      </c>
    </row>
    <row r="211">
      <c r="A211" t="n">
        <v>924</v>
      </c>
      <c r="B211" t="inlineStr">
        <is>
          <t>Nikon</t>
        </is>
      </c>
      <c r="C211" t="inlineStr">
        <is>
          <t>ECLIPSE Ti2</t>
        </is>
      </c>
      <c r="D211" t="inlineStr">
        <is>
          <t>inverted research microscope platform for live-cell imaging</t>
        </is>
      </c>
      <c r="E211" t="inlineStr">
        <is>
          <t>prior</t>
        </is>
      </c>
    </row>
    <row r="212">
      <c r="A212" t="n">
        <v>924</v>
      </c>
      <c r="B212" t="inlineStr">
        <is>
          <t>Nikon</t>
        </is>
      </c>
      <c r="C212" t="inlineStr">
        <is>
          <t>AX / AX R with NSPARC</t>
        </is>
      </c>
      <c r="D212" t="inlineStr">
        <is>
          <t>high-resolution confocal microscope systems</t>
        </is>
      </c>
      <c r="E212" t="inlineStr">
        <is>
          <t>prior</t>
        </is>
      </c>
    </row>
    <row r="213">
      <c r="A213" t="n">
        <v>924</v>
      </c>
      <c r="B213" t="inlineStr">
        <is>
          <t>Nikon</t>
        </is>
      </c>
      <c r="C213" t="inlineStr">
        <is>
          <t>ECLIPSE Ji</t>
        </is>
      </c>
      <c r="D213" t="inlineStr">
        <is>
          <t>AI-driven smart imaging/cell-analysis system</t>
        </is>
      </c>
      <c r="E213" t="inlineStr">
        <is>
          <t>prior</t>
        </is>
      </c>
    </row>
    <row r="214">
      <c r="A214" t="n">
        <v>935</v>
      </c>
      <c r="B214" t="inlineStr">
        <is>
          <t>Novus Biologicals</t>
        </is>
      </c>
      <c r="C214" t="inlineStr">
        <is>
          <t>ProteinSimple Jess / Simple Western</t>
        </is>
      </c>
      <c r="D214" t="inlineStr">
        <is>
          <t>automated capillary western-blot immunoassay systems</t>
        </is>
      </c>
      <c r="E214" t="inlineStr">
        <is>
          <t>prior</t>
        </is>
      </c>
    </row>
    <row r="215">
      <c r="A215" t="n">
        <v>935</v>
      </c>
      <c r="B215" t="inlineStr">
        <is>
          <t>Novus Biologicals</t>
        </is>
      </c>
      <c r="C215" t="inlineStr">
        <is>
          <t>R&amp;D Systems proteins, antibodies &amp; Quantikine ELISAs</t>
        </is>
      </c>
      <c r="D215" t="inlineStr">
        <is>
          <t>recombinant proteins, antibodies, immunoassay kits</t>
        </is>
      </c>
      <c r="E215" t="inlineStr">
        <is>
          <t>prior</t>
        </is>
      </c>
    </row>
    <row r="216">
      <c r="A216" t="n">
        <v>935</v>
      </c>
      <c r="B216" t="inlineStr">
        <is>
          <t>Novus Biologicals</t>
        </is>
      </c>
      <c r="C216" t="inlineStr">
        <is>
          <t>RNAscope (ACD)</t>
        </is>
      </c>
      <c r="D216" t="inlineStr">
        <is>
          <t>in situ hybridization assays for RNA detection</t>
        </is>
      </c>
      <c r="E216" t="inlineStr">
        <is>
          <t>prior</t>
        </is>
      </c>
    </row>
    <row r="217">
      <c r="A217" t="n">
        <v>942</v>
      </c>
      <c r="B217" t="inlineStr">
        <is>
          <t>Oakton</t>
        </is>
      </c>
      <c r="C217" t="inlineStr">
        <is>
          <t>Jenway spectrophotometers</t>
        </is>
      </c>
      <c r="D217" t="inlineStr">
        <is>
          <t>UV/Vis and visible benchtop spectrophotometers</t>
        </is>
      </c>
      <c r="E217" t="inlineStr">
        <is>
          <t>prior</t>
        </is>
      </c>
    </row>
    <row r="218">
      <c r="A218" t="n">
        <v>942</v>
      </c>
      <c r="B218" t="inlineStr">
        <is>
          <t>Oakton</t>
        </is>
      </c>
      <c r="C218" t="inlineStr">
        <is>
          <t>Environmental Express HotBlock</t>
        </is>
      </c>
      <c r="D218" t="inlineStr">
        <is>
          <t>sample digestion and prep for environmental testing</t>
        </is>
      </c>
      <c r="E218" t="inlineStr">
        <is>
          <t>prior</t>
        </is>
      </c>
    </row>
    <row r="219">
      <c r="A219" t="n">
        <v>942</v>
      </c>
      <c r="B219" t="inlineStr">
        <is>
          <t>Oakton</t>
        </is>
      </c>
      <c r="C219" t="inlineStr">
        <is>
          <t>Stuart / Techne benchtop equipment</t>
        </is>
      </c>
      <c r="D219" t="inlineStr">
        <is>
          <t>stirrers, shakers, hotplates, dry blocks, thermal cyclers</t>
        </is>
      </c>
      <c r="E219" t="inlineStr">
        <is>
          <t>prior</t>
        </is>
      </c>
    </row>
    <row r="220">
      <c r="A220" t="n">
        <v>947</v>
      </c>
      <c r="B220" t="inlineStr">
        <is>
          <t>Ohaus</t>
        </is>
      </c>
      <c r="C220" t="inlineStr">
        <is>
          <t>Explorer series</t>
        </is>
      </c>
      <c r="D220" t="inlineStr">
        <is>
          <t>analytical &amp; precision laboratory balances</t>
        </is>
      </c>
      <c r="E220" t="inlineStr">
        <is>
          <t>prior</t>
        </is>
      </c>
    </row>
    <row r="221">
      <c r="A221" t="n">
        <v>947</v>
      </c>
      <c r="B221" t="inlineStr">
        <is>
          <t>Ohaus</t>
        </is>
      </c>
      <c r="C221" t="inlineStr">
        <is>
          <t>Pioneer / Adventurer balances</t>
        </is>
      </c>
      <c r="D221" t="inlineStr">
        <is>
          <t>mid-range analytical and precision balances</t>
        </is>
      </c>
      <c r="E221" t="inlineStr">
        <is>
          <t>prior</t>
        </is>
      </c>
    </row>
    <row r="222">
      <c r="A222" t="n">
        <v>947</v>
      </c>
      <c r="B222" t="inlineStr">
        <is>
          <t>Ohaus</t>
        </is>
      </c>
      <c r="C222" t="inlineStr">
        <is>
          <t>Frontier series centrifuges</t>
        </is>
      </c>
      <c r="D222" t="inlineStr">
        <is>
          <t>benchtop micro, multi-pro and high-speed centrifuges</t>
        </is>
      </c>
      <c r="E222" t="inlineStr">
        <is>
          <t>prior</t>
        </is>
      </c>
    </row>
    <row r="223">
      <c r="A223" t="n">
        <v>965</v>
      </c>
      <c r="B223" t="inlineStr">
        <is>
          <t>Oxford Instruments America</t>
        </is>
      </c>
      <c r="C223" t="inlineStr">
        <is>
          <t>AZtec with Ultim Max (NanoAnalysis)</t>
        </is>
      </c>
      <c r="D223" t="inlineStr">
        <is>
          <t>EDS/EBSD microanalysis systems for SEM/TEM</t>
        </is>
      </c>
      <c r="E223" t="inlineStr">
        <is>
          <t>prior</t>
        </is>
      </c>
    </row>
    <row r="224">
      <c r="A224" t="n">
        <v>965</v>
      </c>
      <c r="B224" t="inlineStr">
        <is>
          <t>Oxford Instruments America</t>
        </is>
      </c>
      <c r="C224" t="inlineStr">
        <is>
          <t>Andor iXon / Sona / Dragonfly</t>
        </is>
      </c>
      <c r="D224" t="inlineStr">
        <is>
          <t>scientific EMCCD/sCMOS cameras &amp; confocal imaging</t>
        </is>
      </c>
      <c r="E224" t="inlineStr">
        <is>
          <t>prior</t>
        </is>
      </c>
    </row>
    <row r="225">
      <c r="A225" t="n">
        <v>965</v>
      </c>
      <c r="B225" t="inlineStr">
        <is>
          <t>Oxford Instruments America</t>
        </is>
      </c>
      <c r="C225" t="inlineStr">
        <is>
          <t>PlasmaPro 100 (Plasma Technology)</t>
        </is>
      </c>
      <c r="D225" t="inlineStr">
        <is>
          <t>plasma etch &amp; deposition tools for semiconductors</t>
        </is>
      </c>
      <c r="E225" t="inlineStr">
        <is>
          <t>prior</t>
        </is>
      </c>
    </row>
    <row r="226">
      <c r="A226" t="n">
        <v>985</v>
      </c>
      <c r="B226" t="inlineStr">
        <is>
          <t>PerkinElmer</t>
        </is>
      </c>
      <c r="C226" t="inlineStr">
        <is>
          <t>NexION ICP-MS</t>
        </is>
      </c>
      <c r="D226" t="inlineStr">
        <is>
          <t>inductively coupled plasma mass spectrometers</t>
        </is>
      </c>
      <c r="E226" t="inlineStr">
        <is>
          <t>prior</t>
        </is>
      </c>
    </row>
    <row r="227">
      <c r="A227" t="n">
        <v>985</v>
      </c>
      <c r="B227" t="inlineStr">
        <is>
          <t>PerkinElmer</t>
        </is>
      </c>
      <c r="C227" t="inlineStr">
        <is>
          <t>Avio ICP-OES</t>
        </is>
      </c>
      <c r="D227" t="inlineStr">
        <is>
          <t>ICP optical emission spectrometers for elemental analysis</t>
        </is>
      </c>
      <c r="E227" t="inlineStr">
        <is>
          <t>prior</t>
        </is>
      </c>
    </row>
    <row r="228">
      <c r="A228" t="n">
        <v>985</v>
      </c>
      <c r="B228" t="inlineStr">
        <is>
          <t>PerkinElmer</t>
        </is>
      </c>
      <c r="C228" t="inlineStr">
        <is>
          <t>Spectrum 3 / Lambda / Pyris</t>
        </is>
      </c>
      <c r="D228" t="inlineStr">
        <is>
          <t>FT-IR, UV-Vis and thermal analysis instruments</t>
        </is>
      </c>
      <c r="E228" t="inlineStr">
        <is>
          <t>prior</t>
        </is>
      </c>
    </row>
    <row r="229">
      <c r="A229" t="n">
        <v>988</v>
      </c>
      <c r="B229" t="inlineStr">
        <is>
          <t>PHC Corporation of North America</t>
        </is>
      </c>
      <c r="C229" t="inlineStr">
        <is>
          <t>MDF-DU702VH VIP ECO</t>
        </is>
      </c>
      <c r="D229" t="inlineStr">
        <is>
          <t>-86C ultra-low temperature freezer</t>
        </is>
      </c>
      <c r="E229" t="inlineStr">
        <is>
          <t>prior</t>
        </is>
      </c>
    </row>
    <row r="230">
      <c r="A230" t="n">
        <v>988</v>
      </c>
      <c r="B230" t="inlineStr">
        <is>
          <t>PHC Corporation of North America</t>
        </is>
      </c>
      <c r="C230" t="inlineStr">
        <is>
          <t>MCO-170AIC / MCO-230AIC IncuSafe</t>
        </is>
      </c>
      <c r="D230" t="inlineStr">
        <is>
          <t>CO2 incubators with H2O2 decontamination</t>
        </is>
      </c>
      <c r="E230" t="inlineStr">
        <is>
          <t>prior</t>
        </is>
      </c>
    </row>
    <row r="231">
      <c r="A231" t="n">
        <v>988</v>
      </c>
      <c r="B231" t="inlineStr">
        <is>
          <t>PHC Corporation of North America</t>
        </is>
      </c>
      <c r="C231" t="inlineStr">
        <is>
          <t>MPR / MBR series</t>
        </is>
      </c>
      <c r="D231" t="inlineStr">
        <is>
          <t>pharmaceutical refrigerators and biomedical freezers</t>
        </is>
      </c>
      <c r="E231" t="inlineStr">
        <is>
          <t>prior</t>
        </is>
      </c>
    </row>
    <row r="232">
      <c r="A232" t="n">
        <v>989</v>
      </c>
      <c r="B232" t="inlineStr">
        <is>
          <t>PHCBI</t>
        </is>
      </c>
      <c r="C232" t="inlineStr">
        <is>
          <t>MDF-DU702VH VIP ECO</t>
        </is>
      </c>
      <c r="D232" t="inlineStr">
        <is>
          <t>-86C ultra-low temperature freezer</t>
        </is>
      </c>
      <c r="E232" t="inlineStr">
        <is>
          <t>prior</t>
        </is>
      </c>
    </row>
    <row r="233">
      <c r="A233" t="n">
        <v>989</v>
      </c>
      <c r="B233" t="inlineStr">
        <is>
          <t>PHCBI</t>
        </is>
      </c>
      <c r="C233" t="inlineStr">
        <is>
          <t>MCO-170AIC / MCO-230AIC IncuSafe</t>
        </is>
      </c>
      <c r="D233" t="inlineStr">
        <is>
          <t>CO2 incubators with H2O2 decontamination</t>
        </is>
      </c>
      <c r="E233" t="inlineStr">
        <is>
          <t>prior</t>
        </is>
      </c>
    </row>
    <row r="234">
      <c r="A234" t="n">
        <v>989</v>
      </c>
      <c r="B234" t="inlineStr">
        <is>
          <t>PHCBI</t>
        </is>
      </c>
      <c r="C234" t="inlineStr">
        <is>
          <t>MPR / MBR series</t>
        </is>
      </c>
      <c r="D234" t="inlineStr">
        <is>
          <t>pharmaceutical refrigerators and biomedical freezers</t>
        </is>
      </c>
      <c r="E234" t="inlineStr">
        <is>
          <t>prior</t>
        </is>
      </c>
    </row>
    <row r="235">
      <c r="A235" t="n">
        <v>1029</v>
      </c>
      <c r="B235" t="inlineStr">
        <is>
          <t>Promega</t>
        </is>
      </c>
      <c r="C235" t="inlineStr">
        <is>
          <t>Maxwell RSC</t>
        </is>
      </c>
      <c r="D235" t="inlineStr">
        <is>
          <t>automated nucleic acid purification instrument</t>
        </is>
      </c>
      <c r="E235" t="inlineStr">
        <is>
          <t>prior</t>
        </is>
      </c>
    </row>
    <row r="236">
      <c r="A236" t="n">
        <v>1029</v>
      </c>
      <c r="B236" t="inlineStr">
        <is>
          <t>Promega</t>
        </is>
      </c>
      <c r="C236" t="inlineStr">
        <is>
          <t>GloMax</t>
        </is>
      </c>
      <c r="D236" t="inlineStr">
        <is>
          <t>multimode microplate readers and luminometers</t>
        </is>
      </c>
      <c r="E236" t="inlineStr">
        <is>
          <t>prior</t>
        </is>
      </c>
    </row>
    <row r="237">
      <c r="A237" t="n">
        <v>1029</v>
      </c>
      <c r="B237" t="inlineStr">
        <is>
          <t>Promega</t>
        </is>
      </c>
      <c r="C237" t="inlineStr">
        <is>
          <t>CellTiter-Glo / Dual-Luciferase</t>
        </is>
      </c>
      <c r="D237" t="inlineStr">
        <is>
          <t>bioluminescent cell-viability and reporter assays</t>
        </is>
      </c>
      <c r="E237" t="inlineStr">
        <is>
          <t>prior</t>
        </is>
      </c>
    </row>
    <row r="238">
      <c r="A238" t="n">
        <v>1048</v>
      </c>
      <c r="B238" t="inlineStr">
        <is>
          <t>Qiagen</t>
        </is>
      </c>
      <c r="C238" t="inlineStr">
        <is>
          <t>QIAcube Connect</t>
        </is>
      </c>
      <c r="D238" t="inlineStr">
        <is>
          <t>automated nucleic-acid extraction instrument</t>
        </is>
      </c>
      <c r="E238" t="inlineStr">
        <is>
          <t>prior</t>
        </is>
      </c>
    </row>
    <row r="239">
      <c r="A239" t="n">
        <v>1048</v>
      </c>
      <c r="B239" t="inlineStr">
        <is>
          <t>Qiagen</t>
        </is>
      </c>
      <c r="C239" t="inlineStr">
        <is>
          <t>QIAstat-Dx</t>
        </is>
      </c>
      <c r="D239" t="inlineStr">
        <is>
          <t>syndromic molecular diagnostic panel system</t>
        </is>
      </c>
      <c r="E239" t="inlineStr">
        <is>
          <t>prior</t>
        </is>
      </c>
    </row>
    <row r="240">
      <c r="A240" t="n">
        <v>1048</v>
      </c>
      <c r="B240" t="inlineStr">
        <is>
          <t>Qiagen</t>
        </is>
      </c>
      <c r="C240" t="inlineStr">
        <is>
          <t>QuantiFERON-TB Gold Plus</t>
        </is>
      </c>
      <c r="D240" t="inlineStr">
        <is>
          <t>interferon-gamma TB blood test</t>
        </is>
      </c>
      <c r="E240" t="inlineStr">
        <is>
          <t>prior</t>
        </is>
      </c>
    </row>
    <row r="241">
      <c r="A241" t="n">
        <v>1060</v>
      </c>
      <c r="B241" t="inlineStr">
        <is>
          <t>R&amp;D Systems</t>
        </is>
      </c>
      <c r="C241" t="inlineStr">
        <is>
          <t>ProteinSimple Jess / Simple Western</t>
        </is>
      </c>
      <c r="D241" t="inlineStr">
        <is>
          <t>automated capillary western-blot immunoassay systems</t>
        </is>
      </c>
      <c r="E241" t="inlineStr">
        <is>
          <t>prior</t>
        </is>
      </c>
    </row>
    <row r="242">
      <c r="A242" t="n">
        <v>1060</v>
      </c>
      <c r="B242" t="inlineStr">
        <is>
          <t>R&amp;D Systems</t>
        </is>
      </c>
      <c r="C242" t="inlineStr">
        <is>
          <t>R&amp;D Systems proteins, antibodies &amp; Quantikine ELISAs</t>
        </is>
      </c>
      <c r="D242" t="inlineStr">
        <is>
          <t>recombinant proteins, antibodies, immunoassay kits</t>
        </is>
      </c>
      <c r="E242" t="inlineStr">
        <is>
          <t>prior</t>
        </is>
      </c>
    </row>
    <row r="243">
      <c r="A243" t="n">
        <v>1060</v>
      </c>
      <c r="B243" t="inlineStr">
        <is>
          <t>R&amp;D Systems</t>
        </is>
      </c>
      <c r="C243" t="inlineStr">
        <is>
          <t>RNAscope (ACD)</t>
        </is>
      </c>
      <c r="D243" t="inlineStr">
        <is>
          <t>in situ hybridization assays for RNA detection</t>
        </is>
      </c>
      <c r="E243" t="inlineStr">
        <is>
          <t>prior</t>
        </is>
      </c>
    </row>
    <row r="244">
      <c r="A244" t="n">
        <v>1064</v>
      </c>
      <c r="B244" t="inlineStr">
        <is>
          <t>Rainin</t>
        </is>
      </c>
      <c r="C244" t="inlineStr">
        <is>
          <t>XPR analytical &amp; micro balances</t>
        </is>
      </c>
      <c r="D244" t="inlineStr">
        <is>
          <t>high-precision laboratory balances</t>
        </is>
      </c>
      <c r="E244" t="inlineStr">
        <is>
          <t>prior</t>
        </is>
      </c>
    </row>
    <row r="245">
      <c r="A245" t="n">
        <v>1064</v>
      </c>
      <c r="B245" t="inlineStr">
        <is>
          <t>Rainin</t>
        </is>
      </c>
      <c r="C245" t="inlineStr">
        <is>
          <t>Rainin Pipet-Lite XLS / E4 XLS</t>
        </is>
      </c>
      <c r="D245" t="inlineStr">
        <is>
          <t>manual and electronic pipettes</t>
        </is>
      </c>
      <c r="E245" t="inlineStr">
        <is>
          <t>prior</t>
        </is>
      </c>
    </row>
    <row r="246">
      <c r="A246" t="n">
        <v>1064</v>
      </c>
      <c r="B246" t="inlineStr">
        <is>
          <t>Rainin</t>
        </is>
      </c>
      <c r="C246" t="inlineStr">
        <is>
          <t>Excellence Titrators &amp; SevenExcellence meters</t>
        </is>
      </c>
      <c r="D246" t="inlineStr">
        <is>
          <t>titration and pH/ion analysis</t>
        </is>
      </c>
      <c r="E246" t="inlineStr">
        <is>
          <t>prior</t>
        </is>
      </c>
    </row>
    <row r="247">
      <c r="A247" t="n">
        <v>1080</v>
      </c>
      <c r="B247" t="inlineStr">
        <is>
          <t>Retsch</t>
        </is>
      </c>
      <c r="C247" t="inlineStr">
        <is>
          <t>Retsch mills and sieve shakers</t>
        </is>
      </c>
      <c r="D247" t="inlineStr">
        <is>
          <t>planetary ball mills, cutting mills, AS 200 sieving</t>
        </is>
      </c>
      <c r="E247" t="inlineStr">
        <is>
          <t>prior</t>
        </is>
      </c>
    </row>
    <row r="248">
      <c r="A248" t="n">
        <v>1080</v>
      </c>
      <c r="B248" t="inlineStr">
        <is>
          <t>Retsch</t>
        </is>
      </c>
      <c r="C248" t="inlineStr">
        <is>
          <t>Carbolite Gero furnaces</t>
        </is>
      </c>
      <c r="D248" t="inlineStr">
        <is>
          <t>laboratory chamber, tube and high-temperature furnaces</t>
        </is>
      </c>
      <c r="E248" t="inlineStr">
        <is>
          <t>prior</t>
        </is>
      </c>
    </row>
    <row r="249">
      <c r="A249" t="n">
        <v>1080</v>
      </c>
      <c r="B249" t="inlineStr">
        <is>
          <t>Retsch</t>
        </is>
      </c>
      <c r="C249" t="inlineStr">
        <is>
          <t>Microtrac MRB particle analyzers</t>
        </is>
      </c>
      <c r="D249" t="inlineStr">
        <is>
          <t>laser diffraction and image particle characterization</t>
        </is>
      </c>
      <c r="E249" t="inlineStr">
        <is>
          <t>prior</t>
        </is>
      </c>
    </row>
    <row r="250">
      <c r="A250" t="n">
        <v>1081</v>
      </c>
      <c r="B250" t="inlineStr">
        <is>
          <t>Revvity</t>
        </is>
      </c>
      <c r="C250" t="inlineStr">
        <is>
          <t>NexION ICP-MS</t>
        </is>
      </c>
      <c r="D250" t="inlineStr">
        <is>
          <t>inductively coupled plasma mass spectrometers</t>
        </is>
      </c>
      <c r="E250" t="inlineStr">
        <is>
          <t>prior</t>
        </is>
      </c>
    </row>
    <row r="251">
      <c r="A251" t="n">
        <v>1081</v>
      </c>
      <c r="B251" t="inlineStr">
        <is>
          <t>Revvity</t>
        </is>
      </c>
      <c r="C251" t="inlineStr">
        <is>
          <t>Avio ICP-OES</t>
        </is>
      </c>
      <c r="D251" t="inlineStr">
        <is>
          <t>ICP optical emission spectrometers for elemental analysis</t>
        </is>
      </c>
      <c r="E251" t="inlineStr">
        <is>
          <t>prior</t>
        </is>
      </c>
    </row>
    <row r="252">
      <c r="A252" t="n">
        <v>1081</v>
      </c>
      <c r="B252" t="inlineStr">
        <is>
          <t>Revvity</t>
        </is>
      </c>
      <c r="C252" t="inlineStr">
        <is>
          <t>Spectrum 3 / Lambda / Pyris</t>
        </is>
      </c>
      <c r="D252" t="inlineStr">
        <is>
          <t>FT-IR, UV-Vis and thermal analysis instruments</t>
        </is>
      </c>
      <c r="E252" t="inlineStr">
        <is>
          <t>prior</t>
        </is>
      </c>
    </row>
    <row r="253">
      <c r="A253" t="n">
        <v>1088</v>
      </c>
      <c r="B253" t="inlineStr">
        <is>
          <t>Roche</t>
        </is>
      </c>
      <c r="C253" t="inlineStr">
        <is>
          <t>cobas pro integrated solutions (c 503 / e 801)</t>
        </is>
      </c>
      <c r="D253" t="inlineStr">
        <is>
          <t>high-throughput clinical chemistry and immunoassay analyzers</t>
        </is>
      </c>
      <c r="E253" t="inlineStr">
        <is>
          <t>prior</t>
        </is>
      </c>
    </row>
    <row r="254">
      <c r="A254" t="n">
        <v>1088</v>
      </c>
      <c r="B254" t="inlineStr">
        <is>
          <t>Roche</t>
        </is>
      </c>
      <c r="C254" t="inlineStr">
        <is>
          <t>cobas 6800 / 8800 and cobas 5800 Systems</t>
        </is>
      </c>
      <c r="D254" t="inlineStr">
        <is>
          <t>automated PCR molecular diagnostics platforms</t>
        </is>
      </c>
      <c r="E254" t="inlineStr">
        <is>
          <t>prior</t>
        </is>
      </c>
    </row>
    <row r="255">
      <c r="A255" t="n">
        <v>1088</v>
      </c>
      <c r="B255" t="inlineStr">
        <is>
          <t>Roche</t>
        </is>
      </c>
      <c r="C255" t="inlineStr">
        <is>
          <t>LightCycler 480 / LightCycler PRO</t>
        </is>
      </c>
      <c r="D255" t="inlineStr">
        <is>
          <t>real-time PCR instruments</t>
        </is>
      </c>
      <c r="E255" t="inlineStr">
        <is>
          <t>prior</t>
        </is>
      </c>
    </row>
    <row r="256">
      <c r="A256" t="n">
        <v>1089</v>
      </c>
      <c r="B256" t="inlineStr">
        <is>
          <t>Roche Diagnostics Corp.</t>
        </is>
      </c>
      <c r="C256" t="inlineStr">
        <is>
          <t>cobas pro integrated solutions (c 503 / e 801)</t>
        </is>
      </c>
      <c r="D256" t="inlineStr">
        <is>
          <t>high-throughput clinical chemistry and immunoassay analyzers</t>
        </is>
      </c>
      <c r="E256" t="inlineStr">
        <is>
          <t>prior</t>
        </is>
      </c>
    </row>
    <row r="257">
      <c r="A257" t="n">
        <v>1089</v>
      </c>
      <c r="B257" t="inlineStr">
        <is>
          <t>Roche Diagnostics Corp.</t>
        </is>
      </c>
      <c r="C257" t="inlineStr">
        <is>
          <t>cobas 6800 / 8800 and cobas 5800 Systems</t>
        </is>
      </c>
      <c r="D257" t="inlineStr">
        <is>
          <t>automated PCR molecular diagnostics platforms</t>
        </is>
      </c>
      <c r="E257" t="inlineStr">
        <is>
          <t>prior</t>
        </is>
      </c>
    </row>
    <row r="258">
      <c r="A258" t="n">
        <v>1089</v>
      </c>
      <c r="B258" t="inlineStr">
        <is>
          <t>Roche Diagnostics Corp.</t>
        </is>
      </c>
      <c r="C258" t="inlineStr">
        <is>
          <t>LightCycler 480 / LightCycler PRO</t>
        </is>
      </c>
      <c r="D258" t="inlineStr">
        <is>
          <t>real-time PCR instruments</t>
        </is>
      </c>
      <c r="E258" t="inlineStr">
        <is>
          <t>prior</t>
        </is>
      </c>
    </row>
    <row r="259">
      <c r="A259" t="n">
        <v>1113</v>
      </c>
      <c r="B259" t="inlineStr">
        <is>
          <t>Sarstedt</t>
        </is>
      </c>
      <c r="C259" t="inlineStr">
        <is>
          <t>S-Monovette</t>
        </is>
      </c>
      <c r="D259" t="inlineStr">
        <is>
          <t>venous blood collection system</t>
        </is>
      </c>
      <c r="E259" t="inlineStr">
        <is>
          <t>prior</t>
        </is>
      </c>
    </row>
    <row r="260">
      <c r="A260" t="n">
        <v>1113</v>
      </c>
      <c r="B260" t="inlineStr">
        <is>
          <t>Sarstedt</t>
        </is>
      </c>
      <c r="C260" t="inlineStr">
        <is>
          <t>Microvette &amp; Salivette</t>
        </is>
      </c>
      <c r="D260" t="inlineStr">
        <is>
          <t>capillary blood and saliva collection</t>
        </is>
      </c>
      <c r="E260" t="inlineStr">
        <is>
          <t>prior</t>
        </is>
      </c>
    </row>
    <row r="261">
      <c r="A261" t="n">
        <v>1113</v>
      </c>
      <c r="B261" t="inlineStr">
        <is>
          <t>Sarstedt</t>
        </is>
      </c>
      <c r="C261" t="inlineStr">
        <is>
          <t>Lab consumables (tubes, tips, cell culture)</t>
        </is>
      </c>
      <c r="D261" t="inlineStr">
        <is>
          <t>screw-cap tubes, pipette tips, plates</t>
        </is>
      </c>
      <c r="E261" t="inlineStr">
        <is>
          <t>prior</t>
        </is>
      </c>
    </row>
    <row r="262">
      <c r="A262" t="n">
        <v>1114</v>
      </c>
      <c r="B262" t="inlineStr">
        <is>
          <t>Sartorius</t>
        </is>
      </c>
      <c r="C262" t="inlineStr">
        <is>
          <t>Octet BLI systems</t>
        </is>
      </c>
      <c r="D262" t="inlineStr">
        <is>
          <t>label-free bio-layer interferometry analyzers</t>
        </is>
      </c>
      <c r="E262" t="inlineStr">
        <is>
          <t>prior</t>
        </is>
      </c>
    </row>
    <row r="263">
      <c r="A263" t="n">
        <v>1114</v>
      </c>
      <c r="B263" t="inlineStr">
        <is>
          <t>Sartorius</t>
        </is>
      </c>
      <c r="C263" t="inlineStr">
        <is>
          <t>Biostat STR</t>
        </is>
      </c>
      <c r="D263" t="inlineStr">
        <is>
          <t>single-use stirred-tank bioreactors</t>
        </is>
      </c>
      <c r="E263" t="inlineStr">
        <is>
          <t>prior</t>
        </is>
      </c>
    </row>
    <row r="264">
      <c r="A264" t="n">
        <v>1114</v>
      </c>
      <c r="B264" t="inlineStr">
        <is>
          <t>Sartorius</t>
        </is>
      </c>
      <c r="C264" t="inlineStr">
        <is>
          <t>Cubis II balances</t>
        </is>
      </c>
      <c r="D264" t="inlineStr">
        <is>
          <t>modular premium laboratory balances</t>
        </is>
      </c>
      <c r="E264" t="inlineStr">
        <is>
          <t>prior</t>
        </is>
      </c>
    </row>
    <row r="265">
      <c r="A265" t="n">
        <v>1219</v>
      </c>
      <c r="B265" t="inlineStr">
        <is>
          <t>Stuart (Cole-Parmer)</t>
        </is>
      </c>
      <c r="C265" t="inlineStr">
        <is>
          <t>Jenway spectrophotometers</t>
        </is>
      </c>
      <c r="D265" t="inlineStr">
        <is>
          <t>UV/Vis and visible benchtop spectrophotometers</t>
        </is>
      </c>
      <c r="E265" t="inlineStr">
        <is>
          <t>prior</t>
        </is>
      </c>
    </row>
    <row r="266">
      <c r="A266" t="n">
        <v>1219</v>
      </c>
      <c r="B266" t="inlineStr">
        <is>
          <t>Stuart (Cole-Parmer)</t>
        </is>
      </c>
      <c r="C266" t="inlineStr">
        <is>
          <t>Environmental Express HotBlock</t>
        </is>
      </c>
      <c r="D266" t="inlineStr">
        <is>
          <t>sample digestion and prep for environmental testing</t>
        </is>
      </c>
      <c r="E266" t="inlineStr">
        <is>
          <t>prior</t>
        </is>
      </c>
    </row>
    <row r="267">
      <c r="A267" t="n">
        <v>1219</v>
      </c>
      <c r="B267" t="inlineStr">
        <is>
          <t>Stuart (Cole-Parmer)</t>
        </is>
      </c>
      <c r="C267" t="inlineStr">
        <is>
          <t>Stuart / Techne benchtop equipment</t>
        </is>
      </c>
      <c r="D267" t="inlineStr">
        <is>
          <t>stirrers, shakers, hotplates, dry blocks, thermal cyclers</t>
        </is>
      </c>
      <c r="E267" t="inlineStr">
        <is>
          <t>prior</t>
        </is>
      </c>
    </row>
    <row r="268">
      <c r="A268" t="n">
        <v>1237</v>
      </c>
      <c r="B268" t="inlineStr">
        <is>
          <t>Tecan</t>
        </is>
      </c>
      <c r="C268" t="inlineStr">
        <is>
          <t>Fluent</t>
        </is>
      </c>
      <c r="D268" t="inlineStr">
        <is>
          <t>automated liquid-handling workstation</t>
        </is>
      </c>
      <c r="E268" t="inlineStr">
        <is>
          <t>prior</t>
        </is>
      </c>
    </row>
    <row r="269">
      <c r="A269" t="n">
        <v>1237</v>
      </c>
      <c r="B269" t="inlineStr">
        <is>
          <t>Tecan</t>
        </is>
      </c>
      <c r="C269" t="inlineStr">
        <is>
          <t>Freedom EVO</t>
        </is>
      </c>
      <c r="D269" t="inlineStr">
        <is>
          <t>modular liquid-handling and robotics platform</t>
        </is>
      </c>
      <c r="E269" t="inlineStr">
        <is>
          <t>prior</t>
        </is>
      </c>
    </row>
    <row r="270">
      <c r="A270" t="n">
        <v>1237</v>
      </c>
      <c r="B270" t="inlineStr">
        <is>
          <t>Tecan</t>
        </is>
      </c>
      <c r="C270" t="inlineStr">
        <is>
          <t>Spark</t>
        </is>
      </c>
      <c r="D270" t="inlineStr">
        <is>
          <t>multimode microplate reader</t>
        </is>
      </c>
      <c r="E270" t="inlineStr">
        <is>
          <t>prior</t>
        </is>
      </c>
    </row>
    <row r="271">
      <c r="A271" t="n">
        <v>1238</v>
      </c>
      <c r="B271" t="inlineStr">
        <is>
          <t>Techne (Cole-Parmer)</t>
        </is>
      </c>
      <c r="C271" t="inlineStr">
        <is>
          <t>Jenway spectrophotometers</t>
        </is>
      </c>
      <c r="D271" t="inlineStr">
        <is>
          <t>UV/Vis and visible benchtop spectrophotometers</t>
        </is>
      </c>
      <c r="E271" t="inlineStr">
        <is>
          <t>prior</t>
        </is>
      </c>
    </row>
    <row r="272">
      <c r="A272" t="n">
        <v>1238</v>
      </c>
      <c r="B272" t="inlineStr">
        <is>
          <t>Techne (Cole-Parmer)</t>
        </is>
      </c>
      <c r="C272" t="inlineStr">
        <is>
          <t>Environmental Express HotBlock</t>
        </is>
      </c>
      <c r="D272" t="inlineStr">
        <is>
          <t>sample digestion and prep for environmental testing</t>
        </is>
      </c>
      <c r="E272" t="inlineStr">
        <is>
          <t>prior</t>
        </is>
      </c>
    </row>
    <row r="273">
      <c r="A273" t="n">
        <v>1238</v>
      </c>
      <c r="B273" t="inlineStr">
        <is>
          <t>Techne (Cole-Parmer)</t>
        </is>
      </c>
      <c r="C273" t="inlineStr">
        <is>
          <t>Stuart / Techne benchtop equipment</t>
        </is>
      </c>
      <c r="D273" t="inlineStr">
        <is>
          <t>stirrers, shakers, hotplates, dry blocks, thermal cyclers</t>
        </is>
      </c>
      <c r="E273" t="inlineStr">
        <is>
          <t>prior</t>
        </is>
      </c>
    </row>
    <row r="274">
      <c r="A274" t="n">
        <v>1255</v>
      </c>
      <c r="B274" t="inlineStr">
        <is>
          <t>Thermo Scientific</t>
        </is>
      </c>
      <c r="C274" t="inlineStr">
        <is>
          <t>Thermo Scientific Orbitrap Astral</t>
        </is>
      </c>
      <c r="D274" t="inlineStr">
        <is>
          <t>high-resolution Orbitrap LC-MS mass spectrometer</t>
        </is>
      </c>
      <c r="E274" t="inlineStr">
        <is>
          <t>prior</t>
        </is>
      </c>
    </row>
    <row r="275">
      <c r="A275" t="n">
        <v>1255</v>
      </c>
      <c r="B275" t="inlineStr">
        <is>
          <t>Thermo Scientific</t>
        </is>
      </c>
      <c r="C275" t="inlineStr">
        <is>
          <t>Applied Biosystems QuantStudio</t>
        </is>
      </c>
      <c r="D275" t="inlineStr">
        <is>
          <t>real-time PCR (qPCR/dPCR) instrument family</t>
        </is>
      </c>
      <c r="E275" t="inlineStr">
        <is>
          <t>prior</t>
        </is>
      </c>
    </row>
    <row r="276">
      <c r="A276" t="n">
        <v>1255</v>
      </c>
      <c r="B276" t="inlineStr">
        <is>
          <t>Thermo Scientific</t>
        </is>
      </c>
      <c r="C276" t="inlineStr">
        <is>
          <t>Thermo Scientific Krios cryo-TEM</t>
        </is>
      </c>
      <c r="D276" t="inlineStr">
        <is>
          <t>cryo-electron microscope for structural biology</t>
        </is>
      </c>
      <c r="E276" t="inlineStr">
        <is>
          <t>prior</t>
        </is>
      </c>
    </row>
    <row r="277">
      <c r="A277" t="n">
        <v>1259</v>
      </c>
      <c r="B277" t="inlineStr">
        <is>
          <t>Thermo Scientific Nalgene</t>
        </is>
      </c>
      <c r="C277" t="inlineStr">
        <is>
          <t>Thermo Scientific Orbitrap Astral</t>
        </is>
      </c>
      <c r="D277" t="inlineStr">
        <is>
          <t>high-resolution Orbitrap LC-MS mass spectrometer</t>
        </is>
      </c>
      <c r="E277" t="inlineStr">
        <is>
          <t>prior</t>
        </is>
      </c>
    </row>
    <row r="278">
      <c r="A278" t="n">
        <v>1259</v>
      </c>
      <c r="B278" t="inlineStr">
        <is>
          <t>Thermo Scientific Nalgene</t>
        </is>
      </c>
      <c r="C278" t="inlineStr">
        <is>
          <t>Applied Biosystems QuantStudio</t>
        </is>
      </c>
      <c r="D278" t="inlineStr">
        <is>
          <t>real-time PCR (qPCR/dPCR) instrument family</t>
        </is>
      </c>
      <c r="E278" t="inlineStr">
        <is>
          <t>prior</t>
        </is>
      </c>
    </row>
    <row r="279">
      <c r="A279" t="n">
        <v>1259</v>
      </c>
      <c r="B279" t="inlineStr">
        <is>
          <t>Thermo Scientific Nalgene</t>
        </is>
      </c>
      <c r="C279" t="inlineStr">
        <is>
          <t>Thermo Scientific Krios cryo-TEM</t>
        </is>
      </c>
      <c r="D279" t="inlineStr">
        <is>
          <t>cryo-electron microscope for structural biology</t>
        </is>
      </c>
      <c r="E279" t="inlineStr">
        <is>
          <t>prior</t>
        </is>
      </c>
    </row>
    <row r="280">
      <c r="A280" t="n">
        <v>1261</v>
      </c>
      <c r="B280" t="inlineStr">
        <is>
          <t>Thermo Scientific Orion</t>
        </is>
      </c>
      <c r="C280" t="inlineStr">
        <is>
          <t>Thermo Scientific Orbitrap Astral</t>
        </is>
      </c>
      <c r="D280" t="inlineStr">
        <is>
          <t>high-resolution Orbitrap LC-MS mass spectrometer</t>
        </is>
      </c>
      <c r="E280" t="inlineStr">
        <is>
          <t>prior</t>
        </is>
      </c>
    </row>
    <row r="281">
      <c r="A281" t="n">
        <v>1261</v>
      </c>
      <c r="B281" t="inlineStr">
        <is>
          <t>Thermo Scientific Orion</t>
        </is>
      </c>
      <c r="C281" t="inlineStr">
        <is>
          <t>Applied Biosystems QuantStudio</t>
        </is>
      </c>
      <c r="D281" t="inlineStr">
        <is>
          <t>real-time PCR (qPCR/dPCR) instrument family</t>
        </is>
      </c>
      <c r="E281" t="inlineStr">
        <is>
          <t>prior</t>
        </is>
      </c>
    </row>
    <row r="282">
      <c r="A282" t="n">
        <v>1261</v>
      </c>
      <c r="B282" t="inlineStr">
        <is>
          <t>Thermo Scientific Orion</t>
        </is>
      </c>
      <c r="C282" t="inlineStr">
        <is>
          <t>Thermo Scientific Krios cryo-TEM</t>
        </is>
      </c>
      <c r="D282" t="inlineStr">
        <is>
          <t>cryo-electron microscope for structural biology</t>
        </is>
      </c>
      <c r="E282" t="inlineStr">
        <is>
          <t>prior</t>
        </is>
      </c>
    </row>
    <row r="283">
      <c r="A283" t="n">
        <v>1276</v>
      </c>
      <c r="B283" t="inlineStr">
        <is>
          <t>Tocris</t>
        </is>
      </c>
      <c r="C283" t="inlineStr">
        <is>
          <t>ProteinSimple Jess / Simple Western</t>
        </is>
      </c>
      <c r="D283" t="inlineStr">
        <is>
          <t>automated capillary western-blot immunoassay systems</t>
        </is>
      </c>
      <c r="E283" t="inlineStr">
        <is>
          <t>prior</t>
        </is>
      </c>
    </row>
    <row r="284">
      <c r="A284" t="n">
        <v>1276</v>
      </c>
      <c r="B284" t="inlineStr">
        <is>
          <t>Tocris</t>
        </is>
      </c>
      <c r="C284" t="inlineStr">
        <is>
          <t>R&amp;D Systems proteins, antibodies &amp; Quantikine ELISAs</t>
        </is>
      </c>
      <c r="D284" t="inlineStr">
        <is>
          <t>recombinant proteins, antibodies, immunoassay kits</t>
        </is>
      </c>
      <c r="E284" t="inlineStr">
        <is>
          <t>prior</t>
        </is>
      </c>
    </row>
    <row r="285">
      <c r="A285" t="n">
        <v>1276</v>
      </c>
      <c r="B285" t="inlineStr">
        <is>
          <t>Tocris</t>
        </is>
      </c>
      <c r="C285" t="inlineStr">
        <is>
          <t>RNAscope (ACD)</t>
        </is>
      </c>
      <c r="D285" t="inlineStr">
        <is>
          <t>in situ hybridization assays for RNA detection</t>
        </is>
      </c>
      <c r="E285" t="inlineStr">
        <is>
          <t>prior</t>
        </is>
      </c>
    </row>
    <row r="286">
      <c r="A286" t="n">
        <v>1327</v>
      </c>
      <c r="B286" t="inlineStr">
        <is>
          <t>Velp</t>
        </is>
      </c>
      <c r="C286" t="inlineStr">
        <is>
          <t>UDK 169 / UDK 139</t>
        </is>
      </c>
      <c r="D286" t="inlineStr">
        <is>
          <t>automatic Kjeldahl distillation and titration units</t>
        </is>
      </c>
      <c r="E286" t="inlineStr">
        <is>
          <t>prior</t>
        </is>
      </c>
    </row>
    <row r="287">
      <c r="A287" t="n">
        <v>1327</v>
      </c>
      <c r="B287" t="inlineStr">
        <is>
          <t>Velp</t>
        </is>
      </c>
      <c r="C287" t="inlineStr">
        <is>
          <t>NDA 702 Dumas analyzer</t>
        </is>
      </c>
      <c r="D287" t="inlineStr">
        <is>
          <t>nitrogen/protein determination by combustion</t>
        </is>
      </c>
      <c r="E287" t="inlineStr">
        <is>
          <t>prior</t>
        </is>
      </c>
    </row>
    <row r="288">
      <c r="A288" t="n">
        <v>1327</v>
      </c>
      <c r="B288" t="inlineStr">
        <is>
          <t>Velp</t>
        </is>
      </c>
      <c r="C288" t="inlineStr">
        <is>
          <t>AREX-6 / ARE hotplate stirrers and DKL digesters</t>
        </is>
      </c>
      <c r="D288" t="inlineStr">
        <is>
          <t>magnetic stirrers, hotplates and Kjeldahl digestion units</t>
        </is>
      </c>
      <c r="E288" t="inlineStr">
        <is>
          <t>prior</t>
        </is>
      </c>
    </row>
    <row r="289">
      <c r="A289" t="n">
        <v>1328</v>
      </c>
      <c r="B289" t="inlineStr">
        <is>
          <t>Velp Scientifica</t>
        </is>
      </c>
      <c r="C289" t="inlineStr">
        <is>
          <t>UDK 169 / UDK 139</t>
        </is>
      </c>
      <c r="D289" t="inlineStr">
        <is>
          <t>automatic Kjeldahl distillation and titration units</t>
        </is>
      </c>
      <c r="E289" t="inlineStr">
        <is>
          <t>prior</t>
        </is>
      </c>
    </row>
    <row r="290">
      <c r="A290" t="n">
        <v>1328</v>
      </c>
      <c r="B290" t="inlineStr">
        <is>
          <t>Velp Scientifica</t>
        </is>
      </c>
      <c r="C290" t="inlineStr">
        <is>
          <t>NDA 702 Dumas analyzer</t>
        </is>
      </c>
      <c r="D290" t="inlineStr">
        <is>
          <t>nitrogen/protein determination by combustion</t>
        </is>
      </c>
      <c r="E290" t="inlineStr">
        <is>
          <t>prior</t>
        </is>
      </c>
    </row>
    <row r="291">
      <c r="A291" t="n">
        <v>1328</v>
      </c>
      <c r="B291" t="inlineStr">
        <is>
          <t>Velp Scientifica</t>
        </is>
      </c>
      <c r="C291" t="inlineStr">
        <is>
          <t>AREX-6 / ARE hotplate stirrers and DKL digesters</t>
        </is>
      </c>
      <c r="D291" t="inlineStr">
        <is>
          <t>magnetic stirrers, hotplates and Kjeldahl digestion units</t>
        </is>
      </c>
      <c r="E291" t="inlineStr">
        <is>
          <t>prior</t>
        </is>
      </c>
    </row>
    <row r="292">
      <c r="A292" t="n">
        <v>1345</v>
      </c>
      <c r="B292" t="inlineStr">
        <is>
          <t>Waters</t>
        </is>
      </c>
      <c r="C292" t="inlineStr">
        <is>
          <t>ACQUITY Premier UPLC</t>
        </is>
      </c>
      <c r="D292" t="inlineStr">
        <is>
          <t>ultra-performance liquid chromatography systems</t>
        </is>
      </c>
      <c r="E292" t="inlineStr">
        <is>
          <t>prior</t>
        </is>
      </c>
    </row>
    <row r="293">
      <c r="A293" t="n">
        <v>1345</v>
      </c>
      <c r="B293" t="inlineStr">
        <is>
          <t>Waters</t>
        </is>
      </c>
      <c r="C293" t="inlineStr">
        <is>
          <t>Xevo TQ Absolute</t>
        </is>
      </c>
      <c r="D293" t="inlineStr">
        <is>
          <t>tandem quadrupole LC-MS/MS mass spectrometer</t>
        </is>
      </c>
      <c r="E293" t="inlineStr">
        <is>
          <t>prior</t>
        </is>
      </c>
    </row>
    <row r="294">
      <c r="A294" t="n">
        <v>1345</v>
      </c>
      <c r="B294" t="inlineStr">
        <is>
          <t>Waters</t>
        </is>
      </c>
      <c r="C294" t="inlineStr">
        <is>
          <t>Empower CDS</t>
        </is>
      </c>
      <c r="D294" t="inlineStr">
        <is>
          <t>chromatography data system software</t>
        </is>
      </c>
      <c r="E294" t="inlineStr">
        <is>
          <t>prior</t>
        </is>
      </c>
    </row>
    <row r="295">
      <c r="A295" t="n">
        <v>1355</v>
      </c>
      <c r="B295" t="inlineStr">
        <is>
          <t>Wheaton</t>
        </is>
      </c>
      <c r="C295" t="inlineStr">
        <is>
          <t>DURAN laboratory glass bottles</t>
        </is>
      </c>
      <c r="D295" t="inlineStr">
        <is>
          <t>GL 45 borosilicate 3.3 bottles &amp; lab glassware</t>
        </is>
      </c>
      <c r="E295" t="inlineStr">
        <is>
          <t>prior</t>
        </is>
      </c>
    </row>
    <row r="296">
      <c r="A296" t="n">
        <v>1355</v>
      </c>
      <c r="B296" t="inlineStr">
        <is>
          <t>Wheaton</t>
        </is>
      </c>
      <c r="C296" t="inlineStr">
        <is>
          <t>WHEATON vials &amp; serum bottles</t>
        </is>
      </c>
      <c r="D296" t="inlineStr">
        <is>
          <t>glass vials, serum bottles, packaging</t>
        </is>
      </c>
      <c r="E296" t="inlineStr">
        <is>
          <t>prior</t>
        </is>
      </c>
    </row>
    <row r="297">
      <c r="A297" t="n">
        <v>1355</v>
      </c>
      <c r="B297" t="inlineStr">
        <is>
          <t>Wheaton</t>
        </is>
      </c>
      <c r="C297" t="inlineStr">
        <is>
          <t>KIMBLE KIMAX glassware</t>
        </is>
      </c>
      <c r="D297" t="inlineStr">
        <is>
          <t>volumetric &amp; general laboratory glassware</t>
        </is>
      </c>
      <c r="E297" t="inlineStr">
        <is>
          <t>prior</t>
        </is>
      </c>
    </row>
    <row r="298">
      <c r="A298" t="n">
        <v>1371</v>
      </c>
      <c r="B298" t="inlineStr">
        <is>
          <t>Yamato</t>
        </is>
      </c>
      <c r="C298" t="inlineStr">
        <is>
          <t>DKN / DKM constant temperature ovens</t>
        </is>
      </c>
      <c r="D298" t="inlineStr">
        <is>
          <t>forced-convection laboratory drying ovens</t>
        </is>
      </c>
      <c r="E298" t="inlineStr">
        <is>
          <t>prior</t>
        </is>
      </c>
    </row>
    <row r="299">
      <c r="A299" t="n">
        <v>1371</v>
      </c>
      <c r="B299" t="inlineStr">
        <is>
          <t>Yamato</t>
        </is>
      </c>
      <c r="C299" t="inlineStr">
        <is>
          <t>SM / SQ series autoclaves</t>
        </is>
      </c>
      <c r="D299" t="inlineStr">
        <is>
          <t>benchtop and vertical steam sterilizers</t>
        </is>
      </c>
      <c r="E299" t="inlineStr">
        <is>
          <t>prior</t>
        </is>
      </c>
    </row>
    <row r="300">
      <c r="A300" t="n">
        <v>1371</v>
      </c>
      <c r="B300" t="inlineStr">
        <is>
          <t>Yamato</t>
        </is>
      </c>
      <c r="C300" t="inlineStr">
        <is>
          <t>Auto Pure WL series</t>
        </is>
      </c>
      <c r="D300" t="inlineStr">
        <is>
          <t>laboratory water purification systems</t>
        </is>
      </c>
      <c r="E300" t="inlineStr">
        <is>
          <t>prior</t>
        </is>
      </c>
    </row>
    <row r="301">
      <c r="A301" t="n">
        <v>1372</v>
      </c>
      <c r="B301" t="inlineStr">
        <is>
          <t>Yamato Scientific America</t>
        </is>
      </c>
      <c r="C301" t="inlineStr">
        <is>
          <t>DKN / DKM constant temperature ovens</t>
        </is>
      </c>
      <c r="D301" t="inlineStr">
        <is>
          <t>forced-convection laboratory drying ovens</t>
        </is>
      </c>
      <c r="E301" t="inlineStr">
        <is>
          <t>prior</t>
        </is>
      </c>
    </row>
    <row r="302">
      <c r="A302" t="n">
        <v>1372</v>
      </c>
      <c r="B302" t="inlineStr">
        <is>
          <t>Yamato Scientific America</t>
        </is>
      </c>
      <c r="C302" t="inlineStr">
        <is>
          <t>SM / SQ series autoclaves</t>
        </is>
      </c>
      <c r="D302" t="inlineStr">
        <is>
          <t>benchtop and vertical steam sterilizers</t>
        </is>
      </c>
      <c r="E302" t="inlineStr">
        <is>
          <t>prior</t>
        </is>
      </c>
    </row>
    <row r="303">
      <c r="A303" t="n">
        <v>1372</v>
      </c>
      <c r="B303" t="inlineStr">
        <is>
          <t>Yamato Scientific America</t>
        </is>
      </c>
      <c r="C303" t="inlineStr">
        <is>
          <t>Auto Pure WL series</t>
        </is>
      </c>
      <c r="D303" t="inlineStr">
        <is>
          <t>laboratory water purification systems</t>
        </is>
      </c>
      <c r="E303" t="inlineStr">
        <is>
          <t>prior</t>
        </is>
      </c>
    </row>
    <row r="304">
      <c r="A304" t="n">
        <v>1381</v>
      </c>
      <c r="B304" t="inlineStr">
        <is>
          <t>Zymo Research Corporation</t>
        </is>
      </c>
      <c r="C304" t="inlineStr">
        <is>
          <t>Zymo-Spin I Columns</t>
        </is>
      </c>
      <c r="E304" t="inlineStr">
        <is>
          <t>thomassci</t>
        </is>
      </c>
      <c r="F304" t="inlineStr">
        <is>
          <t>https://www.thomassci.com/p/zymo-spin-i-columns</t>
        </is>
      </c>
    </row>
    <row r="305">
      <c r="A305" t="n">
        <v>1381</v>
      </c>
      <c r="B305" t="inlineStr">
        <is>
          <t>Zymo Research Corporation</t>
        </is>
      </c>
      <c r="C305" t="inlineStr">
        <is>
          <t>ZymoPURE II Plasmid Midiprep Kits</t>
        </is>
      </c>
      <c r="E305" t="inlineStr">
        <is>
          <t>thomassci</t>
        </is>
      </c>
      <c r="F305" t="inlineStr">
        <is>
          <t>https://www.thomassci.com/p/zymopure-ii-plasmid-midiprep-kits</t>
        </is>
      </c>
    </row>
    <row r="306">
      <c r="A306" t="n">
        <v>1381</v>
      </c>
      <c r="B306" t="inlineStr">
        <is>
          <t>Zymo Research Corporation</t>
        </is>
      </c>
      <c r="C306" t="inlineStr">
        <is>
          <t>RNA Clean &amp; Concentrator-5 Kits</t>
        </is>
      </c>
      <c r="E306" t="inlineStr">
        <is>
          <t>thomassci</t>
        </is>
      </c>
      <c r="F306" t="inlineStr">
        <is>
          <t>https://www.thomassci.com/p/rna-clean-and-concentrator-5-kits</t>
        </is>
      </c>
    </row>
    <row r="307">
      <c r="A307" t="n">
        <v>1381</v>
      </c>
      <c r="B307" t="inlineStr">
        <is>
          <t>Zymo Research Corporation</t>
        </is>
      </c>
      <c r="C307" t="inlineStr">
        <is>
          <t>Quick-RNA MagBead</t>
        </is>
      </c>
      <c r="E307" t="inlineStr">
        <is>
          <t>thomassci</t>
        </is>
      </c>
      <c r="F307" t="inlineStr">
        <is>
          <t>https://www.thomassci.com/p/quick-rna-magbead</t>
        </is>
      </c>
    </row>
    <row r="308">
      <c r="A308" t="n">
        <v>1381</v>
      </c>
      <c r="B308" t="inlineStr">
        <is>
          <t>Zymo Research Corporation</t>
        </is>
      </c>
      <c r="C308" t="inlineStr">
        <is>
          <t>ZymoPURE Plasmid Miniprep Kits</t>
        </is>
      </c>
      <c r="E308" t="inlineStr">
        <is>
          <t>thomassci</t>
        </is>
      </c>
      <c r="F308"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3"/>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distributor of Recombinant Proteins, Antibodies, Cell Line, ELISA Kit</t>
        </is>
      </c>
      <c r="B2" t="inlineStr">
        <is>
          <t>דורון סיינטיפיק</t>
        </is>
      </c>
      <c r="C2" t="inlineStr">
        <is>
          <t>מפיץ</t>
        </is>
      </c>
      <c r="D2" t="inlineStr">
        <is>
          <t>https://www.doronscientific.com/</t>
        </is>
      </c>
      <c r="E2" t="inlineStr">
        <is>
          <t>054-5544004</t>
        </is>
      </c>
      <c r="F2" t="inlineStr">
        <is>
          <t>info@doronscientific.com</t>
        </is>
      </c>
      <c r="G2" t="inlineStr">
        <is>
          <t>8 Yehoshua Baum St., Kiryat Ono</t>
        </is>
      </c>
      <c r="H2" t="n">
        <v>13</v>
      </c>
      <c r="I2" t="inlineStr">
        <is>
          <t>AAT Bioquest; ABclonal; Acrobiosystems; Ambeed; Biorbyt; Biotium; BioWORLD; Boster Bio; Cell Systems; List Biological Laboratories; MedKoo Biosciences; NSJ Bioreagents; TargetMol</t>
        </is>
      </c>
    </row>
    <row r="3">
      <c r="A3" t="inlineStr">
        <is>
          <t>Medent Scientific Instruments</t>
        </is>
      </c>
      <c r="B3" t="inlineStr">
        <is>
          <t>מדנט מכשור מדעי</t>
        </is>
      </c>
      <c r="C3" t="inlineStr">
        <is>
          <t>מפיץ</t>
        </is>
      </c>
      <c r="D3" t="inlineStr">
        <is>
          <t>https://www.medent.co.il</t>
        </is>
      </c>
      <c r="E3" t="inlineStr">
        <is>
          <t>+972 72-395-0508 (sales); +972 8-683-6306 (service)</t>
        </is>
      </c>
      <c r="F3" t="inlineStr">
        <is>
          <t>info@medent.co.il</t>
        </is>
      </c>
      <c r="G3" t="inlineStr">
        <is>
          <t>110 Mordei HaGetaot St., Beer Sheva 8420643</t>
        </is>
      </c>
      <c r="H3" t="n">
        <v>13</v>
      </c>
      <c r="I3" t="inlineStr">
        <is>
          <t>Cole parmer; Electrothermal (Cole-Parmer); Hanna Instruments; Ika; IKA Works; Integra; INTEGRA Biosciences; Jenway (Cole-Parmer); Lauda; Memmert; Oakton; Stuart (Cole-Parmer); Techne (Cole-Parmer)</t>
        </is>
      </c>
    </row>
    <row r="4">
      <c r="A4" t="inlineStr">
        <is>
          <t>Labotal Scientific Equipment Ltd.</t>
        </is>
      </c>
      <c r="B4" t="inlineStr">
        <is>
          <t>לבוטל ציוד מדעי</t>
        </is>
      </c>
      <c r="C4" t="inlineStr">
        <is>
          <t>מפיץ</t>
        </is>
      </c>
      <c r="D4" t="inlineStr">
        <is>
          <t>https://labotal.co.il</t>
        </is>
      </c>
      <c r="E4" t="inlineStr">
        <is>
          <t>+972 2-579-9222</t>
        </is>
      </c>
      <c r="F4" t="inlineStr">
        <is>
          <t>Sales@labotal.co.il</t>
        </is>
      </c>
      <c r="G4" t="inlineStr">
        <is>
          <t>Hashalom Rd., Abu Ghosh 9084500 (mail: Mevaseret Zion)</t>
        </is>
      </c>
      <c r="H4" t="n">
        <v>12</v>
      </c>
      <c r="I4" t="inlineStr">
        <is>
          <t>Binder; Brand; BrandTech®; Heidolph; Ika; IKA Works; Julabo; Labconco; Ohaus; Sartorius; Velp; Velp Scientifica</t>
        </is>
      </c>
    </row>
    <row r="5">
      <c r="A5" t="inlineStr">
        <is>
          <t>Danyel Biotech</t>
        </is>
      </c>
      <c r="B5" t="inlineStr">
        <is>
          <t>דניאל ביוטק</t>
        </is>
      </c>
      <c r="C5" t="inlineStr">
        <is>
          <t>מפיץ</t>
        </is>
      </c>
      <c r="D5" t="inlineStr">
        <is>
          <t>https://www.danyel.co.il</t>
        </is>
      </c>
      <c r="E5" t="inlineStr">
        <is>
          <t>1-800-711-911 (also +972 8-936-6066)</t>
        </is>
      </c>
      <c r="F5" t="inlineStr"/>
      <c r="G5" t="inlineStr">
        <is>
          <t>8 Hamada St., Science Park, Rehovot 7670308</t>
        </is>
      </c>
      <c r="H5" t="n">
        <v>12</v>
      </c>
      <c r="I5" t="inlineStr">
        <is>
          <t>Cytiva; Duran; DWK Life Sciences (Wheaton); Esco; Greiner Bio-One; Hamilton; Kimble; Nalgene; Thermo Scientific; Thermo Scientific Nalgene; Thermo Scientific Orion; Wheaton</t>
        </is>
      </c>
    </row>
    <row r="6">
      <c r="A6" t="inlineStr">
        <is>
          <t>Thermo Fisher Integrated Solutions Israel Ltd.</t>
        </is>
      </c>
      <c r="B6" t="inlineStr">
        <is>
          <t>תרמו פישר ישראל (רעננה)</t>
        </is>
      </c>
      <c r="C6" t="inlineStr">
        <is>
          <t>חברה-בת</t>
        </is>
      </c>
      <c r="D6" t="inlineStr">
        <is>
          <t>https://www.thermofisher.com</t>
        </is>
      </c>
      <c r="E6" t="inlineStr">
        <is>
          <t>+972 8-940-8618</t>
        </is>
      </c>
      <c r="F6" t="inlineStr"/>
      <c r="G6" t="inlineStr">
        <is>
          <t>5 Golda Meir St., Ness Ziona (also Airport City 1, Lod)</t>
        </is>
      </c>
      <c r="H6" t="n">
        <v>12</v>
      </c>
      <c r="I6" t="inlineStr">
        <is>
          <t>Nalgene; Nalgene; Nalgene; Thermo Scientific; Thermo Scientific; Thermo Scientific; Thermo Scientific Nalgene; Thermo Scientific Nalgene; Thermo Scientific Nalgene; Thermo Scientific Orion; Thermo Scientific Orion; Thermo Scientific Orion</t>
        </is>
      </c>
    </row>
    <row r="7">
      <c r="A7" t="inlineStr">
        <is>
          <t>Yair Technologies</t>
        </is>
      </c>
      <c r="B7" t="inlineStr">
        <is>
          <t>יאיר טכנולוגיות</t>
        </is>
      </c>
      <c r="C7" t="inlineStr">
        <is>
          <t>מפיץ</t>
        </is>
      </c>
      <c r="D7" t="inlineStr">
        <is>
          <t>https://www.yairtech.co.il/</t>
        </is>
      </c>
      <c r="E7" t="inlineStr">
        <is>
          <t>+97288544856</t>
        </is>
      </c>
      <c r="F7" t="inlineStr">
        <is>
          <t>contact@yairtech.co.il</t>
        </is>
      </c>
      <c r="H7" t="n">
        <v>10</v>
      </c>
      <c r="I7" t="inlineStr">
        <is>
          <t>Atlas Antibodies; Azura Genomics; G-Biosciences; Genovis; GoatThroat; Miles Scientific (Analtech); MTC Bio; Ohaus; Pan biotech; TrippNT</t>
        </is>
      </c>
    </row>
    <row r="8">
      <c r="A8" t="inlineStr">
        <is>
          <t>Tivan Biotech</t>
        </is>
      </c>
      <c r="B8" t="inlineStr">
        <is>
          <t>טיבן ביוטק</t>
        </is>
      </c>
      <c r="C8" t="inlineStr">
        <is>
          <t>מפיץ</t>
        </is>
      </c>
      <c r="D8" t="inlineStr">
        <is>
          <t>https://www.tivanbiotech.com/</t>
        </is>
      </c>
      <c r="E8" t="inlineStr">
        <is>
          <t>077-4701591</t>
        </is>
      </c>
      <c r="F8" t="inlineStr">
        <is>
          <t>customerservice@tivanbiotech.com</t>
        </is>
      </c>
      <c r="H8" t="n">
        <v>9</v>
      </c>
      <c r="I8" t="inlineStr">
        <is>
          <t>ACTGene, Inc.; AMSBIO; BioWORLD; Caisson Labs; Cube Biotech; EZ Biosystems; OZ Biosciences; Selleck Chemicals; TargetMol</t>
        </is>
      </c>
    </row>
    <row r="9">
      <c r="A9" t="inlineStr">
        <is>
          <t>Eldan Electronic Instruments Ltd. (Neopharm group)</t>
        </is>
      </c>
      <c r="B9" t="inlineStr">
        <is>
          <t>אלדן</t>
        </is>
      </c>
      <c r="C9" t="inlineStr">
        <is>
          <t>מפיץ</t>
        </is>
      </c>
      <c r="D9" t="inlineStr">
        <is>
          <t>https://www.eldan.biz</t>
        </is>
      </c>
      <c r="E9" t="inlineStr">
        <is>
          <t>+972-3-937-1111</t>
        </is>
      </c>
      <c r="F9" t="inlineStr">
        <is>
          <t>info@eldan.biz</t>
        </is>
      </c>
      <c r="G9" t="inlineStr">
        <is>
          <t>6 Hashiloach Street, P.O. Box 7641, Petach Tikva 49170</t>
        </is>
      </c>
      <c r="H9" t="n">
        <v>7</v>
      </c>
      <c r="I9" t="inlineStr">
        <is>
          <t>Agilent; Agilent Technologies; Hettich; Hettich Instruments; PHC Corporation of North America; PHCBI; Qiagen</t>
        </is>
      </c>
    </row>
    <row r="10">
      <c r="A10" t="inlineStr">
        <is>
          <t>Bargal Analytical Instruments Ltd.</t>
        </is>
      </c>
      <c r="B10" t="inlineStr">
        <is>
          <t>ברגל ציוד אנליטי</t>
        </is>
      </c>
      <c r="C10" t="inlineStr">
        <is>
          <t>מפיץ</t>
        </is>
      </c>
      <c r="D10" t="inlineStr">
        <is>
          <t>https://www.bargal.co.il</t>
        </is>
      </c>
      <c r="E10" t="inlineStr">
        <is>
          <t>+972-3-979-6533</t>
        </is>
      </c>
      <c r="F10" t="inlineStr">
        <is>
          <t>sales@bargal.co.il</t>
        </is>
      </c>
      <c r="G10" t="inlineStr">
        <is>
          <t>10 Shaked Street, Modi'in Industrial Park, Shoham 6085102</t>
        </is>
      </c>
      <c r="H10" t="n">
        <v>7</v>
      </c>
      <c r="I10" t="inlineStr">
        <is>
          <t>Biotage; JEOL USA; Nalgene; Thermo Scientific; Thermo Scientific Nalgene; Thermo Scientific Orion; Waters</t>
        </is>
      </c>
    </row>
    <row r="11">
      <c r="A11" t="inlineStr">
        <is>
          <t>Gamidor Diagnostics (1984) Ltd.</t>
        </is>
      </c>
      <c r="B11" t="inlineStr">
        <is>
          <t>גמידור דיאגנוסטיקה</t>
        </is>
      </c>
      <c r="C11" t="inlineStr">
        <is>
          <t>מפיץ</t>
        </is>
      </c>
      <c r="D11" t="inlineStr">
        <is>
          <t>https://www.gamidor.co.il</t>
        </is>
      </c>
      <c r="E11" t="inlineStr">
        <is>
          <t>+972-3-927-7277</t>
        </is>
      </c>
      <c r="F11" t="inlineStr">
        <is>
          <t>info@gamidor.co.il</t>
        </is>
      </c>
      <c r="G11" t="inlineStr">
        <is>
          <t>Shaham 32, Petach Tikva</t>
        </is>
      </c>
      <c r="H11" t="n">
        <v>7</v>
      </c>
      <c r="I11" t="inlineStr">
        <is>
          <t>Nalgene; Roche; Roche Diagnostics Corp.; Tecan; Thermo Scientific; Thermo Scientific Nalgene; Thermo Scientific Orion</t>
        </is>
      </c>
    </row>
    <row r="12">
      <c r="A12" t="inlineStr">
        <is>
          <t>Rhenium Ltd.</t>
        </is>
      </c>
      <c r="B12" t="inlineStr">
        <is>
          <t>רניום</t>
        </is>
      </c>
      <c r="C12" t="inlineStr">
        <is>
          <t>מפיץ</t>
        </is>
      </c>
      <c r="D12" t="inlineStr">
        <is>
          <t>https://www.rhenium.co.il</t>
        </is>
      </c>
      <c r="E12" t="inlineStr">
        <is>
          <t>+972 8-955-8888</t>
        </is>
      </c>
      <c r="F12" t="inlineStr"/>
      <c r="G12" t="inlineStr">
        <is>
          <t>20 Hasatat St., P.O. Box 180, Modi'in 7171101</t>
        </is>
      </c>
      <c r="H12" t="n">
        <v>6</v>
      </c>
      <c r="I12" t="inlineStr">
        <is>
          <t>Beckman Coulter; Leica; Nalgene; Thermo Scientific; Thermo Scientific Nalgene; Thermo Scientific Orion</t>
        </is>
      </c>
    </row>
    <row r="13">
      <c r="A13" t="inlineStr">
        <is>
          <t>Enco Scientific Services Ltd. (Enco Diagnostics)</t>
        </is>
      </c>
      <c r="B13" t="inlineStr">
        <is>
          <t>אנקו</t>
        </is>
      </c>
      <c r="C13" t="inlineStr">
        <is>
          <t>מפיץ</t>
        </is>
      </c>
      <c r="D13" t="inlineStr">
        <is>
          <t>https://www.enco.co.il</t>
        </is>
      </c>
      <c r="H13" t="n">
        <v>6</v>
      </c>
      <c r="I13" t="inlineStr">
        <is>
          <t>Biotium; Jackson ImmunoResearch; MP Biomedicals; Santa Cruz Biotechnology; STEMCELL Technologies; Worthington Biochemical</t>
        </is>
      </c>
    </row>
    <row r="14">
      <c r="A14" t="inlineStr">
        <is>
          <t>New Biotechnology Ltd</t>
        </is>
      </c>
      <c r="B14" t="inlineStr">
        <is>
          <t>ניו ביוטכנולוגי (NBT)</t>
        </is>
      </c>
      <c r="C14" t="inlineStr">
        <is>
          <t>מפיץ</t>
        </is>
      </c>
      <c r="D14" t="inlineStr">
        <is>
          <t>https://www.nbtltd.com</t>
        </is>
      </c>
      <c r="E14" t="inlineStr">
        <is>
          <t>+972-2-673-2001</t>
        </is>
      </c>
      <c r="F14" t="inlineStr">
        <is>
          <t>nbtsales@nbtltd.com</t>
        </is>
      </c>
      <c r="G14" t="inlineStr">
        <is>
          <t>3 Mekor Haim St., P.O. Box 8662, Jerusalem 91086</t>
        </is>
      </c>
      <c r="H14" t="n">
        <v>5</v>
      </c>
      <c r="I14" t="inlineStr">
        <is>
          <t>Biotium; Fine Science Tools; Harvard Apparatus; Instech; WPI</t>
        </is>
      </c>
    </row>
    <row r="15">
      <c r="A15" t="inlineStr">
        <is>
          <t>Tamar Laboratory Supplies</t>
        </is>
      </c>
      <c r="B15" t="inlineStr">
        <is>
          <t>תמר ציוד מעבדתי</t>
        </is>
      </c>
      <c r="C15" t="inlineStr">
        <is>
          <t>מפיץ</t>
        </is>
      </c>
      <c r="D15" t="inlineStr">
        <is>
          <t>https://tamar.co.il</t>
        </is>
      </c>
      <c r="E15" t="inlineStr">
        <is>
          <t>+972 2-533-6070 (also 02-579-9777)</t>
        </is>
      </c>
      <c r="F15" t="inlineStr"/>
      <c r="G15" t="inlineStr">
        <is>
          <t>HaAla St., Mevaseret Zion 90805</t>
        </is>
      </c>
      <c r="H15" t="n">
        <v>4</v>
      </c>
      <c r="I15" t="inlineStr">
        <is>
          <t>Analytik Jena; Azenta; Azenta Life Sciences (formerly 4titude); Sarstedt</t>
        </is>
      </c>
    </row>
    <row r="16">
      <c r="A16" t="inlineStr">
        <is>
          <t>Lumitron</t>
        </is>
      </c>
      <c r="B16" t="inlineStr">
        <is>
          <t>לומיטרון</t>
        </is>
      </c>
      <c r="C16" t="inlineStr">
        <is>
          <t>מפיץ</t>
        </is>
      </c>
      <c r="D16" t="inlineStr">
        <is>
          <t>https://www.lumitron.co.il</t>
        </is>
      </c>
      <c r="E16" t="inlineStr">
        <is>
          <t>+972 52-525-6287</t>
        </is>
      </c>
      <c r="F16" t="inlineStr"/>
      <c r="G16" t="inlineStr">
        <is>
          <t>17 Hamiflasim St., Petah Tikva</t>
        </is>
      </c>
      <c r="H16" t="n">
        <v>4</v>
      </c>
      <c r="I16" t="inlineStr">
        <is>
          <t>Analytik Jena; Eppendorf; PHC Corporation of North America; PHCBI</t>
        </is>
      </c>
    </row>
    <row r="17">
      <c r="A17" t="inlineStr">
        <is>
          <t>Ornat BioChemicals &amp; Lab Equipment Ltd.</t>
        </is>
      </c>
      <c r="B17" t="inlineStr">
        <is>
          <t>אורנת</t>
        </is>
      </c>
      <c r="C17" t="inlineStr">
        <is>
          <t>מפיץ</t>
        </is>
      </c>
      <c r="D17" t="inlineStr">
        <is>
          <t>https://www.ornat.co.il</t>
        </is>
      </c>
      <c r="E17" t="inlineStr">
        <is>
          <t>+972-8-9477077</t>
        </is>
      </c>
      <c r="F17" t="inlineStr">
        <is>
          <t>ornatbio@ornat.co.il</t>
        </is>
      </c>
      <c r="G17" t="inlineStr">
        <is>
          <t>19 Horvitz Eli St., Rehovot 7608802</t>
        </is>
      </c>
      <c r="H17" t="n">
        <v>4</v>
      </c>
      <c r="I17" t="inlineStr">
        <is>
          <t>Cell Signaling Technology; Lonza; Macherey Nagel; New England Biolabs (NEB)</t>
        </is>
      </c>
    </row>
    <row r="18">
      <c r="A18" t="inlineStr">
        <is>
          <t>Getter Group (Getter Bio-Med)</t>
        </is>
      </c>
      <c r="B18" t="inlineStr">
        <is>
          <t>קבוצת גטר</t>
        </is>
      </c>
      <c r="C18" t="inlineStr">
        <is>
          <t>מפיץ</t>
        </is>
      </c>
      <c r="D18" t="inlineStr">
        <is>
          <t>https://www.getter.co.il</t>
        </is>
      </c>
      <c r="E18" t="inlineStr">
        <is>
          <t>+972 3-576-1555 (Getter Group switchboard)</t>
        </is>
      </c>
      <c r="F18" t="inlineStr"/>
      <c r="G18" t="inlineStr">
        <is>
          <t>7 Shimshon St., Petah Tikva 4912502</t>
        </is>
      </c>
      <c r="H18" t="n">
        <v>4</v>
      </c>
      <c r="I18" t="inlineStr">
        <is>
          <t>Corning; Novus Biologicals; R&amp;D Systems; Tocris</t>
        </is>
      </c>
    </row>
    <row r="19">
      <c r="A19" t="inlineStr">
        <is>
          <t>Agentek (1987) Ltd.</t>
        </is>
      </c>
      <c r="B19" t="inlineStr">
        <is>
          <t>אגנטק</t>
        </is>
      </c>
      <c r="C19" t="inlineStr">
        <is>
          <t>מפיץ</t>
        </is>
      </c>
      <c r="D19" t="inlineStr">
        <is>
          <t>https://agentek.co.il</t>
        </is>
      </c>
      <c r="E19" t="inlineStr">
        <is>
          <t>+972 9-965-7000</t>
        </is>
      </c>
      <c r="F19" t="inlineStr"/>
      <c r="G19" t="inlineStr">
        <is>
          <t>Greenwork Yakum Business Park, Yakum 6097200</t>
        </is>
      </c>
      <c r="H19" t="n">
        <v>4</v>
      </c>
      <c r="I19" t="inlineStr">
        <is>
          <t>Gilson Co. Inc.; Mettler-Toledo; Nikon; Rainin</t>
        </is>
      </c>
    </row>
    <row r="20">
      <c r="A20" t="inlineStr">
        <is>
          <t>Iner-Tech Ltd. (Rehovot)</t>
        </is>
      </c>
      <c r="B20" t="inlineStr"/>
      <c r="C20" t="inlineStr">
        <is>
          <t>מפיץ</t>
        </is>
      </c>
      <c r="D20" t="inlineStr"/>
      <c r="E20" t="inlineStr"/>
      <c r="F20" t="inlineStr"/>
      <c r="G20" t="inlineStr"/>
      <c r="H20" t="n">
        <v>4</v>
      </c>
      <c r="I20" t="inlineStr">
        <is>
          <t>Nalgene; Thermo Scientific; Thermo Scientific Nalgene; Thermo Scientific Orion</t>
        </is>
      </c>
    </row>
    <row r="21">
      <c r="A21" t="inlineStr">
        <is>
          <t>R.B.M. Ltd. Control &amp; Mechanization (Hod Hasharon)</t>
        </is>
      </c>
      <c r="B21" t="inlineStr"/>
      <c r="C21" t="inlineStr">
        <is>
          <t>מפיץ</t>
        </is>
      </c>
      <c r="D21" t="inlineStr"/>
      <c r="E21" t="inlineStr"/>
      <c r="F21" t="inlineStr"/>
      <c r="G21" t="inlineStr"/>
      <c r="H21" t="n">
        <v>4</v>
      </c>
      <c r="I21" t="inlineStr">
        <is>
          <t>Nalgene; Thermo Scientific; Thermo Scientific Nalgene; Thermo Scientific Orion</t>
        </is>
      </c>
    </row>
    <row r="22">
      <c r="A22" t="inlineStr">
        <is>
          <t>Madid Industrial Controls Ltd.</t>
        </is>
      </c>
      <c r="B22" t="inlineStr"/>
      <c r="C22" t="inlineStr">
        <is>
          <t>מפיץ</t>
        </is>
      </c>
      <c r="D22" t="inlineStr"/>
      <c r="E22" t="inlineStr"/>
      <c r="F22" t="inlineStr"/>
      <c r="G22" t="inlineStr"/>
      <c r="H22" t="n">
        <v>4</v>
      </c>
      <c r="I22" t="inlineStr">
        <is>
          <t>Nalgene; Thermo Scientific; Thermo Scientific Nalgene; Thermo Scientific Orion</t>
        </is>
      </c>
    </row>
    <row r="23">
      <c r="A23" t="inlineStr">
        <is>
          <t>Lifegene</t>
        </is>
      </c>
      <c r="B23" t="inlineStr">
        <is>
          <t>לייפג'ין</t>
        </is>
      </c>
      <c r="C23" t="inlineStr">
        <is>
          <t>מפיץ</t>
        </is>
      </c>
      <c r="D23" t="inlineStr">
        <is>
          <t>https://www.lifegene.co.il</t>
        </is>
      </c>
      <c r="E23" t="inlineStr">
        <is>
          <t>+972 8-644-4314</t>
        </is>
      </c>
      <c r="F23" t="inlineStr">
        <is>
          <t>info@lifegene.co.il</t>
        </is>
      </c>
      <c r="G23" t="inlineStr">
        <is>
          <t>4 Ha'maayan St., Modi'in 7171101 (directory lists Modi'in; other sources say Mevo Horon – verify)</t>
        </is>
      </c>
      <c r="H23" t="n">
        <v>3</v>
      </c>
      <c r="I23" t="inlineStr">
        <is>
          <t>Analytik Jena; Cytiva; Gilson Co. Inc.</t>
        </is>
      </c>
    </row>
    <row r="24">
      <c r="A24" t="inlineStr">
        <is>
          <t>Mercury (mercury-ltd.co.il; part of Gadot Chemicals Group)</t>
        </is>
      </c>
      <c r="B24" t="inlineStr">
        <is>
          <t>מרקורי</t>
        </is>
      </c>
      <c r="C24" t="inlineStr">
        <is>
          <t>מפיץ</t>
        </is>
      </c>
      <c r="D24" t="inlineStr">
        <is>
          <t>https://www.mercury-ltd.co.il</t>
        </is>
      </c>
      <c r="E24" t="inlineStr">
        <is>
          <t>+972 3-938-7164</t>
        </is>
      </c>
      <c r="F24" t="inlineStr"/>
      <c r="G24" t="inlineStr">
        <is>
          <t>12 Ha'avoda St., P.O. Box 159, Rosh Ha'ayin</t>
        </is>
      </c>
      <c r="H24" t="n">
        <v>3</v>
      </c>
      <c r="I24" t="inlineStr">
        <is>
          <t>Hanna Instruments; Merck; MilliporeSigma</t>
        </is>
      </c>
    </row>
    <row r="25">
      <c r="A25" t="inlineStr">
        <is>
          <t>S.L. Moran Ltd.</t>
        </is>
      </c>
      <c r="B25" t="inlineStr">
        <is>
          <t>ש.ל מורן</t>
        </is>
      </c>
      <c r="C25" t="inlineStr">
        <is>
          <t>מפיץ</t>
        </is>
      </c>
      <c r="D25" t="inlineStr">
        <is>
          <t>https://slmoran.co.il</t>
        </is>
      </c>
      <c r="E25" t="inlineStr">
        <is>
          <t>+972 74-702-9898</t>
        </is>
      </c>
      <c r="F25" t="inlineStr"/>
      <c r="G25" t="inlineStr">
        <is>
          <t>Shatner Center 7, Givat Shaul, Jerusalem</t>
        </is>
      </c>
      <c r="H25" t="n">
        <v>3</v>
      </c>
      <c r="I25" t="inlineStr">
        <is>
          <t>Huber USA; Yamato; Yamato Scientific America</t>
        </is>
      </c>
    </row>
    <row r="26">
      <c r="A26" t="inlineStr">
        <is>
          <t>Israel Scientific Instruments Ltd. (ISI)</t>
        </is>
      </c>
      <c r="B26" t="inlineStr">
        <is>
          <t>ISI – ישראל מכשור מדעי</t>
        </is>
      </c>
      <c r="C26" t="inlineStr">
        <is>
          <t>מפיץ</t>
        </is>
      </c>
      <c r="D26" t="inlineStr">
        <is>
          <t>https://www.isil.co.il</t>
        </is>
      </c>
      <c r="E26" t="inlineStr">
        <is>
          <t>+972 3-923-2202</t>
        </is>
      </c>
      <c r="F26" t="inlineStr">
        <is>
          <t>info@isil.co.il</t>
        </is>
      </c>
      <c r="G26" t="inlineStr">
        <is>
          <t>32 Shacham St., P.O. Box 7790, Petah Tikva 49170</t>
        </is>
      </c>
      <c r="H26" t="n">
        <v>3</v>
      </c>
      <c r="I26" t="inlineStr">
        <is>
          <t>Metrohm; PerkinElmer; Revvity</t>
        </is>
      </c>
    </row>
    <row r="27">
      <c r="A27" t="inlineStr">
        <is>
          <t>Biotest</t>
        </is>
      </c>
      <c r="B27" t="inlineStr"/>
      <c r="C27" t="inlineStr">
        <is>
          <t>מפיץ</t>
        </is>
      </c>
      <c r="D27" t="inlineStr"/>
      <c r="E27" t="inlineStr"/>
      <c r="F27" t="inlineStr"/>
      <c r="G27" t="inlineStr"/>
      <c r="H27" t="n">
        <v>3</v>
      </c>
      <c r="I27" t="inlineStr">
        <is>
          <t>Novus Biologicals; R&amp;D Systems; Tocris</t>
        </is>
      </c>
    </row>
    <row r="28">
      <c r="A28" t="inlineStr">
        <is>
          <t>HyLabs (Hy Laboratories Ltd.)</t>
        </is>
      </c>
      <c r="B28" t="inlineStr"/>
      <c r="C28" t="inlineStr">
        <is>
          <t>מפיץ</t>
        </is>
      </c>
      <c r="D28" t="inlineStr">
        <is>
          <t>https://www.hylabs.co.il</t>
        </is>
      </c>
      <c r="E28" t="inlineStr">
        <is>
          <t>+972-8-936-6475</t>
        </is>
      </c>
      <c r="F28" t="inlineStr"/>
      <c r="G28" t="inlineStr">
        <is>
          <t>8 Prof. Menakhem Plaut St., Rehovot (Prospeo lists 6 Plaut St., Rehovot 7670606)</t>
        </is>
      </c>
      <c r="H28" t="n">
        <v>2</v>
      </c>
      <c r="I28" t="inlineStr">
        <is>
          <t>Azenta; Azenta Life Sciences (formerly 4titude)</t>
        </is>
      </c>
    </row>
    <row r="29">
      <c r="A29" t="inlineStr">
        <is>
          <t>Augusta Life Sciences Israel Ltd. (Waters subsidiary, ex-BD Biosciences &amp; Diagnostic Solutions)</t>
        </is>
      </c>
      <c r="B29" t="inlineStr"/>
      <c r="C29" t="inlineStr">
        <is>
          <t>חברה-בת</t>
        </is>
      </c>
      <c r="D29" t="inlineStr">
        <is>
          <t>https://www.waters.com</t>
        </is>
      </c>
      <c r="E29" t="inlineStr"/>
      <c r="F29" t="inlineStr"/>
      <c r="G29" t="inlineStr"/>
      <c r="H29" t="n">
        <v>2</v>
      </c>
      <c r="I29" t="inlineStr">
        <is>
          <t>BD Biosciences; Waters</t>
        </is>
      </c>
    </row>
    <row r="30">
      <c r="A30" t="inlineStr">
        <is>
          <t>Lapidot Group (Lapidot Medical)</t>
        </is>
      </c>
      <c r="B30" t="inlineStr">
        <is>
          <t>לפידות</t>
        </is>
      </c>
      <c r="C30" t="inlineStr">
        <is>
          <t>מפיץ</t>
        </is>
      </c>
      <c r="D30" t="inlineStr">
        <is>
          <t>https://www.lapidot.com</t>
        </is>
      </c>
      <c r="E30" t="inlineStr">
        <is>
          <t>+972-4-6309630 / +972-74-7797836</t>
        </is>
      </c>
      <c r="F30" t="inlineStr">
        <is>
          <t>customerservice@lapidot.com</t>
        </is>
      </c>
      <c r="G30" t="inlineStr">
        <is>
          <t>8 Hashita St., P.O. Box 3552, Caesarea Industrial Park 3088900</t>
        </is>
      </c>
      <c r="H30" t="n">
        <v>2</v>
      </c>
      <c r="I30" t="inlineStr">
        <is>
          <t>BD Biosciences; Leica</t>
        </is>
      </c>
    </row>
    <row r="31">
      <c r="A31" t="inlineStr">
        <is>
          <t>Bio-Rad Israel Ltd. (Bio-Rad Laboratories (Rishon))</t>
        </is>
      </c>
      <c r="B31" t="inlineStr">
        <is>
          <t>ביו-ראד ישראל</t>
        </is>
      </c>
      <c r="C31" t="inlineStr">
        <is>
          <t>חברה-בת</t>
        </is>
      </c>
      <c r="D31" t="inlineStr">
        <is>
          <t>https://www.bio-rad.com</t>
        </is>
      </c>
      <c r="E31" t="inlineStr"/>
      <c r="F31" t="inlineStr"/>
      <c r="G31" t="inlineStr">
        <is>
          <t>Netiv HaOr, Haifa</t>
        </is>
      </c>
      <c r="H31" t="n">
        <v>2</v>
      </c>
      <c r="I31" t="inlineStr">
        <is>
          <t>Bio-Rad; Bio-Rad</t>
        </is>
      </c>
    </row>
    <row r="32">
      <c r="A32" t="inlineStr">
        <is>
          <t>Yoel Naim Ltd.</t>
        </is>
      </c>
      <c r="B32" t="inlineStr"/>
      <c r="C32" t="inlineStr">
        <is>
          <t>מפיץ</t>
        </is>
      </c>
      <c r="D32" t="inlineStr"/>
      <c r="E32" t="inlineStr"/>
      <c r="F32" t="inlineStr"/>
      <c r="G32" t="inlineStr"/>
      <c r="H32" t="n">
        <v>2</v>
      </c>
      <c r="I32" t="inlineStr">
        <is>
          <t>Brand; BrandTech®</t>
        </is>
      </c>
    </row>
    <row r="33">
      <c r="A33" t="inlineStr">
        <is>
          <t>Ophir Analytical Ltd.</t>
        </is>
      </c>
      <c r="B33" t="inlineStr"/>
      <c r="C33" t="inlineStr">
        <is>
          <t>מפיץ</t>
        </is>
      </c>
      <c r="D33" t="inlineStr">
        <is>
          <t>https://ophiranalytical.com</t>
        </is>
      </c>
      <c r="E33" t="inlineStr">
        <is>
          <t>+972 3-902-2277</t>
        </is>
      </c>
      <c r="F33" t="inlineStr"/>
      <c r="G33" t="inlineStr">
        <is>
          <t>Rosh Ha'ayin</t>
        </is>
      </c>
      <c r="H33" t="n">
        <v>2</v>
      </c>
      <c r="I33" t="inlineStr">
        <is>
          <t>Hamilton; Jasco</t>
        </is>
      </c>
    </row>
    <row r="34">
      <c r="A34" t="inlineStr">
        <is>
          <t>Sigma-Aldrich Israel Ltd. (affiliate of Merck KGaA, Darmstadt)</t>
        </is>
      </c>
      <c r="B34" t="inlineStr"/>
      <c r="C34" t="inlineStr">
        <is>
          <t>חברה-בת</t>
        </is>
      </c>
      <c r="D34" t="inlineStr">
        <is>
          <t>https://www.sigmaaldrich.com/IL/en</t>
        </is>
      </c>
      <c r="E34" t="inlineStr">
        <is>
          <t>+972-8-9484222 / +972-8-9484100</t>
        </is>
      </c>
      <c r="F34" t="inlineStr">
        <is>
          <t>isrcustserv@merckgroup.com; isrtechserv@merckgroup.com</t>
        </is>
      </c>
      <c r="G34" t="inlineStr">
        <is>
          <t>3 Plaut St., Rehovot 7670603</t>
        </is>
      </c>
      <c r="H34" t="n">
        <v>2</v>
      </c>
      <c r="I34" t="inlineStr">
        <is>
          <t>Merck; MilliporeSigma</t>
        </is>
      </c>
    </row>
    <row r="35">
      <c r="A35" t="inlineStr">
        <is>
          <t>Modcon Systems Ltd.</t>
        </is>
      </c>
      <c r="B35" t="inlineStr"/>
      <c r="C35" t="inlineStr">
        <is>
          <t>מפיץ</t>
        </is>
      </c>
      <c r="D35" t="inlineStr">
        <is>
          <t>https://modcon-systems.com</t>
        </is>
      </c>
      <c r="E35" t="inlineStr">
        <is>
          <t>+972-4-9553955</t>
        </is>
      </c>
      <c r="F35" t="inlineStr"/>
      <c r="G35" t="inlineStr">
        <is>
          <t>Modcon House, M. Boronshtein St., South Akko Industrial Park, Akko 24222</t>
        </is>
      </c>
      <c r="H35" t="n">
        <v>2</v>
      </c>
      <c r="I35" t="inlineStr">
        <is>
          <t>Mettler-Toledo; Rainin</t>
        </is>
      </c>
    </row>
    <row r="36">
      <c r="A36" t="inlineStr">
        <is>
          <t>Dinco Ltd.</t>
        </is>
      </c>
      <c r="B36" t="inlineStr"/>
      <c r="C36" t="inlineStr">
        <is>
          <t>מפיץ</t>
        </is>
      </c>
      <c r="D36" t="inlineStr"/>
      <c r="E36" t="inlineStr"/>
      <c r="F36" t="inlineStr"/>
      <c r="G36" t="inlineStr"/>
      <c r="H36" t="n">
        <v>2</v>
      </c>
      <c r="I36" t="inlineStr">
        <is>
          <t>Mettler-Toledo; Rainin</t>
        </is>
      </c>
    </row>
    <row r="37">
      <c r="A37" t="inlineStr">
        <is>
          <t>PerkinElmer Israel Ltd.</t>
        </is>
      </c>
      <c r="B37" t="inlineStr"/>
      <c r="C37" t="inlineStr">
        <is>
          <t>חברה-בת</t>
        </is>
      </c>
      <c r="D37" t="inlineStr">
        <is>
          <t>https://www.perkinelmer.com</t>
        </is>
      </c>
      <c r="E37" t="inlineStr">
        <is>
          <t>1-700-500-512</t>
        </is>
      </c>
      <c r="F37" t="inlineStr">
        <is>
          <t>cc.israel@perkinelmer.com</t>
        </is>
      </c>
      <c r="G37" t="inlineStr">
        <is>
          <t>4 HaSheizaf St., Ra'anana</t>
        </is>
      </c>
      <c r="H37" t="n">
        <v>2</v>
      </c>
      <c r="I37" t="inlineStr">
        <is>
          <t>PerkinElmer; Revvity</t>
        </is>
      </c>
    </row>
    <row r="38">
      <c r="A38" t="inlineStr">
        <is>
          <t>Roche Pharmaceuticals (Israel) Ltd. - Diagnostics division ("Roche Diagnostics Israel")</t>
        </is>
      </c>
      <c r="B38" t="inlineStr"/>
      <c r="C38" t="inlineStr">
        <is>
          <t>חברה-בת</t>
        </is>
      </c>
      <c r="D38" t="inlineStr">
        <is>
          <t>https://www.roche.co.il</t>
        </is>
      </c>
      <c r="E38" t="inlineStr">
        <is>
          <t>+972-9-9737777</t>
        </is>
      </c>
      <c r="F38" t="inlineStr"/>
      <c r="G38" t="inlineStr">
        <is>
          <t>6 Hacharash St., P.O. Box 3691, Hod Hasharon 4524079</t>
        </is>
      </c>
      <c r="H38" t="n">
        <v>2</v>
      </c>
      <c r="I38" t="inlineStr">
        <is>
          <t>Roche; Roche Diagnostics Corp.</t>
        </is>
      </c>
    </row>
    <row r="39">
      <c r="A39" t="inlineStr">
        <is>
          <t>Dyn Diagnostics</t>
        </is>
      </c>
      <c r="B39" t="inlineStr"/>
      <c r="C39" t="inlineStr">
        <is>
          <t>מפיץ</t>
        </is>
      </c>
      <c r="D39" t="inlineStr">
        <is>
          <t>https://dyn.co.il</t>
        </is>
      </c>
      <c r="E39" t="inlineStr"/>
      <c r="F39" t="inlineStr"/>
      <c r="G39" t="inlineStr"/>
      <c r="H39" t="n">
        <v>2</v>
      </c>
      <c r="I39" t="inlineStr">
        <is>
          <t>Roche; Roche Diagnostics Corp.</t>
        </is>
      </c>
    </row>
    <row r="40">
      <c r="A40" t="inlineStr">
        <is>
          <t>3M Israel</t>
        </is>
      </c>
      <c r="B40" t="inlineStr">
        <is>
          <t>3M ישראל</t>
        </is>
      </c>
      <c r="C40" t="inlineStr">
        <is>
          <t>חברה-בת</t>
        </is>
      </c>
      <c r="H40" t="n">
        <v>1</v>
      </c>
      <c r="I40" t="inlineStr">
        <is>
          <t>3M</t>
        </is>
      </c>
    </row>
    <row r="41">
      <c r="A41" t="inlineStr">
        <is>
          <t>Prime Lab Scientific Instruments Ltd.</t>
        </is>
      </c>
      <c r="B41" t="inlineStr">
        <is>
          <t>פריים לאב</t>
        </is>
      </c>
      <c r="C41" t="inlineStr">
        <is>
          <t>מפיץ</t>
        </is>
      </c>
      <c r="D41" t="inlineStr">
        <is>
          <t>https://primelab.co.il</t>
        </is>
      </c>
      <c r="E41" t="inlineStr"/>
      <c r="F41" t="inlineStr"/>
      <c r="G41" t="inlineStr"/>
      <c r="H41" t="n">
        <v>1</v>
      </c>
      <c r="I41" t="inlineStr">
        <is>
          <t>Anton Paar</t>
        </is>
      </c>
    </row>
    <row r="42">
      <c r="A42" t="inlineStr">
        <is>
          <t>BD Israel (Becton Dickinson)</t>
        </is>
      </c>
      <c r="B42" t="inlineStr"/>
      <c r="C42" t="inlineStr">
        <is>
          <t>חברה-בת</t>
        </is>
      </c>
      <c r="D42" t="inlineStr">
        <is>
          <t>https://www.bd.com/en-il</t>
        </is>
      </c>
      <c r="E42" t="inlineStr"/>
      <c r="F42" t="inlineStr"/>
      <c r="G42" t="inlineStr">
        <is>
          <t>Caesarea</t>
        </is>
      </c>
      <c r="H42" t="n">
        <v>1</v>
      </c>
      <c r="I42" t="inlineStr">
        <is>
          <t>BD Biosciences</t>
        </is>
      </c>
    </row>
    <row r="43">
      <c r="A43" t="inlineStr">
        <is>
          <t>Beckman Coulter (Israel) Ltd.</t>
        </is>
      </c>
      <c r="B43" t="inlineStr"/>
      <c r="C43" t="inlineStr">
        <is>
          <t>חברה-בת</t>
        </is>
      </c>
      <c r="D43" t="inlineStr"/>
      <c r="E43" t="inlineStr"/>
      <c r="F43" t="inlineStr"/>
      <c r="G43" t="inlineStr"/>
      <c r="H43" t="n">
        <v>1</v>
      </c>
      <c r="I43" t="inlineStr">
        <is>
          <t>Beckman Coulter</t>
        </is>
      </c>
    </row>
    <row r="44">
      <c r="A44" t="inlineStr">
        <is>
          <t>Syntezza Bioscience Ltd</t>
        </is>
      </c>
      <c r="B44" t="inlineStr">
        <is>
          <t>סינתזה ביוסיינס</t>
        </is>
      </c>
      <c r="C44" t="inlineStr">
        <is>
          <t>מפיץ</t>
        </is>
      </c>
      <c r="D44" t="inlineStr">
        <is>
          <t>https://www.syntezza.com</t>
        </is>
      </c>
      <c r="G44" t="inlineStr">
        <is>
          <t>17 Hartom St., Har Hotzvim, Jerusalem</t>
        </is>
      </c>
      <c r="H44" t="n">
        <v>1</v>
      </c>
      <c r="I44" t="inlineStr">
        <is>
          <t>Bio Basic Inc.</t>
        </is>
      </c>
    </row>
    <row r="45">
      <c r="A45" t="inlineStr">
        <is>
          <t>Origolab Ltd</t>
        </is>
      </c>
      <c r="B45" t="inlineStr">
        <is>
          <t>אוריגולאב</t>
        </is>
      </c>
      <c r="C45" t="inlineStr">
        <is>
          <t>מפיץ</t>
        </is>
      </c>
      <c r="E45" t="inlineStr">
        <is>
          <t>+972-2-566-9285</t>
        </is>
      </c>
      <c r="F45" t="inlineStr">
        <is>
          <t>origolab@netmedia.net.il</t>
        </is>
      </c>
      <c r="G45" t="inlineStr">
        <is>
          <t>28 Kaf-Tet BeNovember St., Jerusalem</t>
        </is>
      </c>
      <c r="H45" t="n">
        <v>1</v>
      </c>
      <c r="I45" t="inlineStr">
        <is>
          <t>Biotium</t>
        </is>
      </c>
    </row>
    <row r="46">
      <c r="A46" t="inlineStr">
        <is>
          <t>Dr. Golik Scientific Solutions</t>
        </is>
      </c>
      <c r="B46" t="inlineStr">
        <is>
          <t>ד"ר גוליק</t>
        </is>
      </c>
      <c r="C46" t="inlineStr">
        <is>
          <t>מפיץ</t>
        </is>
      </c>
      <c r="D46" t="inlineStr">
        <is>
          <t>https://www.golik.co.il</t>
        </is>
      </c>
      <c r="E46" t="inlineStr">
        <is>
          <t>+972-3-518-7555</t>
        </is>
      </c>
      <c r="F46" t="inlineStr">
        <is>
          <t>marketing@golik.co.il</t>
        </is>
      </c>
      <c r="G46" t="inlineStr">
        <is>
          <t>34 Kibbutz Galuyot St, Tel Aviv 66550</t>
        </is>
      </c>
      <c r="H46" t="n">
        <v>1</v>
      </c>
      <c r="I46" t="inlineStr">
        <is>
          <t>Buchi</t>
        </is>
      </c>
    </row>
    <row r="47">
      <c r="A47" t="inlineStr">
        <is>
          <t>Modotec Ltd.</t>
        </is>
      </c>
      <c r="B47" t="inlineStr">
        <is>
          <t>מודוטק בע"מ</t>
        </is>
      </c>
      <c r="C47" t="inlineStr">
        <is>
          <t>מפיץ</t>
        </is>
      </c>
      <c r="D47" t="inlineStr">
        <is>
          <t>https://www.modotec.co.il</t>
        </is>
      </c>
      <c r="E47" t="inlineStr">
        <is>
          <t>+972-4-991-9988</t>
        </is>
      </c>
      <c r="F47" t="inlineStr"/>
      <c r="G47" t="inlineStr">
        <is>
          <t>16 Moshe Bernstein St., South Industrial Park, Acre (Akko) 2422238</t>
        </is>
      </c>
      <c r="H47" t="n">
        <v>1</v>
      </c>
      <c r="I47" t="inlineStr">
        <is>
          <t>Hach</t>
        </is>
      </c>
    </row>
    <row r="48">
      <c r="A48" t="inlineStr">
        <is>
          <t>Ex-Lab</t>
        </is>
      </c>
      <c r="B48" t="inlineStr">
        <is>
          <t>אקס-לאב</t>
        </is>
      </c>
      <c r="C48" t="inlineStr">
        <is>
          <t>מפיץ</t>
        </is>
      </c>
      <c r="D48" t="inlineStr">
        <is>
          <t>https://ex-lab.com</t>
        </is>
      </c>
      <c r="E48" t="inlineStr"/>
      <c r="F48" t="inlineStr"/>
      <c r="G48" t="inlineStr">
        <is>
          <t>4 Nevatim St., Petah Tikva</t>
        </is>
      </c>
      <c r="H48" t="n">
        <v>1</v>
      </c>
      <c r="I48" t="inlineStr">
        <is>
          <t>Haier</t>
        </is>
      </c>
    </row>
    <row r="49">
      <c r="A49" t="inlineStr">
        <is>
          <t>Tarom Applied Technologies Ltd.</t>
        </is>
      </c>
      <c r="B49" t="inlineStr"/>
      <c r="C49" t="inlineStr">
        <is>
          <t>מפיץ</t>
        </is>
      </c>
      <c r="D49" t="inlineStr">
        <is>
          <t>http://www.tarom.co.il</t>
        </is>
      </c>
      <c r="E49" t="inlineStr"/>
      <c r="F49" t="inlineStr"/>
      <c r="G49" t="inlineStr"/>
      <c r="H49" t="n">
        <v>1</v>
      </c>
      <c r="I49" t="inlineStr">
        <is>
          <t>Hamilton</t>
        </is>
      </c>
    </row>
    <row r="50">
      <c r="A50" t="inlineStr">
        <is>
          <t>BioAnalytics</t>
        </is>
      </c>
      <c r="B50" t="inlineStr"/>
      <c r="C50" t="inlineStr">
        <is>
          <t>מפיץ</t>
        </is>
      </c>
      <c r="D50" t="inlineStr">
        <is>
          <t>https://www.bioanalytics.co.il</t>
        </is>
      </c>
      <c r="E50" t="inlineStr">
        <is>
          <t>+972-72-242-9555</t>
        </is>
      </c>
      <c r="F50" t="inlineStr"/>
      <c r="G50" t="inlineStr">
        <is>
          <t>29 Omarim St. (listed as "29'th Omarim"), Omer 84965</t>
        </is>
      </c>
      <c r="H50" t="n">
        <v>1</v>
      </c>
      <c r="I50" t="inlineStr">
        <is>
          <t>Hanna Instruments</t>
        </is>
      </c>
    </row>
    <row r="51">
      <c r="A51" t="inlineStr">
        <is>
          <t>Cannadepot</t>
        </is>
      </c>
      <c r="B51" t="inlineStr"/>
      <c r="C51" t="inlineStr">
        <is>
          <t>מפיץ</t>
        </is>
      </c>
      <c r="D51" t="inlineStr">
        <is>
          <t>https://cannadepot.co.il</t>
        </is>
      </c>
      <c r="E51" t="inlineStr"/>
      <c r="F51" t="inlineStr"/>
      <c r="G51" t="inlineStr"/>
      <c r="H51" t="n">
        <v>1</v>
      </c>
      <c r="I51" t="inlineStr">
        <is>
          <t>Hanna Instruments</t>
        </is>
      </c>
    </row>
    <row r="52">
      <c r="A52" t="inlineStr">
        <is>
          <t>Master-Cold</t>
        </is>
      </c>
      <c r="B52" t="inlineStr"/>
      <c r="C52" t="inlineStr">
        <is>
          <t>מפיץ</t>
        </is>
      </c>
      <c r="D52" t="inlineStr">
        <is>
          <t>http://master-cold.co.il</t>
        </is>
      </c>
      <c r="E52" t="inlineStr"/>
      <c r="F52" t="inlineStr"/>
      <c r="G52" t="inlineStr"/>
      <c r="H52" t="n">
        <v>1</v>
      </c>
      <c r="I52" t="inlineStr">
        <is>
          <t>Huber USA</t>
        </is>
      </c>
    </row>
    <row r="53">
      <c r="A53" t="inlineStr">
        <is>
          <t>Citrine Solutions</t>
        </is>
      </c>
      <c r="B53" t="inlineStr">
        <is>
          <t>סיטרין</t>
        </is>
      </c>
      <c r="C53" t="inlineStr">
        <is>
          <t>מפיץ</t>
        </is>
      </c>
      <c r="D53" t="inlineStr">
        <is>
          <t>https://www.citrinesolutions.co.il</t>
        </is>
      </c>
      <c r="E53" t="inlineStr"/>
      <c r="F53" t="inlineStr"/>
      <c r="G53" t="inlineStr"/>
      <c r="H53" t="n">
        <v>1</v>
      </c>
      <c r="I53" t="inlineStr">
        <is>
          <t>Lauda</t>
        </is>
      </c>
    </row>
    <row r="54">
      <c r="A54" t="inlineStr">
        <is>
          <t>Avni &amp; Son</t>
        </is>
      </c>
      <c r="B54" t="inlineStr"/>
      <c r="C54" t="inlineStr">
        <is>
          <t>מפיץ</t>
        </is>
      </c>
      <c r="D54" t="inlineStr">
        <is>
          <t>https://avni-son.co.il</t>
        </is>
      </c>
      <c r="E54" t="inlineStr">
        <is>
          <t>+972-4-821-9989</t>
        </is>
      </c>
      <c r="F54" t="inlineStr">
        <is>
          <t>info@avni-son.co.il</t>
        </is>
      </c>
      <c r="G54" t="inlineStr">
        <is>
          <t>101 Bar Yehuda Rd. (דרך בר יהודה 101), Nesher</t>
        </is>
      </c>
      <c r="H54" t="n">
        <v>1</v>
      </c>
      <c r="I54" t="inlineStr">
        <is>
          <t>Lauda</t>
        </is>
      </c>
    </row>
    <row r="55">
      <c r="A55" t="inlineStr">
        <is>
          <t>Electrotherm Marketing 1978 Ltd.</t>
        </is>
      </c>
      <c r="B55" t="inlineStr">
        <is>
          <t>אלקטרוטרם</t>
        </is>
      </c>
      <c r="C55" t="inlineStr">
        <is>
          <t>מפיץ</t>
        </is>
      </c>
      <c r="D55" t="inlineStr">
        <is>
          <t>https://www.electrotherm.co.il</t>
        </is>
      </c>
      <c r="E55" t="inlineStr">
        <is>
          <t>+972-77-866-0600</t>
        </is>
      </c>
      <c r="F55" t="inlineStr">
        <is>
          <t>sales@electrotherm.co.il</t>
        </is>
      </c>
      <c r="G55" t="inlineStr">
        <is>
          <t>Migdal HaEmek</t>
        </is>
      </c>
      <c r="H55" t="n">
        <v>1</v>
      </c>
      <c r="I55" t="inlineStr">
        <is>
          <t>Nabertherm</t>
        </is>
      </c>
    </row>
    <row r="56">
      <c r="A56" t="inlineStr">
        <is>
          <t>Advanced Technological Solutions Ltd. (ATSL)</t>
        </is>
      </c>
      <c r="B56" t="inlineStr"/>
      <c r="C56" t="inlineStr">
        <is>
          <t>מפיץ</t>
        </is>
      </c>
      <c r="D56" t="inlineStr"/>
      <c r="E56" t="inlineStr"/>
      <c r="F56" t="inlineStr"/>
      <c r="G56" t="inlineStr"/>
      <c r="H56" t="n">
        <v>1</v>
      </c>
      <c r="I56" t="inlineStr">
        <is>
          <t>Oxford Instruments America</t>
        </is>
      </c>
    </row>
    <row r="57">
      <c r="A57" t="inlineStr">
        <is>
          <t>Quantum Design s.r.l. (Italy and Israel branch office, Rome) / Quantum Design Israel site</t>
        </is>
      </c>
      <c r="B57" t="inlineStr"/>
      <c r="C57" t="inlineStr">
        <is>
          <t>מפיץ</t>
        </is>
      </c>
      <c r="D57" t="inlineStr">
        <is>
          <t>https://qd-europe.com/il/en</t>
        </is>
      </c>
      <c r="E57" t="inlineStr"/>
      <c r="F57" t="inlineStr"/>
      <c r="G57" t="inlineStr"/>
      <c r="H57" t="n">
        <v>1</v>
      </c>
      <c r="I57" t="inlineStr">
        <is>
          <t>Oxford Instruments America</t>
        </is>
      </c>
    </row>
    <row r="58">
      <c r="A58" t="inlineStr">
        <is>
          <t>IM Beit HaEmek (Beit HaEmek Industries)</t>
        </is>
      </c>
      <c r="B58" t="inlineStr">
        <is>
          <t>תעשיות בית העמק</t>
        </is>
      </c>
      <c r="C58" t="inlineStr">
        <is>
          <t>מפיץ</t>
        </is>
      </c>
      <c r="D58" t="inlineStr">
        <is>
          <t>https://www.bemek.co.il</t>
        </is>
      </c>
      <c r="E58" t="inlineStr">
        <is>
          <t>+972 4-868-9015</t>
        </is>
      </c>
      <c r="F58" t="inlineStr">
        <is>
          <t>info@bemek.co.il</t>
        </is>
      </c>
      <c r="G58" t="inlineStr">
        <is>
          <t>Kibbutz Beit HaEmek</t>
        </is>
      </c>
      <c r="H58" t="n">
        <v>1</v>
      </c>
      <c r="I58" t="inlineStr">
        <is>
          <t>Promega</t>
        </is>
      </c>
    </row>
    <row r="59">
      <c r="A59" t="inlineStr">
        <is>
          <t>Ilex Medical Ltd.</t>
        </is>
      </c>
      <c r="B59" t="inlineStr"/>
      <c r="C59" t="inlineStr">
        <is>
          <t>מפיץ</t>
        </is>
      </c>
      <c r="D59" t="inlineStr">
        <is>
          <t>https://www.ilexmedical.com</t>
        </is>
      </c>
      <c r="E59" t="inlineStr">
        <is>
          <t>+972-3-9385500</t>
        </is>
      </c>
      <c r="F59" t="inlineStr"/>
      <c r="G59" t="inlineStr">
        <is>
          <t>7 HaTnufa St., Petah Tikva</t>
        </is>
      </c>
      <c r="H59" t="n">
        <v>1</v>
      </c>
      <c r="I59" t="inlineStr">
        <is>
          <t>Qiagen</t>
        </is>
      </c>
    </row>
    <row r="60">
      <c r="A60" t="inlineStr">
        <is>
          <t>Lifegene Ltd.</t>
        </is>
      </c>
      <c r="B60" t="inlineStr">
        <is>
          <t>לייפג'ין</t>
        </is>
      </c>
      <c r="C60" t="inlineStr">
        <is>
          <t>מפיץ</t>
        </is>
      </c>
      <c r="D60" t="inlineStr">
        <is>
          <t>QIAGEN enzymes / OEM reagents sold through the Lifegene catalogue (not the QIAGEN instrument line)</t>
        </is>
      </c>
      <c r="E60" t="inlineStr">
        <is>
          <t>+972 8-644-4314</t>
        </is>
      </c>
      <c r="F60" t="inlineStr">
        <is>
          <t>info@lifegene.co.il</t>
        </is>
      </c>
      <c r="G60" t="inlineStr">
        <is>
          <t>4 Ha'maayan St., Modi'in 7171101 (directory lists Modi'in; other sources say Mevo Horon – verify)</t>
        </is>
      </c>
      <c r="H60" t="n">
        <v>1</v>
      </c>
      <c r="I60" t="inlineStr">
        <is>
          <t>Qiagen</t>
        </is>
      </c>
    </row>
    <row r="61">
      <c r="A61" t="inlineStr">
        <is>
          <t>MRC Laboratory Equipment &amp; Instruments</t>
        </is>
      </c>
      <c r="B61" t="inlineStr">
        <is>
          <t>MRC</t>
        </is>
      </c>
      <c r="C61" t="inlineStr">
        <is>
          <t>מפיץ</t>
        </is>
      </c>
      <c r="D61" t="inlineStr">
        <is>
          <t>https://www.mrclab.com</t>
        </is>
      </c>
      <c r="E61" t="inlineStr">
        <is>
          <t>+972 3-559-5252</t>
        </is>
      </c>
      <c r="F61" t="inlineStr"/>
      <c r="G61" t="inlineStr">
        <is>
          <t>3 Ha-Gavish St., Holon 5881702</t>
        </is>
      </c>
      <c r="H61" t="n">
        <v>1</v>
      </c>
      <c r="I61" t="inlineStr">
        <is>
          <t>Retsch</t>
        </is>
      </c>
    </row>
    <row r="62">
      <c r="A62" t="inlineStr">
        <is>
          <t>Sartorius Israel Ltd.</t>
        </is>
      </c>
      <c r="B62" t="inlineStr"/>
      <c r="C62" t="inlineStr">
        <is>
          <t>חברה-בת</t>
        </is>
      </c>
      <c r="D62" t="inlineStr">
        <is>
          <t>https://www.sartorius.com/en/contact-us/local-contact</t>
        </is>
      </c>
      <c r="E62" t="inlineStr">
        <is>
          <t>+972 4-996-0595</t>
        </is>
      </c>
      <c r="F62" t="inlineStr"/>
      <c r="G62" t="inlineStr">
        <is>
          <t>Kibbutz Beit Haemek 2511500</t>
        </is>
      </c>
      <c r="H62" t="n">
        <v>1</v>
      </c>
      <c r="I62" t="inlineStr">
        <is>
          <t>Sartorius</t>
        </is>
      </c>
    </row>
    <row r="63">
      <c r="A63" t="inlineStr">
        <is>
          <t>Tuttnauer Ltd.</t>
        </is>
      </c>
      <c r="B63" t="inlineStr">
        <is>
          <t>טוטנאור</t>
        </is>
      </c>
      <c r="C63" t="inlineStr">
        <is>
          <t>חברה-בת</t>
        </is>
      </c>
      <c r="D63" t="inlineStr">
        <is>
          <t>https://tuttnauer.com</t>
        </is>
      </c>
      <c r="H63" t="n">
        <v>1</v>
      </c>
      <c r="I63"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COUNTIF(Suppliers!AD2:AD1382,"חברה-בת בישראל")</f>
        <v/>
      </c>
    </row>
    <row r="8">
      <c r="A8" s="3" t="inlineStr">
        <is>
          <t>מפיץ/נציג בישראל</t>
        </is>
      </c>
      <c r="B8">
        <f>COUNTIF(Suppliers!AD2:AD1382,"מפיץ/נציג בישראל")</f>
        <v/>
      </c>
    </row>
    <row r="9">
      <c r="A9" s="3" t="inlineStr">
        <is>
          <t>דרך חברת-האם בישראל</t>
        </is>
      </c>
      <c r="B9">
        <f>COUNTIF(Suppliers!AD2:AD1382,"דרך חברת-האם בישראל")</f>
        <v/>
      </c>
    </row>
    <row r="10">
      <c r="A10" s="3" t="inlineStr">
        <is>
          <t>לא נמצא ערוץ ישראלי</t>
        </is>
      </c>
      <c r="B10">
        <f>COUNTIF(Suppliers!AD2:AD1382,"לא נמצא ערוץ ישראלי")</f>
        <v/>
      </c>
    </row>
    <row r="11">
      <c r="A11" s="3" t="inlineStr">
        <is>
          <t>לא ברור</t>
        </is>
      </c>
      <c r="B11">
        <f>COUNTIF(Suppliers!AD2:AD1382,"לא ברור")</f>
        <v/>
      </c>
    </row>
    <row r="12">
      <c r="A12" s="3" t="inlineStr">
        <is>
          <t>לא נמצא בחיפוש ראשוני</t>
        </is>
      </c>
      <c r="B12">
        <f>COUNTIF(Suppliers!AD2:AD1382,"לא נמצא בחיפוש ראשוני")</f>
        <v/>
      </c>
    </row>
    <row r="13">
      <c r="A13" s="3" t="inlineStr">
        <is>
          <t>לא נמצא בסריקת המפיצים</t>
        </is>
      </c>
      <c r="B13">
        <f>COUNTIF(Suppliers!AD2:AD1382,"לא נמצא בסריקת המפיצים")</f>
        <v/>
      </c>
    </row>
    <row r="14">
      <c r="A14" s="3" t="inlineStr">
        <is>
          <t>טרם נבדק</t>
        </is>
      </c>
      <c r="B14">
        <f>COUNTIF(Suppliers!AD2:AD1382,"טרם נבדק")</f>
        <v/>
      </c>
    </row>
    <row r="15">
      <c r="A15" s="3" t="inlineStr">
        <is>
          <t>עם אתר מזוהה</t>
        </is>
      </c>
      <c r="B15">
        <f>COUNTIF(Suppliers!H2:H1382,"http*")</f>
        <v/>
      </c>
    </row>
    <row r="16">
      <c r="A16" s="3" t="inlineStr">
        <is>
          <t>עם נתון עובדים</t>
        </is>
      </c>
      <c r="B16">
        <f>COUNT(Suppliers!P2:P1382)</f>
        <v/>
      </c>
    </row>
    <row r="17">
      <c r="A17" s="3" t="inlineStr">
        <is>
          <t>עם נתון הכנסות</t>
        </is>
      </c>
      <c r="B17">
        <f>COUNT(Suppliers!T2:T1382)</f>
        <v/>
      </c>
    </row>
    <row r="18">
      <c r="A18" s="3" t="inlineStr">
        <is>
          <t>עם 3 מוצרים</t>
        </is>
      </c>
      <c r="B18">
        <f>COUNTIF(Suppliers!AB2:AB1382,"?*")</f>
        <v/>
      </c>
    </row>
    <row r="19">
      <c r="A19" s="3" t="inlineStr">
        <is>
          <t>עם טלפון</t>
        </is>
      </c>
      <c r="B19">
        <f>COUNTIF(Suppliers!AJ2:AJ1382,"?*")</f>
        <v/>
      </c>
    </row>
    <row r="20">
      <c r="A20" s="3" t="inlineStr">
        <is>
          <t>חציון עובדים</t>
        </is>
      </c>
      <c r="B20">
        <f>MEDIAN(Suppliers!P2:P1382)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2026-10-18T06:17:51Z</dcterms:created>
  <dcterms:modified xmlns:dcterms="http://purl.org/dc/terms/" xmlns:xsi="http://www.w3.org/2001/XMLSchema-instance" xsi:type="dcterms:W3CDTF">2026-10-18T06:17:51Z</dcterms:modified>
</cp:coreProperties>
</file>